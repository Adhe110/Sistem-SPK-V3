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 5\SISTEM PENGAMBILAN KEPUTUSAN\"/>
    </mc:Choice>
  </mc:AlternateContent>
  <xr:revisionPtr revIDLastSave="0" documentId="13_ncr:1_{C239B3D7-F3A9-41F4-BBA7-FE78E4580A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2" l="1"/>
  <c r="AP3" i="2"/>
  <c r="AL3" i="2"/>
  <c r="AF3" i="2"/>
  <c r="Z3" i="2"/>
  <c r="W712" i="2"/>
  <c r="AC712" i="2" s="1"/>
  <c r="W4" i="2"/>
  <c r="W5" i="2"/>
  <c r="W6" i="2"/>
  <c r="W7" i="2"/>
  <c r="W8" i="2"/>
  <c r="W9" i="2"/>
  <c r="W10" i="2"/>
  <c r="W11" i="2"/>
  <c r="AC11" i="2" s="1"/>
  <c r="W12" i="2"/>
  <c r="AC12" i="2" s="1"/>
  <c r="W13" i="2"/>
  <c r="AC13" i="2" s="1"/>
  <c r="W14" i="2"/>
  <c r="W15" i="2"/>
  <c r="AC15" i="2" s="1"/>
  <c r="W16" i="2"/>
  <c r="W17" i="2"/>
  <c r="W18" i="2"/>
  <c r="W19" i="2"/>
  <c r="W20" i="2"/>
  <c r="W21" i="2"/>
  <c r="W22" i="2"/>
  <c r="W23" i="2"/>
  <c r="AC23" i="2" s="1"/>
  <c r="W24" i="2"/>
  <c r="W25" i="2"/>
  <c r="AC25" i="2" s="1"/>
  <c r="W26" i="2"/>
  <c r="AC26" i="2" s="1"/>
  <c r="W27" i="2"/>
  <c r="AC27" i="2" s="1"/>
  <c r="W28" i="2"/>
  <c r="W29" i="2"/>
  <c r="W30" i="2"/>
  <c r="W31" i="2"/>
  <c r="W32" i="2"/>
  <c r="W33" i="2"/>
  <c r="W34" i="2"/>
  <c r="W35" i="2"/>
  <c r="W36" i="2"/>
  <c r="W37" i="2"/>
  <c r="W38" i="2"/>
  <c r="W39" i="2"/>
  <c r="AC39" i="2" s="1"/>
  <c r="W40" i="2"/>
  <c r="W41" i="2"/>
  <c r="W42" i="2"/>
  <c r="W43" i="2"/>
  <c r="W44" i="2"/>
  <c r="W45" i="2"/>
  <c r="W46" i="2"/>
  <c r="W47" i="2"/>
  <c r="W48" i="2"/>
  <c r="AC48" i="2" s="1"/>
  <c r="W49" i="2"/>
  <c r="AC49" i="2" s="1"/>
  <c r="W50" i="2"/>
  <c r="AC50" i="2" s="1"/>
  <c r="W51" i="2"/>
  <c r="AC51" i="2" s="1"/>
  <c r="W52" i="2"/>
  <c r="W53" i="2"/>
  <c r="W54" i="2"/>
  <c r="W55" i="2"/>
  <c r="AC55" i="2" s="1"/>
  <c r="W56" i="2"/>
  <c r="AC56" i="2" s="1"/>
  <c r="W57" i="2"/>
  <c r="W58" i="2"/>
  <c r="AC58" i="2" s="1"/>
  <c r="W59" i="2"/>
  <c r="AC59" i="2" s="1"/>
  <c r="W60" i="2"/>
  <c r="AC60" i="2" s="1"/>
  <c r="W61" i="2"/>
  <c r="AC61" i="2" s="1"/>
  <c r="W62" i="2"/>
  <c r="AC62" i="2" s="1"/>
  <c r="W63" i="2"/>
  <c r="AC63" i="2" s="1"/>
  <c r="W64" i="2"/>
  <c r="W65" i="2"/>
  <c r="W66" i="2"/>
  <c r="W67" i="2"/>
  <c r="W68" i="2"/>
  <c r="AC68" i="2" s="1"/>
  <c r="W69" i="2"/>
  <c r="W70" i="2"/>
  <c r="AC70" i="2" s="1"/>
  <c r="W71" i="2"/>
  <c r="AC71" i="2" s="1"/>
  <c r="W72" i="2"/>
  <c r="AC72" i="2" s="1"/>
  <c r="W73" i="2"/>
  <c r="AC73" i="2" s="1"/>
  <c r="W74" i="2"/>
  <c r="AC74" i="2" s="1"/>
  <c r="W75" i="2"/>
  <c r="AC75" i="2" s="1"/>
  <c r="W76" i="2"/>
  <c r="W77" i="2"/>
  <c r="W78" i="2"/>
  <c r="W79" i="2"/>
  <c r="W80" i="2"/>
  <c r="W81" i="2"/>
  <c r="W82" i="2"/>
  <c r="AC82" i="2" s="1"/>
  <c r="W83" i="2"/>
  <c r="AC83" i="2" s="1"/>
  <c r="W84" i="2"/>
  <c r="AC84" i="2" s="1"/>
  <c r="W85" i="2"/>
  <c r="AC85" i="2" s="1"/>
  <c r="W86" i="2"/>
  <c r="AC86" i="2" s="1"/>
  <c r="W87" i="2"/>
  <c r="AC87" i="2" s="1"/>
  <c r="W88" i="2"/>
  <c r="W89" i="2"/>
  <c r="W90" i="2"/>
  <c r="W91" i="2"/>
  <c r="W92" i="2"/>
  <c r="W93" i="2"/>
  <c r="W94" i="2"/>
  <c r="AC94" i="2" s="1"/>
  <c r="W95" i="2"/>
  <c r="AC95" i="2" s="1"/>
  <c r="W96" i="2"/>
  <c r="AC96" i="2" s="1"/>
  <c r="W97" i="2"/>
  <c r="W98" i="2"/>
  <c r="AC98" i="2" s="1"/>
  <c r="W99" i="2"/>
  <c r="AC99" i="2" s="1"/>
  <c r="W100" i="2"/>
  <c r="W101" i="2"/>
  <c r="W102" i="2"/>
  <c r="W103" i="2"/>
  <c r="W104" i="2"/>
  <c r="W105" i="2"/>
  <c r="W106" i="2"/>
  <c r="W107" i="2"/>
  <c r="AC107" i="2" s="1"/>
  <c r="W108" i="2"/>
  <c r="AC108" i="2" s="1"/>
  <c r="W109" i="2"/>
  <c r="W110" i="2"/>
  <c r="AC110" i="2" s="1"/>
  <c r="W111" i="2"/>
  <c r="AC111" i="2" s="1"/>
  <c r="W112" i="2"/>
  <c r="W113" i="2"/>
  <c r="W114" i="2"/>
  <c r="W115" i="2"/>
  <c r="W116" i="2"/>
  <c r="W117" i="2"/>
  <c r="W118" i="2"/>
  <c r="W119" i="2"/>
  <c r="W120" i="2"/>
  <c r="W121" i="2"/>
  <c r="AC121" i="2" s="1"/>
  <c r="W122" i="2"/>
  <c r="AC122" i="2" s="1"/>
  <c r="W123" i="2"/>
  <c r="AC123" i="2" s="1"/>
  <c r="W124" i="2"/>
  <c r="W125" i="2"/>
  <c r="W126" i="2"/>
  <c r="W127" i="2"/>
  <c r="W128" i="2"/>
  <c r="W129" i="2"/>
  <c r="W130" i="2"/>
  <c r="W131" i="2"/>
  <c r="W132" i="2"/>
  <c r="AC132" i="2" s="1"/>
  <c r="W133" i="2"/>
  <c r="W134" i="2"/>
  <c r="AC134" i="2" s="1"/>
  <c r="W135" i="2"/>
  <c r="AC135" i="2" s="1"/>
  <c r="W136" i="2"/>
  <c r="W137" i="2"/>
  <c r="W138" i="2"/>
  <c r="W139" i="2"/>
  <c r="W140" i="2"/>
  <c r="W141" i="2"/>
  <c r="W142" i="2"/>
  <c r="W143" i="2"/>
  <c r="W144" i="2"/>
  <c r="AC144" i="2" s="1"/>
  <c r="W145" i="2"/>
  <c r="AC145" i="2" s="1"/>
  <c r="W146" i="2"/>
  <c r="AC146" i="2" s="1"/>
  <c r="W147" i="2"/>
  <c r="AC147" i="2" s="1"/>
  <c r="W148" i="2"/>
  <c r="W149" i="2"/>
  <c r="W150" i="2"/>
  <c r="W151" i="2"/>
  <c r="AC151" i="2" s="1"/>
  <c r="W152" i="2"/>
  <c r="AC152" i="2" s="1"/>
  <c r="W153" i="2"/>
  <c r="W154" i="2"/>
  <c r="AC154" i="2" s="1"/>
  <c r="W155" i="2"/>
  <c r="AC155" i="2" s="1"/>
  <c r="W156" i="2"/>
  <c r="AC156" i="2" s="1"/>
  <c r="W157" i="2"/>
  <c r="AC157" i="2" s="1"/>
  <c r="W158" i="2"/>
  <c r="AC158" i="2" s="1"/>
  <c r="W159" i="2"/>
  <c r="AC159" i="2" s="1"/>
  <c r="W160" i="2"/>
  <c r="W161" i="2"/>
  <c r="W162" i="2"/>
  <c r="W163" i="2"/>
  <c r="AC163" i="2" s="1"/>
  <c r="W164" i="2"/>
  <c r="AC164" i="2" s="1"/>
  <c r="W165" i="2"/>
  <c r="W166" i="2"/>
  <c r="AC166" i="2" s="1"/>
  <c r="W167" i="2"/>
  <c r="AC167" i="2" s="1"/>
  <c r="W168" i="2"/>
  <c r="AC168" i="2" s="1"/>
  <c r="W169" i="2"/>
  <c r="AC169" i="2" s="1"/>
  <c r="W170" i="2"/>
  <c r="AC170" i="2" s="1"/>
  <c r="W171" i="2"/>
  <c r="AC171" i="2" s="1"/>
  <c r="W172" i="2"/>
  <c r="W173" i="2"/>
  <c r="W174" i="2"/>
  <c r="W175" i="2"/>
  <c r="AC175" i="2" s="1"/>
  <c r="W176" i="2"/>
  <c r="AC176" i="2" s="1"/>
  <c r="W177" i="2"/>
  <c r="W178" i="2"/>
  <c r="AC178" i="2" s="1"/>
  <c r="W179" i="2"/>
  <c r="AC179" i="2" s="1"/>
  <c r="W180" i="2"/>
  <c r="AC180" i="2" s="1"/>
  <c r="W181" i="2"/>
  <c r="AC181" i="2" s="1"/>
  <c r="W182" i="2"/>
  <c r="AC182" i="2" s="1"/>
  <c r="W183" i="2"/>
  <c r="AC183" i="2" s="1"/>
  <c r="W184" i="2"/>
  <c r="W185" i="2"/>
  <c r="W186" i="2"/>
  <c r="W187" i="2"/>
  <c r="W188" i="2"/>
  <c r="AC188" i="2" s="1"/>
  <c r="W189" i="2"/>
  <c r="W190" i="2"/>
  <c r="AC190" i="2" s="1"/>
  <c r="W191" i="2"/>
  <c r="W192" i="2"/>
  <c r="AC192" i="2" s="1"/>
  <c r="W193" i="2"/>
  <c r="AC193" i="2" s="1"/>
  <c r="W194" i="2"/>
  <c r="AC194" i="2" s="1"/>
  <c r="W195" i="2"/>
  <c r="AC195" i="2" s="1"/>
  <c r="W196" i="2"/>
  <c r="W197" i="2"/>
  <c r="W198" i="2"/>
  <c r="W199" i="2"/>
  <c r="W200" i="2"/>
  <c r="W201" i="2"/>
  <c r="W202" i="2"/>
  <c r="W203" i="2"/>
  <c r="AC203" i="2" s="1"/>
  <c r="W204" i="2"/>
  <c r="AC204" i="2" s="1"/>
  <c r="W205" i="2"/>
  <c r="AC205" i="2" s="1"/>
  <c r="W206" i="2"/>
  <c r="AC206" i="2" s="1"/>
  <c r="W207" i="2"/>
  <c r="AC207" i="2" s="1"/>
  <c r="W208" i="2"/>
  <c r="W209" i="2"/>
  <c r="W210" i="2"/>
  <c r="W211" i="2"/>
  <c r="W212" i="2"/>
  <c r="W213" i="2"/>
  <c r="W214" i="2"/>
  <c r="W215" i="2"/>
  <c r="AC215" i="2" s="1"/>
  <c r="W216" i="2"/>
  <c r="W217" i="2"/>
  <c r="AC217" i="2" s="1"/>
  <c r="W218" i="2"/>
  <c r="AC218" i="2" s="1"/>
  <c r="W219" i="2"/>
  <c r="AC219" i="2" s="1"/>
  <c r="W220" i="2"/>
  <c r="W221" i="2"/>
  <c r="W222" i="2"/>
  <c r="W223" i="2"/>
  <c r="W224" i="2"/>
  <c r="W225" i="2"/>
  <c r="W226" i="2"/>
  <c r="W227" i="2"/>
  <c r="W228" i="2"/>
  <c r="AC228" i="2" s="1"/>
  <c r="W229" i="2"/>
  <c r="AC229" i="2" s="1"/>
  <c r="W230" i="2"/>
  <c r="AC230" i="2" s="1"/>
  <c r="W231" i="2"/>
  <c r="AC231" i="2" s="1"/>
  <c r="W232" i="2"/>
  <c r="W233" i="2"/>
  <c r="W234" i="2"/>
  <c r="W235" i="2"/>
  <c r="W236" i="2"/>
  <c r="W237" i="2"/>
  <c r="W238" i="2"/>
  <c r="W239" i="2"/>
  <c r="W240" i="2"/>
  <c r="AC240" i="2" s="1"/>
  <c r="W241" i="2"/>
  <c r="AC241" i="2" s="1"/>
  <c r="W242" i="2"/>
  <c r="AC242" i="2" s="1"/>
  <c r="W243" i="2"/>
  <c r="AC243" i="2" s="1"/>
  <c r="W244" i="2"/>
  <c r="W245" i="2"/>
  <c r="W246" i="2"/>
  <c r="W247" i="2"/>
  <c r="W248" i="2"/>
  <c r="W249" i="2"/>
  <c r="W250" i="2"/>
  <c r="W251" i="2"/>
  <c r="W252" i="2"/>
  <c r="W253" i="2"/>
  <c r="W254" i="2"/>
  <c r="AC254" i="2" s="1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AC275" i="2" s="1"/>
  <c r="W276" i="2"/>
  <c r="AC276" i="2" s="1"/>
  <c r="W277" i="2"/>
  <c r="AC277" i="2" s="1"/>
  <c r="W278" i="2"/>
  <c r="AC278" i="2" s="1"/>
  <c r="W279" i="2"/>
  <c r="AC279" i="2" s="1"/>
  <c r="W280" i="2"/>
  <c r="W281" i="2"/>
  <c r="W282" i="2"/>
  <c r="W283" i="2"/>
  <c r="AC283" i="2" s="1"/>
  <c r="W284" i="2"/>
  <c r="AC284" i="2" s="1"/>
  <c r="W285" i="2"/>
  <c r="W286" i="2"/>
  <c r="AC286" i="2" s="1"/>
  <c r="W287" i="2"/>
  <c r="AC287" i="2" s="1"/>
  <c r="W288" i="2"/>
  <c r="AC288" i="2" s="1"/>
  <c r="W289" i="2"/>
  <c r="AC289" i="2" s="1"/>
  <c r="W290" i="2"/>
  <c r="AC290" i="2" s="1"/>
  <c r="W291" i="2"/>
  <c r="AC291" i="2" s="1"/>
  <c r="W292" i="2"/>
  <c r="W293" i="2"/>
  <c r="W294" i="2"/>
  <c r="W295" i="2"/>
  <c r="W296" i="2"/>
  <c r="W297" i="2"/>
  <c r="AC297" i="2" s="1"/>
  <c r="W298" i="2"/>
  <c r="AC298" i="2" s="1"/>
  <c r="W299" i="2"/>
  <c r="AC299" i="2" s="1"/>
  <c r="W300" i="2"/>
  <c r="AC300" i="2" s="1"/>
  <c r="W301" i="2"/>
  <c r="W302" i="2"/>
  <c r="W303" i="2"/>
  <c r="AC303" i="2" s="1"/>
  <c r="W304" i="2"/>
  <c r="W305" i="2"/>
  <c r="W306" i="2"/>
  <c r="W307" i="2"/>
  <c r="W308" i="2"/>
  <c r="W309" i="2"/>
  <c r="W310" i="2"/>
  <c r="W311" i="2"/>
  <c r="AC311" i="2" s="1"/>
  <c r="W312" i="2"/>
  <c r="W313" i="2"/>
  <c r="AC313" i="2" s="1"/>
  <c r="W314" i="2"/>
  <c r="AC314" i="2" s="1"/>
  <c r="W315" i="2"/>
  <c r="AC315" i="2" s="1"/>
  <c r="W316" i="2"/>
  <c r="W317" i="2"/>
  <c r="W318" i="2"/>
  <c r="W319" i="2"/>
  <c r="W320" i="2"/>
  <c r="W321" i="2"/>
  <c r="W322" i="2"/>
  <c r="W323" i="2"/>
  <c r="W324" i="2"/>
  <c r="AC324" i="2" s="1"/>
  <c r="W325" i="2"/>
  <c r="AC325" i="2" s="1"/>
  <c r="W326" i="2"/>
  <c r="AC326" i="2" s="1"/>
  <c r="W327" i="2"/>
  <c r="AC327" i="2" s="1"/>
  <c r="W328" i="2"/>
  <c r="W329" i="2"/>
  <c r="W330" i="2"/>
  <c r="W331" i="2"/>
  <c r="W332" i="2"/>
  <c r="W333" i="2"/>
  <c r="W334" i="2"/>
  <c r="W335" i="2"/>
  <c r="W336" i="2"/>
  <c r="AC336" i="2" s="1"/>
  <c r="W337" i="2"/>
  <c r="W338" i="2"/>
  <c r="AC338" i="2" s="1"/>
  <c r="W339" i="2"/>
  <c r="AC339" i="2" s="1"/>
  <c r="W340" i="2"/>
  <c r="W341" i="2"/>
  <c r="W342" i="2"/>
  <c r="W343" i="2"/>
  <c r="W344" i="2"/>
  <c r="W345" i="2"/>
  <c r="W346" i="2"/>
  <c r="W347" i="2"/>
  <c r="W348" i="2"/>
  <c r="AC348" i="2" s="1"/>
  <c r="W349" i="2"/>
  <c r="W350" i="2"/>
  <c r="W351" i="2"/>
  <c r="AC351" i="2" s="1"/>
  <c r="W352" i="2"/>
  <c r="W353" i="2"/>
  <c r="W354" i="2"/>
  <c r="W355" i="2"/>
  <c r="W356" i="2"/>
  <c r="W357" i="2"/>
  <c r="W358" i="2"/>
  <c r="W359" i="2"/>
  <c r="W360" i="2"/>
  <c r="AC360" i="2" s="1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AC373" i="2" s="1"/>
  <c r="W374" i="2"/>
  <c r="AC374" i="2" s="1"/>
  <c r="W375" i="2"/>
  <c r="AC375" i="2" s="1"/>
  <c r="W376" i="2"/>
  <c r="W377" i="2"/>
  <c r="W378" i="2"/>
  <c r="W379" i="2"/>
  <c r="AC379" i="2" s="1"/>
  <c r="W380" i="2"/>
  <c r="AC380" i="2" s="1"/>
  <c r="W381" i="2"/>
  <c r="W382" i="2"/>
  <c r="AC382" i="2" s="1"/>
  <c r="W383" i="2"/>
  <c r="AC383" i="2" s="1"/>
  <c r="W384" i="2"/>
  <c r="AC384" i="2" s="1"/>
  <c r="W385" i="2"/>
  <c r="AC385" i="2" s="1"/>
  <c r="W386" i="2"/>
  <c r="AC386" i="2" s="1"/>
  <c r="W387" i="2"/>
  <c r="AC387" i="2" s="1"/>
  <c r="W388" i="2"/>
  <c r="W389" i="2"/>
  <c r="W390" i="2"/>
  <c r="W391" i="2"/>
  <c r="AC391" i="2" s="1"/>
  <c r="W392" i="2"/>
  <c r="AC392" i="2" s="1"/>
  <c r="W393" i="2"/>
  <c r="AC393" i="2" s="1"/>
  <c r="W394" i="2"/>
  <c r="AC394" i="2" s="1"/>
  <c r="W395" i="2"/>
  <c r="AC395" i="2" s="1"/>
  <c r="W396" i="2"/>
  <c r="AC396" i="2" s="1"/>
  <c r="W397" i="2"/>
  <c r="AC397" i="2" s="1"/>
  <c r="W398" i="2"/>
  <c r="AC398" i="2" s="1"/>
  <c r="W399" i="2"/>
  <c r="AC399" i="2" s="1"/>
  <c r="W400" i="2"/>
  <c r="W401" i="2"/>
  <c r="W402" i="2"/>
  <c r="W403" i="2"/>
  <c r="W404" i="2"/>
  <c r="AC404" i="2" s="1"/>
  <c r="W405" i="2"/>
  <c r="AC405" i="2" s="1"/>
  <c r="W406" i="2"/>
  <c r="AC406" i="2" s="1"/>
  <c r="W407" i="2"/>
  <c r="AC407" i="2" s="1"/>
  <c r="W408" i="2"/>
  <c r="W409" i="2"/>
  <c r="AC409" i="2" s="1"/>
  <c r="W410" i="2"/>
  <c r="AC410" i="2" s="1"/>
  <c r="W411" i="2"/>
  <c r="AC411" i="2" s="1"/>
  <c r="W412" i="2"/>
  <c r="W413" i="2"/>
  <c r="W414" i="2"/>
  <c r="W415" i="2"/>
  <c r="W416" i="2"/>
  <c r="W417" i="2"/>
  <c r="AC417" i="2" s="1"/>
  <c r="W418" i="2"/>
  <c r="AC418" i="2" s="1"/>
  <c r="W419" i="2"/>
  <c r="AC419" i="2" s="1"/>
  <c r="W420" i="2"/>
  <c r="W421" i="2"/>
  <c r="AC421" i="2" s="1"/>
  <c r="W422" i="2"/>
  <c r="W423" i="2"/>
  <c r="AC423" i="2" s="1"/>
  <c r="W424" i="2"/>
  <c r="W425" i="2"/>
  <c r="W426" i="2"/>
  <c r="W427" i="2"/>
  <c r="W428" i="2"/>
  <c r="W429" i="2"/>
  <c r="W430" i="2"/>
  <c r="W431" i="2"/>
  <c r="AC431" i="2" s="1"/>
  <c r="W432" i="2"/>
  <c r="AC432" i="2" s="1"/>
  <c r="W433" i="2"/>
  <c r="AC433" i="2" s="1"/>
  <c r="W434" i="2"/>
  <c r="W435" i="2"/>
  <c r="AC435" i="2" s="1"/>
  <c r="W436" i="2"/>
  <c r="W437" i="2"/>
  <c r="W438" i="2"/>
  <c r="W439" i="2"/>
  <c r="W440" i="2"/>
  <c r="W441" i="2"/>
  <c r="W442" i="2"/>
  <c r="W443" i="2"/>
  <c r="W444" i="2"/>
  <c r="AC444" i="2" s="1"/>
  <c r="W445" i="2"/>
  <c r="AC445" i="2" s="1"/>
  <c r="W446" i="2"/>
  <c r="AC446" i="2" s="1"/>
  <c r="W447" i="2"/>
  <c r="AC447" i="2" s="1"/>
  <c r="W448" i="2"/>
  <c r="W449" i="2"/>
  <c r="W450" i="2"/>
  <c r="W451" i="2"/>
  <c r="W452" i="2"/>
  <c r="W453" i="2"/>
  <c r="W454" i="2"/>
  <c r="W455" i="2"/>
  <c r="W456" i="2"/>
  <c r="W457" i="2"/>
  <c r="AC457" i="2" s="1"/>
  <c r="W458" i="2"/>
  <c r="AC458" i="2" s="1"/>
  <c r="W459" i="2"/>
  <c r="AC459" i="2" s="1"/>
  <c r="W460" i="2"/>
  <c r="W461" i="2"/>
  <c r="W462" i="2"/>
  <c r="W463" i="2"/>
  <c r="W464" i="2"/>
  <c r="W465" i="2"/>
  <c r="W466" i="2"/>
  <c r="W467" i="2"/>
  <c r="W468" i="2"/>
  <c r="W469" i="2"/>
  <c r="W470" i="2"/>
  <c r="AC470" i="2" s="1"/>
  <c r="W471" i="2"/>
  <c r="AC471" i="2" s="1"/>
  <c r="W472" i="2"/>
  <c r="W473" i="2"/>
  <c r="W474" i="2"/>
  <c r="W475" i="2"/>
  <c r="W476" i="2"/>
  <c r="W477" i="2"/>
  <c r="W478" i="2"/>
  <c r="W479" i="2"/>
  <c r="W480" i="2"/>
  <c r="W481" i="2"/>
  <c r="W482" i="2"/>
  <c r="AC482" i="2" s="1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AC516" i="2" s="1"/>
  <c r="W517" i="2"/>
  <c r="AC517" i="2" s="1"/>
  <c r="W518" i="2"/>
  <c r="AC518" i="2" s="1"/>
  <c r="W519" i="2"/>
  <c r="AC519" i="2" s="1"/>
  <c r="W520" i="2"/>
  <c r="W521" i="2"/>
  <c r="W522" i="2"/>
  <c r="W523" i="2"/>
  <c r="AC523" i="2" s="1"/>
  <c r="W524" i="2"/>
  <c r="AC524" i="2" s="1"/>
  <c r="W525" i="2"/>
  <c r="W526" i="2"/>
  <c r="AC526" i="2" s="1"/>
  <c r="W527" i="2"/>
  <c r="AC527" i="2" s="1"/>
  <c r="W528" i="2"/>
  <c r="AC528" i="2" s="1"/>
  <c r="W529" i="2"/>
  <c r="AC529" i="2" s="1"/>
  <c r="W530" i="2"/>
  <c r="AC530" i="2" s="1"/>
  <c r="W531" i="2"/>
  <c r="AC531" i="2" s="1"/>
  <c r="W532" i="2"/>
  <c r="W533" i="2"/>
  <c r="W534" i="2"/>
  <c r="W535" i="2"/>
  <c r="W536" i="2"/>
  <c r="AC536" i="2" s="1"/>
  <c r="W537" i="2"/>
  <c r="AC537" i="2" s="1"/>
  <c r="W538" i="2"/>
  <c r="AC538" i="2" s="1"/>
  <c r="W539" i="2"/>
  <c r="AC539" i="2" s="1"/>
  <c r="W540" i="2"/>
  <c r="AC540" i="2" s="1"/>
  <c r="W541" i="2"/>
  <c r="AC541" i="2" s="1"/>
  <c r="W542" i="2"/>
  <c r="AC542" i="2" s="1"/>
  <c r="W543" i="2"/>
  <c r="AC543" i="2" s="1"/>
  <c r="W544" i="2"/>
  <c r="W545" i="2"/>
  <c r="W546" i="2"/>
  <c r="W547" i="2"/>
  <c r="W548" i="2"/>
  <c r="W549" i="2"/>
  <c r="W550" i="2"/>
  <c r="AC550" i="2" s="1"/>
  <c r="W551" i="2"/>
  <c r="AC551" i="2" s="1"/>
  <c r="W552" i="2"/>
  <c r="AC552" i="2" s="1"/>
  <c r="W553" i="2"/>
  <c r="AC553" i="2" s="1"/>
  <c r="W554" i="2"/>
  <c r="AC554" i="2" s="1"/>
  <c r="W555" i="2"/>
  <c r="AC555" i="2" s="1"/>
  <c r="W556" i="2"/>
  <c r="W557" i="2"/>
  <c r="W558" i="2"/>
  <c r="W559" i="2"/>
  <c r="W560" i="2"/>
  <c r="W561" i="2"/>
  <c r="W562" i="2"/>
  <c r="AC562" i="2" s="1"/>
  <c r="W563" i="2"/>
  <c r="AC563" i="2" s="1"/>
  <c r="W564" i="2"/>
  <c r="AC564" i="2" s="1"/>
  <c r="W565" i="2"/>
  <c r="W566" i="2"/>
  <c r="AC566" i="2" s="1"/>
  <c r="W567" i="2"/>
  <c r="AC567" i="2" s="1"/>
  <c r="W568" i="2"/>
  <c r="W569" i="2"/>
  <c r="W570" i="2"/>
  <c r="W571" i="2"/>
  <c r="W572" i="2"/>
  <c r="W573" i="2"/>
  <c r="W574" i="2"/>
  <c r="W575" i="2"/>
  <c r="AC575" i="2" s="1"/>
  <c r="W576" i="2"/>
  <c r="W577" i="2"/>
  <c r="AC577" i="2" s="1"/>
  <c r="W578" i="2"/>
  <c r="AC578" i="2" s="1"/>
  <c r="W579" i="2"/>
  <c r="AC579" i="2" s="1"/>
  <c r="W580" i="2"/>
  <c r="W581" i="2"/>
  <c r="W582" i="2"/>
  <c r="W583" i="2"/>
  <c r="W584" i="2"/>
  <c r="W585" i="2"/>
  <c r="W586" i="2"/>
  <c r="W587" i="2"/>
  <c r="W588" i="2"/>
  <c r="AC588" i="2" s="1"/>
  <c r="W589" i="2"/>
  <c r="AC589" i="2" s="1"/>
  <c r="W590" i="2"/>
  <c r="AC590" i="2" s="1"/>
  <c r="W591" i="2"/>
  <c r="AC591" i="2" s="1"/>
  <c r="W592" i="2"/>
  <c r="W593" i="2"/>
  <c r="W594" i="2"/>
  <c r="W595" i="2"/>
  <c r="W596" i="2"/>
  <c r="AC596" i="2" s="1"/>
  <c r="W597" i="2"/>
  <c r="W598" i="2"/>
  <c r="W599" i="2"/>
  <c r="W600" i="2"/>
  <c r="AC600" i="2" s="1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AC624" i="2" s="1"/>
  <c r="W625" i="2"/>
  <c r="AC625" i="2" s="1"/>
  <c r="W626" i="2"/>
  <c r="AC626" i="2" s="1"/>
  <c r="W627" i="2"/>
  <c r="AC627" i="2" s="1"/>
  <c r="W628" i="2"/>
  <c r="W629" i="2"/>
  <c r="W630" i="2"/>
  <c r="W631" i="2"/>
  <c r="AC631" i="2" s="1"/>
  <c r="W632" i="2"/>
  <c r="AC632" i="2" s="1"/>
  <c r="W633" i="2"/>
  <c r="AC633" i="2" s="1"/>
  <c r="W634" i="2"/>
  <c r="AC634" i="2" s="1"/>
  <c r="W635" i="2"/>
  <c r="AC635" i="2" s="1"/>
  <c r="W636" i="2"/>
  <c r="AC636" i="2" s="1"/>
  <c r="W637" i="2"/>
  <c r="AC637" i="2" s="1"/>
  <c r="W638" i="2"/>
  <c r="AC638" i="2" s="1"/>
  <c r="W639" i="2"/>
  <c r="AC639" i="2" s="1"/>
  <c r="W640" i="2"/>
  <c r="W641" i="2"/>
  <c r="W642" i="2"/>
  <c r="W643" i="2"/>
  <c r="AC643" i="2" s="1"/>
  <c r="W644" i="2"/>
  <c r="AC644" i="2" s="1"/>
  <c r="W645" i="2"/>
  <c r="AC645" i="2" s="1"/>
  <c r="W646" i="2"/>
  <c r="AC646" i="2" s="1"/>
  <c r="W647" i="2"/>
  <c r="AC647" i="2" s="1"/>
  <c r="W648" i="2"/>
  <c r="AC648" i="2" s="1"/>
  <c r="W649" i="2"/>
  <c r="AC649" i="2" s="1"/>
  <c r="W650" i="2"/>
  <c r="AC650" i="2" s="1"/>
  <c r="W651" i="2"/>
  <c r="AC651" i="2" s="1"/>
  <c r="W652" i="2"/>
  <c r="W653" i="2"/>
  <c r="W654" i="2"/>
  <c r="W655" i="2"/>
  <c r="W656" i="2"/>
  <c r="W657" i="2"/>
  <c r="AC657" i="2" s="1"/>
  <c r="W658" i="2"/>
  <c r="AC658" i="2" s="1"/>
  <c r="W659" i="2"/>
  <c r="AC659" i="2" s="1"/>
  <c r="W660" i="2"/>
  <c r="AC660" i="2" s="1"/>
  <c r="W661" i="2"/>
  <c r="AC661" i="2" s="1"/>
  <c r="W662" i="2"/>
  <c r="AC662" i="2" s="1"/>
  <c r="W663" i="2"/>
  <c r="AC663" i="2" s="1"/>
  <c r="W664" i="2"/>
  <c r="W665" i="2"/>
  <c r="W666" i="2"/>
  <c r="W667" i="2"/>
  <c r="W668" i="2"/>
  <c r="W669" i="2"/>
  <c r="AC669" i="2" s="1"/>
  <c r="W670" i="2"/>
  <c r="AC670" i="2" s="1"/>
  <c r="W671" i="2"/>
  <c r="AC671" i="2" s="1"/>
  <c r="W672" i="2"/>
  <c r="W673" i="2"/>
  <c r="AC673" i="2" s="1"/>
  <c r="W674" i="2"/>
  <c r="W675" i="2"/>
  <c r="AC675" i="2" s="1"/>
  <c r="W676" i="2"/>
  <c r="W677" i="2"/>
  <c r="W678" i="2"/>
  <c r="W679" i="2"/>
  <c r="W680" i="2"/>
  <c r="W681" i="2"/>
  <c r="W682" i="2"/>
  <c r="W683" i="2"/>
  <c r="AC683" i="2" s="1"/>
  <c r="W684" i="2"/>
  <c r="AC684" i="2" s="1"/>
  <c r="W685" i="2"/>
  <c r="AC685" i="2" s="1"/>
  <c r="W686" i="2"/>
  <c r="W687" i="2"/>
  <c r="AC687" i="2" s="1"/>
  <c r="W688" i="2"/>
  <c r="W689" i="2"/>
  <c r="W690" i="2"/>
  <c r="W691" i="2"/>
  <c r="W692" i="2"/>
  <c r="W693" i="2"/>
  <c r="W694" i="2"/>
  <c r="W695" i="2"/>
  <c r="W696" i="2"/>
  <c r="AC696" i="2" s="1"/>
  <c r="W697" i="2"/>
  <c r="AC697" i="2" s="1"/>
  <c r="W698" i="2"/>
  <c r="AC698" i="2" s="1"/>
  <c r="W699" i="2"/>
  <c r="AC699" i="2" s="1"/>
  <c r="W700" i="2"/>
  <c r="W701" i="2"/>
  <c r="AC701" i="2" s="1"/>
  <c r="W702" i="2"/>
  <c r="W703" i="2"/>
  <c r="W704" i="2"/>
  <c r="W705" i="2"/>
  <c r="W706" i="2"/>
  <c r="W707" i="2"/>
  <c r="W708" i="2"/>
  <c r="W709" i="2"/>
  <c r="W710" i="2"/>
  <c r="W711" i="2"/>
  <c r="AC711" i="2" s="1"/>
  <c r="V712" i="2"/>
  <c r="AB712" i="2" s="1"/>
  <c r="V4" i="2"/>
  <c r="V5" i="2"/>
  <c r="V6" i="2"/>
  <c r="V7" i="2"/>
  <c r="V8" i="2"/>
  <c r="V9" i="2"/>
  <c r="V10" i="2"/>
  <c r="V11" i="2"/>
  <c r="V12" i="2"/>
  <c r="V13" i="2"/>
  <c r="AB13" i="2" s="1"/>
  <c r="V14" i="2"/>
  <c r="AB14" i="2" s="1"/>
  <c r="V15" i="2"/>
  <c r="AB15" i="2" s="1"/>
  <c r="V16" i="2"/>
  <c r="V17" i="2"/>
  <c r="V18" i="2"/>
  <c r="V19" i="2"/>
  <c r="V20" i="2"/>
  <c r="V21" i="2"/>
  <c r="V22" i="2"/>
  <c r="V23" i="2"/>
  <c r="V24" i="2"/>
  <c r="AB24" i="2" s="1"/>
  <c r="V25" i="2"/>
  <c r="AB25" i="2" s="1"/>
  <c r="V26" i="2"/>
  <c r="AB26" i="2" s="1"/>
  <c r="V27" i="2"/>
  <c r="AB27" i="2" s="1"/>
  <c r="V28" i="2"/>
  <c r="V29" i="2"/>
  <c r="V30" i="2"/>
  <c r="V31" i="2"/>
  <c r="V32" i="2"/>
  <c r="V33" i="2"/>
  <c r="V34" i="2"/>
  <c r="V35" i="2"/>
  <c r="V36" i="2"/>
  <c r="AB36" i="2" s="1"/>
  <c r="V37" i="2"/>
  <c r="AB37" i="2" s="1"/>
  <c r="V38" i="2"/>
  <c r="AB38" i="2" s="1"/>
  <c r="V39" i="2"/>
  <c r="AB39" i="2" s="1"/>
  <c r="V40" i="2"/>
  <c r="V41" i="2"/>
  <c r="V42" i="2"/>
  <c r="V43" i="2"/>
  <c r="V44" i="2"/>
  <c r="V45" i="2"/>
  <c r="V46" i="2"/>
  <c r="V47" i="2"/>
  <c r="V48" i="2"/>
  <c r="AB48" i="2" s="1"/>
  <c r="V49" i="2"/>
  <c r="AB49" i="2" s="1"/>
  <c r="V50" i="2"/>
  <c r="AB50" i="2" s="1"/>
  <c r="V51" i="2"/>
  <c r="AB51" i="2" s="1"/>
  <c r="V52" i="2"/>
  <c r="V53" i="2"/>
  <c r="V54" i="2"/>
  <c r="V55" i="2"/>
  <c r="V56" i="2"/>
  <c r="V57" i="2"/>
  <c r="V58" i="2"/>
  <c r="V59" i="2"/>
  <c r="V60" i="2"/>
  <c r="AB60" i="2" s="1"/>
  <c r="V61" i="2"/>
  <c r="AB61" i="2" s="1"/>
  <c r="V62" i="2"/>
  <c r="AB62" i="2" s="1"/>
  <c r="V63" i="2"/>
  <c r="AB63" i="2" s="1"/>
  <c r="V64" i="2"/>
  <c r="V65" i="2"/>
  <c r="V66" i="2"/>
  <c r="V67" i="2"/>
  <c r="V68" i="2"/>
  <c r="V69" i="2"/>
  <c r="V70" i="2"/>
  <c r="V71" i="2"/>
  <c r="V72" i="2"/>
  <c r="V73" i="2"/>
  <c r="AB73" i="2" s="1"/>
  <c r="V74" i="2"/>
  <c r="AB74" i="2" s="1"/>
  <c r="V75" i="2"/>
  <c r="AB75" i="2" s="1"/>
  <c r="V76" i="2"/>
  <c r="V77" i="2"/>
  <c r="V78" i="2"/>
  <c r="V79" i="2"/>
  <c r="V80" i="2"/>
  <c r="V81" i="2"/>
  <c r="V82" i="2"/>
  <c r="V83" i="2"/>
  <c r="V84" i="2"/>
  <c r="AB84" i="2" s="1"/>
  <c r="V85" i="2"/>
  <c r="AB85" i="2" s="1"/>
  <c r="V86" i="2"/>
  <c r="AB86" i="2" s="1"/>
  <c r="V87" i="2"/>
  <c r="AB87" i="2" s="1"/>
  <c r="V88" i="2"/>
  <c r="V89" i="2"/>
  <c r="V90" i="2"/>
  <c r="V91" i="2"/>
  <c r="V92" i="2"/>
  <c r="V93" i="2"/>
  <c r="V94" i="2"/>
  <c r="V95" i="2"/>
  <c r="V96" i="2"/>
  <c r="AB96" i="2" s="1"/>
  <c r="V97" i="2"/>
  <c r="AB97" i="2" s="1"/>
  <c r="V98" i="2"/>
  <c r="AB98" i="2" s="1"/>
  <c r="V99" i="2"/>
  <c r="AB99" i="2" s="1"/>
  <c r="V100" i="2"/>
  <c r="V101" i="2"/>
  <c r="V102" i="2"/>
  <c r="V103" i="2"/>
  <c r="V104" i="2"/>
  <c r="V105" i="2"/>
  <c r="V106" i="2"/>
  <c r="V107" i="2"/>
  <c r="V108" i="2"/>
  <c r="AB108" i="2" s="1"/>
  <c r="V109" i="2"/>
  <c r="AB109" i="2" s="1"/>
  <c r="V110" i="2"/>
  <c r="AB110" i="2" s="1"/>
  <c r="V111" i="2"/>
  <c r="AB111" i="2" s="1"/>
  <c r="V112" i="2"/>
  <c r="V113" i="2"/>
  <c r="V114" i="2"/>
  <c r="V115" i="2"/>
  <c r="V116" i="2"/>
  <c r="V117" i="2"/>
  <c r="V118" i="2"/>
  <c r="V119" i="2"/>
  <c r="V120" i="2"/>
  <c r="AB120" i="2" s="1"/>
  <c r="V121" i="2"/>
  <c r="AB121" i="2" s="1"/>
  <c r="V122" i="2"/>
  <c r="AB122" i="2" s="1"/>
  <c r="V123" i="2"/>
  <c r="AB123" i="2" s="1"/>
  <c r="V124" i="2"/>
  <c r="V125" i="2"/>
  <c r="V126" i="2"/>
  <c r="V127" i="2"/>
  <c r="V128" i="2"/>
  <c r="V129" i="2"/>
  <c r="V130" i="2"/>
  <c r="V131" i="2"/>
  <c r="V132" i="2"/>
  <c r="AB132" i="2" s="1"/>
  <c r="V133" i="2"/>
  <c r="V134" i="2"/>
  <c r="AB134" i="2" s="1"/>
  <c r="V135" i="2"/>
  <c r="AB135" i="2" s="1"/>
  <c r="V136" i="2"/>
  <c r="V137" i="2"/>
  <c r="V138" i="2"/>
  <c r="V139" i="2"/>
  <c r="V140" i="2"/>
  <c r="V141" i="2"/>
  <c r="V142" i="2"/>
  <c r="V143" i="2"/>
  <c r="V144" i="2"/>
  <c r="AB144" i="2" s="1"/>
  <c r="V145" i="2"/>
  <c r="V146" i="2"/>
  <c r="V147" i="2"/>
  <c r="AB147" i="2" s="1"/>
  <c r="V148" i="2"/>
  <c r="V149" i="2"/>
  <c r="V150" i="2"/>
  <c r="V151" i="2"/>
  <c r="V152" i="2"/>
  <c r="V153" i="2"/>
  <c r="V154" i="2"/>
  <c r="V155" i="2"/>
  <c r="V156" i="2"/>
  <c r="AB156" i="2" s="1"/>
  <c r="V157" i="2"/>
  <c r="AB157" i="2" s="1"/>
  <c r="V158" i="2"/>
  <c r="AB158" i="2" s="1"/>
  <c r="V159" i="2"/>
  <c r="AB159" i="2" s="1"/>
  <c r="V160" i="2"/>
  <c r="V161" i="2"/>
  <c r="V162" i="2"/>
  <c r="V163" i="2"/>
  <c r="V164" i="2"/>
  <c r="V165" i="2"/>
  <c r="V166" i="2"/>
  <c r="V167" i="2"/>
  <c r="V168" i="2"/>
  <c r="V169" i="2"/>
  <c r="AB169" i="2" s="1"/>
  <c r="V170" i="2"/>
  <c r="AB170" i="2" s="1"/>
  <c r="V171" i="2"/>
  <c r="AB171" i="2" s="1"/>
  <c r="V172" i="2"/>
  <c r="V173" i="2"/>
  <c r="V174" i="2"/>
  <c r="V175" i="2"/>
  <c r="V176" i="2"/>
  <c r="V177" i="2"/>
  <c r="V178" i="2"/>
  <c r="V179" i="2"/>
  <c r="V180" i="2"/>
  <c r="AB180" i="2" s="1"/>
  <c r="V181" i="2"/>
  <c r="AB181" i="2" s="1"/>
  <c r="V182" i="2"/>
  <c r="AB182" i="2" s="1"/>
  <c r="V183" i="2"/>
  <c r="AB183" i="2" s="1"/>
  <c r="V184" i="2"/>
  <c r="V185" i="2"/>
  <c r="V186" i="2"/>
  <c r="V187" i="2"/>
  <c r="V188" i="2"/>
  <c r="V189" i="2"/>
  <c r="V190" i="2"/>
  <c r="V191" i="2"/>
  <c r="V192" i="2"/>
  <c r="AB192" i="2" s="1"/>
  <c r="V193" i="2"/>
  <c r="AB193" i="2" s="1"/>
  <c r="V194" i="2"/>
  <c r="AB194" i="2" s="1"/>
  <c r="V195" i="2"/>
  <c r="AB195" i="2" s="1"/>
  <c r="V196" i="2"/>
  <c r="V197" i="2"/>
  <c r="V198" i="2"/>
  <c r="V199" i="2"/>
  <c r="V200" i="2"/>
  <c r="V201" i="2"/>
  <c r="V202" i="2"/>
  <c r="V203" i="2"/>
  <c r="V204" i="2"/>
  <c r="AB204" i="2" s="1"/>
  <c r="V205" i="2"/>
  <c r="AB205" i="2" s="1"/>
  <c r="V206" i="2"/>
  <c r="AB206" i="2" s="1"/>
  <c r="V207" i="2"/>
  <c r="AB207" i="2" s="1"/>
  <c r="V208" i="2"/>
  <c r="V209" i="2"/>
  <c r="V210" i="2"/>
  <c r="V211" i="2"/>
  <c r="V212" i="2"/>
  <c r="V213" i="2"/>
  <c r="V214" i="2"/>
  <c r="V215" i="2"/>
  <c r="V216" i="2"/>
  <c r="AB216" i="2" s="1"/>
  <c r="V217" i="2"/>
  <c r="V218" i="2"/>
  <c r="AB218" i="2" s="1"/>
  <c r="V219" i="2"/>
  <c r="AB219" i="2" s="1"/>
  <c r="V220" i="2"/>
  <c r="V221" i="2"/>
  <c r="V222" i="2"/>
  <c r="V223" i="2"/>
  <c r="V224" i="2"/>
  <c r="V225" i="2"/>
  <c r="V226" i="2"/>
  <c r="V227" i="2"/>
  <c r="V228" i="2"/>
  <c r="V229" i="2"/>
  <c r="V230" i="2"/>
  <c r="AB230" i="2" s="1"/>
  <c r="V231" i="2"/>
  <c r="AB231" i="2" s="1"/>
  <c r="V232" i="2"/>
  <c r="V233" i="2"/>
  <c r="V234" i="2"/>
  <c r="V235" i="2"/>
  <c r="V236" i="2"/>
  <c r="V237" i="2"/>
  <c r="V238" i="2"/>
  <c r="V239" i="2"/>
  <c r="V240" i="2"/>
  <c r="V241" i="2"/>
  <c r="V242" i="2"/>
  <c r="AB242" i="2" s="1"/>
  <c r="V243" i="2"/>
  <c r="AB243" i="2" s="1"/>
  <c r="V244" i="2"/>
  <c r="V245" i="2"/>
  <c r="V246" i="2"/>
  <c r="V247" i="2"/>
  <c r="V248" i="2"/>
  <c r="V249" i="2"/>
  <c r="V250" i="2"/>
  <c r="V251" i="2"/>
  <c r="V252" i="2"/>
  <c r="AB252" i="2" s="1"/>
  <c r="V253" i="2"/>
  <c r="V254" i="2"/>
  <c r="V255" i="2"/>
  <c r="AB255" i="2" s="1"/>
  <c r="V256" i="2"/>
  <c r="V257" i="2"/>
  <c r="V258" i="2"/>
  <c r="V259" i="2"/>
  <c r="V260" i="2"/>
  <c r="V261" i="2"/>
  <c r="V262" i="2"/>
  <c r="V263" i="2"/>
  <c r="V264" i="2"/>
  <c r="AB264" i="2" s="1"/>
  <c r="V265" i="2"/>
  <c r="AB265" i="2" s="1"/>
  <c r="V266" i="2"/>
  <c r="AB266" i="2" s="1"/>
  <c r="V267" i="2"/>
  <c r="AB267" i="2" s="1"/>
  <c r="V268" i="2"/>
  <c r="V269" i="2"/>
  <c r="V270" i="2"/>
  <c r="V271" i="2"/>
  <c r="V272" i="2"/>
  <c r="V273" i="2"/>
  <c r="V274" i="2"/>
  <c r="V275" i="2"/>
  <c r="V276" i="2"/>
  <c r="AB276" i="2" s="1"/>
  <c r="V277" i="2"/>
  <c r="V278" i="2"/>
  <c r="V279" i="2"/>
  <c r="AB279" i="2" s="1"/>
  <c r="V280" i="2"/>
  <c r="V281" i="2"/>
  <c r="V282" i="2"/>
  <c r="V283" i="2"/>
  <c r="V284" i="2"/>
  <c r="V285" i="2"/>
  <c r="V286" i="2"/>
  <c r="V287" i="2"/>
  <c r="V288" i="2"/>
  <c r="AB288" i="2" s="1"/>
  <c r="V289" i="2"/>
  <c r="AB289" i="2" s="1"/>
  <c r="V290" i="2"/>
  <c r="AB290" i="2" s="1"/>
  <c r="V291" i="2"/>
  <c r="AB291" i="2" s="1"/>
  <c r="V292" i="2"/>
  <c r="V293" i="2"/>
  <c r="V294" i="2"/>
  <c r="V295" i="2"/>
  <c r="V296" i="2"/>
  <c r="V297" i="2"/>
  <c r="V298" i="2"/>
  <c r="V299" i="2"/>
  <c r="V300" i="2"/>
  <c r="AB300" i="2" s="1"/>
  <c r="V301" i="2"/>
  <c r="AB301" i="2" s="1"/>
  <c r="V302" i="2"/>
  <c r="AB302" i="2" s="1"/>
  <c r="V303" i="2"/>
  <c r="AB303" i="2" s="1"/>
  <c r="V304" i="2"/>
  <c r="V305" i="2"/>
  <c r="V306" i="2"/>
  <c r="V307" i="2"/>
  <c r="V308" i="2"/>
  <c r="V309" i="2"/>
  <c r="V310" i="2"/>
  <c r="V311" i="2"/>
  <c r="AB311" i="2" s="1"/>
  <c r="V312" i="2"/>
  <c r="AB312" i="2" s="1"/>
  <c r="V313" i="2"/>
  <c r="AB313" i="2" s="1"/>
  <c r="V314" i="2"/>
  <c r="AB314" i="2" s="1"/>
  <c r="V315" i="2"/>
  <c r="AB315" i="2" s="1"/>
  <c r="V316" i="2"/>
  <c r="V317" i="2"/>
  <c r="V318" i="2"/>
  <c r="V319" i="2"/>
  <c r="V320" i="2"/>
  <c r="V321" i="2"/>
  <c r="V322" i="2"/>
  <c r="V323" i="2"/>
  <c r="AB323" i="2" s="1"/>
  <c r="V324" i="2"/>
  <c r="AB324" i="2" s="1"/>
  <c r="V325" i="2"/>
  <c r="AB325" i="2" s="1"/>
  <c r="V326" i="2"/>
  <c r="AB326" i="2" s="1"/>
  <c r="V327" i="2"/>
  <c r="AB327" i="2" s="1"/>
  <c r="V328" i="2"/>
  <c r="V329" i="2"/>
  <c r="V330" i="2"/>
  <c r="V331" i="2"/>
  <c r="V332" i="2"/>
  <c r="V333" i="2"/>
  <c r="V334" i="2"/>
  <c r="V335" i="2"/>
  <c r="V336" i="2"/>
  <c r="AB336" i="2" s="1"/>
  <c r="V337" i="2"/>
  <c r="V338" i="2"/>
  <c r="V339" i="2"/>
  <c r="AB339" i="2" s="1"/>
  <c r="V340" i="2"/>
  <c r="V341" i="2"/>
  <c r="V342" i="2"/>
  <c r="V343" i="2"/>
  <c r="V344" i="2"/>
  <c r="V345" i="2"/>
  <c r="V346" i="2"/>
  <c r="V347" i="2"/>
  <c r="V348" i="2"/>
  <c r="AB348" i="2" s="1"/>
  <c r="V349" i="2"/>
  <c r="AB349" i="2" s="1"/>
  <c r="V350" i="2"/>
  <c r="AB350" i="2" s="1"/>
  <c r="V351" i="2"/>
  <c r="AB351" i="2" s="1"/>
  <c r="V352" i="2"/>
  <c r="V353" i="2"/>
  <c r="V354" i="2"/>
  <c r="V355" i="2"/>
  <c r="V356" i="2"/>
  <c r="V357" i="2"/>
  <c r="AB357" i="2" s="1"/>
  <c r="V358" i="2"/>
  <c r="V359" i="2"/>
  <c r="V360" i="2"/>
  <c r="AB360" i="2" s="1"/>
  <c r="V361" i="2"/>
  <c r="AB361" i="2" s="1"/>
  <c r="V362" i="2"/>
  <c r="AB362" i="2" s="1"/>
  <c r="V363" i="2"/>
  <c r="AB363" i="2" s="1"/>
  <c r="V364" i="2"/>
  <c r="V365" i="2"/>
  <c r="V366" i="2"/>
  <c r="V367" i="2"/>
  <c r="V368" i="2"/>
  <c r="V369" i="2"/>
  <c r="V370" i="2"/>
  <c r="V371" i="2"/>
  <c r="AB371" i="2" s="1"/>
  <c r="V372" i="2"/>
  <c r="V373" i="2"/>
  <c r="AB373" i="2" s="1"/>
  <c r="V374" i="2"/>
  <c r="AB374" i="2" s="1"/>
  <c r="V375" i="2"/>
  <c r="AB375" i="2" s="1"/>
  <c r="V376" i="2"/>
  <c r="V377" i="2"/>
  <c r="V378" i="2"/>
  <c r="V379" i="2"/>
  <c r="V380" i="2"/>
  <c r="V381" i="2"/>
  <c r="AB381" i="2" s="1"/>
  <c r="V382" i="2"/>
  <c r="V383" i="2"/>
  <c r="AB383" i="2" s="1"/>
  <c r="V384" i="2"/>
  <c r="AB384" i="2" s="1"/>
  <c r="V385" i="2"/>
  <c r="AB385" i="2" s="1"/>
  <c r="V386" i="2"/>
  <c r="AB386" i="2" s="1"/>
  <c r="V387" i="2"/>
  <c r="AB387" i="2" s="1"/>
  <c r="V388" i="2"/>
  <c r="V389" i="2"/>
  <c r="V390" i="2"/>
  <c r="V391" i="2"/>
  <c r="V392" i="2"/>
  <c r="V393" i="2"/>
  <c r="V394" i="2"/>
  <c r="AB394" i="2" s="1"/>
  <c r="V395" i="2"/>
  <c r="V396" i="2"/>
  <c r="V397" i="2"/>
  <c r="AB397" i="2" s="1"/>
  <c r="V398" i="2"/>
  <c r="AB398" i="2" s="1"/>
  <c r="V399" i="2"/>
  <c r="AB399" i="2" s="1"/>
  <c r="V400" i="2"/>
  <c r="V401" i="2"/>
  <c r="V402" i="2"/>
  <c r="V403" i="2"/>
  <c r="V404" i="2"/>
  <c r="V405" i="2"/>
  <c r="V406" i="2"/>
  <c r="V407" i="2"/>
  <c r="V408" i="2"/>
  <c r="V409" i="2"/>
  <c r="V410" i="2"/>
  <c r="AB410" i="2" s="1"/>
  <c r="V411" i="2"/>
  <c r="AB411" i="2" s="1"/>
  <c r="V412" i="2"/>
  <c r="V413" i="2"/>
  <c r="V414" i="2"/>
  <c r="V415" i="2"/>
  <c r="V416" i="2"/>
  <c r="V417" i="2"/>
  <c r="V418" i="2"/>
  <c r="V419" i="2"/>
  <c r="V420" i="2"/>
  <c r="V421" i="2"/>
  <c r="V422" i="2"/>
  <c r="AB422" i="2" s="1"/>
  <c r="V423" i="2"/>
  <c r="AB423" i="2" s="1"/>
  <c r="V424" i="2"/>
  <c r="V425" i="2"/>
  <c r="V426" i="2"/>
  <c r="V427" i="2"/>
  <c r="V428" i="2"/>
  <c r="V429" i="2"/>
  <c r="V430" i="2"/>
  <c r="V431" i="2"/>
  <c r="V432" i="2"/>
  <c r="V433" i="2"/>
  <c r="AB433" i="2" s="1"/>
  <c r="V434" i="2"/>
  <c r="V435" i="2"/>
  <c r="AB435" i="2" s="1"/>
  <c r="V436" i="2"/>
  <c r="V437" i="2"/>
  <c r="V438" i="2"/>
  <c r="V439" i="2"/>
  <c r="AB439" i="2" s="1"/>
  <c r="V440" i="2"/>
  <c r="V441" i="2"/>
  <c r="V442" i="2"/>
  <c r="V443" i="2"/>
  <c r="V444" i="2"/>
  <c r="AB444" i="2" s="1"/>
  <c r="V445" i="2"/>
  <c r="AB445" i="2" s="1"/>
  <c r="V446" i="2"/>
  <c r="AB446" i="2" s="1"/>
  <c r="V447" i="2"/>
  <c r="AB447" i="2" s="1"/>
  <c r="V448" i="2"/>
  <c r="V449" i="2"/>
  <c r="AB449" i="2" s="1"/>
  <c r="V450" i="2"/>
  <c r="V451" i="2"/>
  <c r="AB451" i="2" s="1"/>
  <c r="V452" i="2"/>
  <c r="V453" i="2"/>
  <c r="AB453" i="2" s="1"/>
  <c r="V454" i="2"/>
  <c r="V455" i="2"/>
  <c r="V456" i="2"/>
  <c r="AB456" i="2" s="1"/>
  <c r="V457" i="2"/>
  <c r="AB457" i="2" s="1"/>
  <c r="V458" i="2"/>
  <c r="AB458" i="2" s="1"/>
  <c r="V459" i="2"/>
  <c r="AB459" i="2" s="1"/>
  <c r="V460" i="2"/>
  <c r="V461" i="2"/>
  <c r="V462" i="2"/>
  <c r="V463" i="2"/>
  <c r="V464" i="2"/>
  <c r="V465" i="2"/>
  <c r="V466" i="2"/>
  <c r="AB466" i="2" s="1"/>
  <c r="V467" i="2"/>
  <c r="AB467" i="2" s="1"/>
  <c r="V468" i="2"/>
  <c r="AB468" i="2" s="1"/>
  <c r="V469" i="2"/>
  <c r="AB469" i="2" s="1"/>
  <c r="V470" i="2"/>
  <c r="AB470" i="2" s="1"/>
  <c r="V471" i="2"/>
  <c r="AB471" i="2" s="1"/>
  <c r="V472" i="2"/>
  <c r="V473" i="2"/>
  <c r="V474" i="2"/>
  <c r="V475" i="2"/>
  <c r="V476" i="2"/>
  <c r="V477" i="2"/>
  <c r="V478" i="2"/>
  <c r="AB478" i="2" s="1"/>
  <c r="V479" i="2"/>
  <c r="AB479" i="2" s="1"/>
  <c r="V480" i="2"/>
  <c r="V481" i="2"/>
  <c r="AB481" i="2" s="1"/>
  <c r="V482" i="2"/>
  <c r="AB482" i="2" s="1"/>
  <c r="V483" i="2"/>
  <c r="AB483" i="2" s="1"/>
  <c r="V484" i="2"/>
  <c r="V485" i="2"/>
  <c r="V486" i="2"/>
  <c r="V487" i="2"/>
  <c r="AB487" i="2" s="1"/>
  <c r="V488" i="2"/>
  <c r="V489" i="2"/>
  <c r="AB489" i="2" s="1"/>
  <c r="V490" i="2"/>
  <c r="V491" i="2"/>
  <c r="AB491" i="2" s="1"/>
  <c r="V492" i="2"/>
  <c r="AB492" i="2" s="1"/>
  <c r="V493" i="2"/>
  <c r="AB493" i="2" s="1"/>
  <c r="V494" i="2"/>
  <c r="AB494" i="2" s="1"/>
  <c r="V495" i="2"/>
  <c r="AB495" i="2" s="1"/>
  <c r="V496" i="2"/>
  <c r="V497" i="2"/>
  <c r="V498" i="2"/>
  <c r="V499" i="2"/>
  <c r="AB499" i="2" s="1"/>
  <c r="V500" i="2"/>
  <c r="V501" i="2"/>
  <c r="AB501" i="2" s="1"/>
  <c r="V502" i="2"/>
  <c r="V503" i="2"/>
  <c r="AB503" i="2" s="1"/>
  <c r="V504" i="2"/>
  <c r="AB504" i="2" s="1"/>
  <c r="V505" i="2"/>
  <c r="AB505" i="2" s="1"/>
  <c r="V506" i="2"/>
  <c r="AB506" i="2" s="1"/>
  <c r="V507" i="2"/>
  <c r="AB507" i="2" s="1"/>
  <c r="V508" i="2"/>
  <c r="V509" i="2"/>
  <c r="V510" i="2"/>
  <c r="V511" i="2"/>
  <c r="AB511" i="2" s="1"/>
  <c r="V512" i="2"/>
  <c r="V513" i="2"/>
  <c r="AB513" i="2" s="1"/>
  <c r="V514" i="2"/>
  <c r="AB514" i="2" s="1"/>
  <c r="V515" i="2"/>
  <c r="AB515" i="2" s="1"/>
  <c r="V516" i="2"/>
  <c r="AB516" i="2" s="1"/>
  <c r="V517" i="2"/>
  <c r="AB517" i="2" s="1"/>
  <c r="V518" i="2"/>
  <c r="AB518" i="2" s="1"/>
  <c r="V519" i="2"/>
  <c r="AB519" i="2" s="1"/>
  <c r="V520" i="2"/>
  <c r="V521" i="2"/>
  <c r="V522" i="2"/>
  <c r="V523" i="2"/>
  <c r="AB523" i="2" s="1"/>
  <c r="V524" i="2"/>
  <c r="V525" i="2"/>
  <c r="V526" i="2"/>
  <c r="AB526" i="2" s="1"/>
  <c r="V527" i="2"/>
  <c r="V528" i="2"/>
  <c r="V529" i="2"/>
  <c r="AB529" i="2" s="1"/>
  <c r="V530" i="2"/>
  <c r="AB530" i="2" s="1"/>
  <c r="V531" i="2"/>
  <c r="AB531" i="2" s="1"/>
  <c r="V532" i="2"/>
  <c r="V533" i="2"/>
  <c r="V534" i="2"/>
  <c r="V535" i="2"/>
  <c r="V536" i="2"/>
  <c r="V537" i="2"/>
  <c r="V538" i="2"/>
  <c r="AB538" i="2" s="1"/>
  <c r="V539" i="2"/>
  <c r="AB539" i="2" s="1"/>
  <c r="V540" i="2"/>
  <c r="AB540" i="2" s="1"/>
  <c r="V541" i="2"/>
  <c r="AB541" i="2" s="1"/>
  <c r="V542" i="2"/>
  <c r="AB542" i="2" s="1"/>
  <c r="V543" i="2"/>
  <c r="AB543" i="2" s="1"/>
  <c r="V544" i="2"/>
  <c r="V545" i="2"/>
  <c r="V546" i="2"/>
  <c r="V547" i="2"/>
  <c r="V548" i="2"/>
  <c r="V549" i="2"/>
  <c r="V550" i="2"/>
  <c r="V551" i="2"/>
  <c r="AB551" i="2" s="1"/>
  <c r="V552" i="2"/>
  <c r="AB552" i="2" s="1"/>
  <c r="V553" i="2"/>
  <c r="AB553" i="2" s="1"/>
  <c r="V554" i="2"/>
  <c r="AB554" i="2" s="1"/>
  <c r="V555" i="2"/>
  <c r="AB555" i="2" s="1"/>
  <c r="V556" i="2"/>
  <c r="V557" i="2"/>
  <c r="V558" i="2"/>
  <c r="V559" i="2"/>
  <c r="V560" i="2"/>
  <c r="V561" i="2"/>
  <c r="V562" i="2"/>
  <c r="V563" i="2"/>
  <c r="AB563" i="2" s="1"/>
  <c r="V564" i="2"/>
  <c r="V565" i="2"/>
  <c r="AB565" i="2" s="1"/>
  <c r="V566" i="2"/>
  <c r="AB566" i="2" s="1"/>
  <c r="V567" i="2"/>
  <c r="AB567" i="2" s="1"/>
  <c r="V568" i="2"/>
  <c r="V569" i="2"/>
  <c r="AB569" i="2" s="1"/>
  <c r="V570" i="2"/>
  <c r="V571" i="2"/>
  <c r="AB571" i="2" s="1"/>
  <c r="V572" i="2"/>
  <c r="V573" i="2"/>
  <c r="V574" i="2"/>
  <c r="V575" i="2"/>
  <c r="V576" i="2"/>
  <c r="V577" i="2"/>
  <c r="V578" i="2"/>
  <c r="V579" i="2"/>
  <c r="AB579" i="2" s="1"/>
  <c r="V580" i="2"/>
  <c r="V581" i="2"/>
  <c r="AB581" i="2" s="1"/>
  <c r="V582" i="2"/>
  <c r="V583" i="2"/>
  <c r="AB583" i="2" s="1"/>
  <c r="V584" i="2"/>
  <c r="V585" i="2"/>
  <c r="V586" i="2"/>
  <c r="V587" i="2"/>
  <c r="V588" i="2"/>
  <c r="AB588" i="2" s="1"/>
  <c r="V589" i="2"/>
  <c r="V590" i="2"/>
  <c r="V591" i="2"/>
  <c r="AB591" i="2" s="1"/>
  <c r="V592" i="2"/>
  <c r="V593" i="2"/>
  <c r="V594" i="2"/>
  <c r="V595" i="2"/>
  <c r="V596" i="2"/>
  <c r="V597" i="2"/>
  <c r="V598" i="2"/>
  <c r="V599" i="2"/>
  <c r="V600" i="2"/>
  <c r="AB600" i="2" s="1"/>
  <c r="V601" i="2"/>
  <c r="AB601" i="2" s="1"/>
  <c r="V602" i="2"/>
  <c r="AB602" i="2" s="1"/>
  <c r="V603" i="2"/>
  <c r="AB603" i="2" s="1"/>
  <c r="V604" i="2"/>
  <c r="V605" i="2"/>
  <c r="AB605" i="2" s="1"/>
  <c r="V606" i="2"/>
  <c r="V607" i="2"/>
  <c r="AB607" i="2" s="1"/>
  <c r="V608" i="2"/>
  <c r="V609" i="2"/>
  <c r="AB609" i="2" s="1"/>
  <c r="V610" i="2"/>
  <c r="AB610" i="2" s="1"/>
  <c r="V611" i="2"/>
  <c r="AB611" i="2" s="1"/>
  <c r="V612" i="2"/>
  <c r="AB612" i="2" s="1"/>
  <c r="V613" i="2"/>
  <c r="AB613" i="2" s="1"/>
  <c r="V614" i="2"/>
  <c r="AB614" i="2" s="1"/>
  <c r="V615" i="2"/>
  <c r="AB615" i="2" s="1"/>
  <c r="V616" i="2"/>
  <c r="V617" i="2"/>
  <c r="AB617" i="2" s="1"/>
  <c r="V618" i="2"/>
  <c r="V619" i="2"/>
  <c r="AB619" i="2" s="1"/>
  <c r="V620" i="2"/>
  <c r="V621" i="2"/>
  <c r="AB621" i="2" s="1"/>
  <c r="V622" i="2"/>
  <c r="AB622" i="2" s="1"/>
  <c r="V623" i="2"/>
  <c r="AB623" i="2" s="1"/>
  <c r="V624" i="2"/>
  <c r="AB624" i="2" s="1"/>
  <c r="V625" i="2"/>
  <c r="AB625" i="2" s="1"/>
  <c r="V626" i="2"/>
  <c r="AB626" i="2" s="1"/>
  <c r="V627" i="2"/>
  <c r="AB627" i="2" s="1"/>
  <c r="V628" i="2"/>
  <c r="V629" i="2"/>
  <c r="AB629" i="2" s="1"/>
  <c r="V630" i="2"/>
  <c r="V631" i="2"/>
  <c r="AB631" i="2" s="1"/>
  <c r="V632" i="2"/>
  <c r="V633" i="2"/>
  <c r="AB633" i="2" s="1"/>
  <c r="V634" i="2"/>
  <c r="AB634" i="2" s="1"/>
  <c r="V635" i="2"/>
  <c r="V636" i="2"/>
  <c r="AB636" i="2" s="1"/>
  <c r="V637" i="2"/>
  <c r="AB637" i="2" s="1"/>
  <c r="V638" i="2"/>
  <c r="AB638" i="2" s="1"/>
  <c r="V639" i="2"/>
  <c r="AB639" i="2" s="1"/>
  <c r="V640" i="2"/>
  <c r="V641" i="2"/>
  <c r="V642" i="2"/>
  <c r="V643" i="2"/>
  <c r="AB643" i="2" s="1"/>
  <c r="V644" i="2"/>
  <c r="V645" i="2"/>
  <c r="V646" i="2"/>
  <c r="AB646" i="2" s="1"/>
  <c r="V647" i="2"/>
  <c r="AB647" i="2" s="1"/>
  <c r="V648" i="2"/>
  <c r="AB648" i="2" s="1"/>
  <c r="V649" i="2"/>
  <c r="AB649" i="2" s="1"/>
  <c r="V650" i="2"/>
  <c r="AB650" i="2" s="1"/>
  <c r="V651" i="2"/>
  <c r="AB651" i="2" s="1"/>
  <c r="V652" i="2"/>
  <c r="V653" i="2"/>
  <c r="V654" i="2"/>
  <c r="V655" i="2"/>
  <c r="AB655" i="2" s="1"/>
  <c r="V656" i="2"/>
  <c r="V657" i="2"/>
  <c r="AB657" i="2" s="1"/>
  <c r="V658" i="2"/>
  <c r="AB658" i="2" s="1"/>
  <c r="V659" i="2"/>
  <c r="AB659" i="2" s="1"/>
  <c r="V660" i="2"/>
  <c r="V661" i="2"/>
  <c r="AB661" i="2" s="1"/>
  <c r="V662" i="2"/>
  <c r="AB662" i="2" s="1"/>
  <c r="V663" i="2"/>
  <c r="AB663" i="2" s="1"/>
  <c r="V664" i="2"/>
  <c r="V665" i="2"/>
  <c r="V666" i="2"/>
  <c r="V667" i="2"/>
  <c r="V668" i="2"/>
  <c r="V669" i="2"/>
  <c r="AB669" i="2" s="1"/>
  <c r="V670" i="2"/>
  <c r="AB670" i="2" s="1"/>
  <c r="V671" i="2"/>
  <c r="AB671" i="2" s="1"/>
  <c r="V672" i="2"/>
  <c r="AB672" i="2" s="1"/>
  <c r="V673" i="2"/>
  <c r="AB673" i="2" s="1"/>
  <c r="V674" i="2"/>
  <c r="AB674" i="2" s="1"/>
  <c r="V675" i="2"/>
  <c r="AB675" i="2" s="1"/>
  <c r="V676" i="2"/>
  <c r="V677" i="2"/>
  <c r="V678" i="2"/>
  <c r="V679" i="2"/>
  <c r="V680" i="2"/>
  <c r="V681" i="2"/>
  <c r="AB681" i="2" s="1"/>
  <c r="V682" i="2"/>
  <c r="AB682" i="2" s="1"/>
  <c r="V683" i="2"/>
  <c r="V684" i="2"/>
  <c r="V685" i="2"/>
  <c r="AB685" i="2" s="1"/>
  <c r="V686" i="2"/>
  <c r="AB686" i="2" s="1"/>
  <c r="V687" i="2"/>
  <c r="AB687" i="2" s="1"/>
  <c r="V688" i="2"/>
  <c r="V689" i="2"/>
  <c r="V690" i="2"/>
  <c r="V691" i="2"/>
  <c r="V692" i="2"/>
  <c r="V693" i="2"/>
  <c r="V694" i="2"/>
  <c r="V695" i="2"/>
  <c r="V696" i="2"/>
  <c r="AB696" i="2" s="1"/>
  <c r="V697" i="2"/>
  <c r="AB697" i="2" s="1"/>
  <c r="V698" i="2"/>
  <c r="AB698" i="2" s="1"/>
  <c r="V699" i="2"/>
  <c r="AB699" i="2" s="1"/>
  <c r="V700" i="2"/>
  <c r="V701" i="2"/>
  <c r="V702" i="2"/>
  <c r="AB702" i="2" s="1"/>
  <c r="V703" i="2"/>
  <c r="V704" i="2"/>
  <c r="V705" i="2"/>
  <c r="V706" i="2"/>
  <c r="V707" i="2"/>
  <c r="V708" i="2"/>
  <c r="V709" i="2"/>
  <c r="V710" i="2"/>
  <c r="AB710" i="2" s="1"/>
  <c r="V711" i="2"/>
  <c r="AB711" i="2" s="1"/>
  <c r="U709" i="2"/>
  <c r="U4" i="2"/>
  <c r="U5" i="2"/>
  <c r="U6" i="2"/>
  <c r="U7" i="2"/>
  <c r="U8" i="2"/>
  <c r="AA8" i="2" s="1"/>
  <c r="U9" i="2"/>
  <c r="U10" i="2"/>
  <c r="U11" i="2"/>
  <c r="U12" i="2"/>
  <c r="U13" i="2"/>
  <c r="AA13" i="2" s="1"/>
  <c r="U14" i="2"/>
  <c r="AA14" i="2" s="1"/>
  <c r="U15" i="2"/>
  <c r="U16" i="2"/>
  <c r="U17" i="2"/>
  <c r="U18" i="2"/>
  <c r="U19" i="2"/>
  <c r="U20" i="2"/>
  <c r="AA20" i="2" s="1"/>
  <c r="U21" i="2"/>
  <c r="U22" i="2"/>
  <c r="U23" i="2"/>
  <c r="U24" i="2"/>
  <c r="U25" i="2"/>
  <c r="AA25" i="2" s="1"/>
  <c r="U26" i="2"/>
  <c r="AA26" i="2" s="1"/>
  <c r="U27" i="2"/>
  <c r="AA27" i="2" s="1"/>
  <c r="U28" i="2"/>
  <c r="U29" i="2"/>
  <c r="U30" i="2"/>
  <c r="U31" i="2"/>
  <c r="U32" i="2"/>
  <c r="U33" i="2"/>
  <c r="U34" i="2"/>
  <c r="U35" i="2"/>
  <c r="U36" i="2"/>
  <c r="U37" i="2"/>
  <c r="AA37" i="2" s="1"/>
  <c r="U38" i="2"/>
  <c r="AA38" i="2" s="1"/>
  <c r="U39" i="2"/>
  <c r="AA39" i="2" s="1"/>
  <c r="U40" i="2"/>
  <c r="U41" i="2"/>
  <c r="U42" i="2"/>
  <c r="U43" i="2"/>
  <c r="U44" i="2"/>
  <c r="U45" i="2"/>
  <c r="U46" i="2"/>
  <c r="U47" i="2"/>
  <c r="U48" i="2"/>
  <c r="U49" i="2"/>
  <c r="AA49" i="2" s="1"/>
  <c r="U50" i="2"/>
  <c r="AA50" i="2" s="1"/>
  <c r="U51" i="2"/>
  <c r="AA51" i="2" s="1"/>
  <c r="U52" i="2"/>
  <c r="U53" i="2"/>
  <c r="U54" i="2"/>
  <c r="U55" i="2"/>
  <c r="U56" i="2"/>
  <c r="U57" i="2"/>
  <c r="U58" i="2"/>
  <c r="U59" i="2"/>
  <c r="U60" i="2"/>
  <c r="U61" i="2"/>
  <c r="AA61" i="2" s="1"/>
  <c r="U62" i="2"/>
  <c r="AA62" i="2" s="1"/>
  <c r="U63" i="2"/>
  <c r="AA63" i="2" s="1"/>
  <c r="U64" i="2"/>
  <c r="U65" i="2"/>
  <c r="U66" i="2"/>
  <c r="U67" i="2"/>
  <c r="U68" i="2"/>
  <c r="U69" i="2"/>
  <c r="U70" i="2"/>
  <c r="U71" i="2"/>
  <c r="U72" i="2"/>
  <c r="U73" i="2"/>
  <c r="AA73" i="2" s="1"/>
  <c r="U74" i="2"/>
  <c r="AA74" i="2" s="1"/>
  <c r="U75" i="2"/>
  <c r="AA75" i="2" s="1"/>
  <c r="U76" i="2"/>
  <c r="U77" i="2"/>
  <c r="U78" i="2"/>
  <c r="U79" i="2"/>
  <c r="U80" i="2"/>
  <c r="U81" i="2"/>
  <c r="U82" i="2"/>
  <c r="U83" i="2"/>
  <c r="U84" i="2"/>
  <c r="U85" i="2"/>
  <c r="AA85" i="2" s="1"/>
  <c r="U86" i="2"/>
  <c r="AA86" i="2" s="1"/>
  <c r="U87" i="2"/>
  <c r="AA87" i="2" s="1"/>
  <c r="U88" i="2"/>
  <c r="U89" i="2"/>
  <c r="U90" i="2"/>
  <c r="U91" i="2"/>
  <c r="AA91" i="2" s="1"/>
  <c r="U92" i="2"/>
  <c r="AA92" i="2" s="1"/>
  <c r="U93" i="2"/>
  <c r="U94" i="2"/>
  <c r="U95" i="2"/>
  <c r="U96" i="2"/>
  <c r="U97" i="2"/>
  <c r="U98" i="2"/>
  <c r="U99" i="2"/>
  <c r="AA99" i="2" s="1"/>
  <c r="U100" i="2"/>
  <c r="U101" i="2"/>
  <c r="U102" i="2"/>
  <c r="U103" i="2"/>
  <c r="AA103" i="2" s="1"/>
  <c r="U104" i="2"/>
  <c r="U105" i="2"/>
  <c r="U106" i="2"/>
  <c r="U107" i="2"/>
  <c r="U108" i="2"/>
  <c r="U109" i="2"/>
  <c r="AA109" i="2" s="1"/>
  <c r="U110" i="2"/>
  <c r="AA110" i="2" s="1"/>
  <c r="U111" i="2"/>
  <c r="AA111" i="2" s="1"/>
  <c r="U112" i="2"/>
  <c r="U113" i="2"/>
  <c r="U114" i="2"/>
  <c r="U115" i="2"/>
  <c r="AA115" i="2" s="1"/>
  <c r="U116" i="2"/>
  <c r="AA116" i="2" s="1"/>
  <c r="U117" i="2"/>
  <c r="U118" i="2"/>
  <c r="U119" i="2"/>
  <c r="U120" i="2"/>
  <c r="U121" i="2"/>
  <c r="AA121" i="2" s="1"/>
  <c r="U122" i="2"/>
  <c r="AA122" i="2" s="1"/>
  <c r="U123" i="2"/>
  <c r="AA123" i="2" s="1"/>
  <c r="U124" i="2"/>
  <c r="U125" i="2"/>
  <c r="U126" i="2"/>
  <c r="U127" i="2"/>
  <c r="U128" i="2"/>
  <c r="U129" i="2"/>
  <c r="U130" i="2"/>
  <c r="U131" i="2"/>
  <c r="U132" i="2"/>
  <c r="U133" i="2"/>
  <c r="AA133" i="2" s="1"/>
  <c r="U134" i="2"/>
  <c r="AA134" i="2" s="1"/>
  <c r="U135" i="2"/>
  <c r="AA135" i="2" s="1"/>
  <c r="U136" i="2"/>
  <c r="U137" i="2"/>
  <c r="U138" i="2"/>
  <c r="U139" i="2"/>
  <c r="U140" i="2"/>
  <c r="U141" i="2"/>
  <c r="U142" i="2"/>
  <c r="U143" i="2"/>
  <c r="U144" i="2"/>
  <c r="U145" i="2"/>
  <c r="AA145" i="2" s="1"/>
  <c r="U146" i="2"/>
  <c r="AA146" i="2" s="1"/>
  <c r="U147" i="2"/>
  <c r="AA147" i="2" s="1"/>
  <c r="U148" i="2"/>
  <c r="U149" i="2"/>
  <c r="U150" i="2"/>
  <c r="U151" i="2"/>
  <c r="U152" i="2"/>
  <c r="U153" i="2"/>
  <c r="U154" i="2"/>
  <c r="U155" i="2"/>
  <c r="U156" i="2"/>
  <c r="U157" i="2"/>
  <c r="AA157" i="2" s="1"/>
  <c r="U158" i="2"/>
  <c r="AA158" i="2" s="1"/>
  <c r="U159" i="2"/>
  <c r="AA159" i="2" s="1"/>
  <c r="U160" i="2"/>
  <c r="U161" i="2"/>
  <c r="U162" i="2"/>
  <c r="U163" i="2"/>
  <c r="U164" i="2"/>
  <c r="U165" i="2"/>
  <c r="U166" i="2"/>
  <c r="U167" i="2"/>
  <c r="U168" i="2"/>
  <c r="U169" i="2"/>
  <c r="AA169" i="2" s="1"/>
  <c r="U170" i="2"/>
  <c r="AA170" i="2" s="1"/>
  <c r="U171" i="2"/>
  <c r="AA171" i="2" s="1"/>
  <c r="U172" i="2"/>
  <c r="U173" i="2"/>
  <c r="U174" i="2"/>
  <c r="U175" i="2"/>
  <c r="U176" i="2"/>
  <c r="U177" i="2"/>
  <c r="U178" i="2"/>
  <c r="U179" i="2"/>
  <c r="U180" i="2"/>
  <c r="U181" i="2"/>
  <c r="U182" i="2"/>
  <c r="U183" i="2"/>
  <c r="AA183" i="2" s="1"/>
  <c r="U184" i="2"/>
  <c r="U185" i="2"/>
  <c r="U186" i="2"/>
  <c r="U187" i="2"/>
  <c r="AA187" i="2" s="1"/>
  <c r="U188" i="2"/>
  <c r="U189" i="2"/>
  <c r="U190" i="2"/>
  <c r="U191" i="2"/>
  <c r="U192" i="2"/>
  <c r="U193" i="2"/>
  <c r="AA193" i="2" s="1"/>
  <c r="U194" i="2"/>
  <c r="AA194" i="2" s="1"/>
  <c r="U195" i="2"/>
  <c r="AA195" i="2" s="1"/>
  <c r="U196" i="2"/>
  <c r="U197" i="2"/>
  <c r="U198" i="2"/>
  <c r="U199" i="2"/>
  <c r="AA199" i="2" s="1"/>
  <c r="U200" i="2"/>
  <c r="AA200" i="2" s="1"/>
  <c r="U201" i="2"/>
  <c r="U202" i="2"/>
  <c r="U203" i="2"/>
  <c r="U204" i="2"/>
  <c r="U205" i="2"/>
  <c r="AA205" i="2" s="1"/>
  <c r="U206" i="2"/>
  <c r="AA206" i="2" s="1"/>
  <c r="U207" i="2"/>
  <c r="AA207" i="2" s="1"/>
  <c r="U208" i="2"/>
  <c r="U209" i="2"/>
  <c r="U210" i="2"/>
  <c r="U211" i="2"/>
  <c r="U212" i="2"/>
  <c r="AA212" i="2" s="1"/>
  <c r="U213" i="2"/>
  <c r="U214" i="2"/>
  <c r="U215" i="2"/>
  <c r="U216" i="2"/>
  <c r="U217" i="2"/>
  <c r="AA217" i="2" s="1"/>
  <c r="U218" i="2"/>
  <c r="AA218" i="2" s="1"/>
  <c r="U219" i="2"/>
  <c r="AA219" i="2" s="1"/>
  <c r="U220" i="2"/>
  <c r="U221" i="2"/>
  <c r="U222" i="2"/>
  <c r="U223" i="2"/>
  <c r="U224" i="2"/>
  <c r="AA224" i="2" s="1"/>
  <c r="U225" i="2"/>
  <c r="U226" i="2"/>
  <c r="U227" i="2"/>
  <c r="U228" i="2"/>
  <c r="U229" i="2"/>
  <c r="AA229" i="2" s="1"/>
  <c r="U230" i="2"/>
  <c r="AA230" i="2" s="1"/>
  <c r="U231" i="2"/>
  <c r="AA231" i="2" s="1"/>
  <c r="U232" i="2"/>
  <c r="U233" i="2"/>
  <c r="U234" i="2"/>
  <c r="U235" i="2"/>
  <c r="U236" i="2"/>
  <c r="U237" i="2"/>
  <c r="U238" i="2"/>
  <c r="U239" i="2"/>
  <c r="U240" i="2"/>
  <c r="U241" i="2"/>
  <c r="AA241" i="2" s="1"/>
  <c r="U242" i="2"/>
  <c r="AA242" i="2" s="1"/>
  <c r="U243" i="2"/>
  <c r="AA243" i="2" s="1"/>
  <c r="U244" i="2"/>
  <c r="U245" i="2"/>
  <c r="U246" i="2"/>
  <c r="U247" i="2"/>
  <c r="U248" i="2"/>
  <c r="U249" i="2"/>
  <c r="U250" i="2"/>
  <c r="U251" i="2"/>
  <c r="U252" i="2"/>
  <c r="U253" i="2"/>
  <c r="AA253" i="2" s="1"/>
  <c r="U254" i="2"/>
  <c r="AA254" i="2" s="1"/>
  <c r="U255" i="2"/>
  <c r="AA255" i="2" s="1"/>
  <c r="U256" i="2"/>
  <c r="U257" i="2"/>
  <c r="U258" i="2"/>
  <c r="U259" i="2"/>
  <c r="U260" i="2"/>
  <c r="U261" i="2"/>
  <c r="U262" i="2"/>
  <c r="U263" i="2"/>
  <c r="U264" i="2"/>
  <c r="U265" i="2"/>
  <c r="U266" i="2"/>
  <c r="U267" i="2"/>
  <c r="AA267" i="2" s="1"/>
  <c r="U268" i="2"/>
  <c r="U269" i="2"/>
  <c r="U270" i="2"/>
  <c r="U271" i="2"/>
  <c r="U272" i="2"/>
  <c r="U273" i="2"/>
  <c r="U274" i="2"/>
  <c r="U275" i="2"/>
  <c r="U276" i="2"/>
  <c r="U277" i="2"/>
  <c r="AA277" i="2" s="1"/>
  <c r="U278" i="2"/>
  <c r="AA278" i="2" s="1"/>
  <c r="U279" i="2"/>
  <c r="AA279" i="2" s="1"/>
  <c r="U280" i="2"/>
  <c r="U281" i="2"/>
  <c r="U282" i="2"/>
  <c r="U283" i="2"/>
  <c r="U284" i="2"/>
  <c r="U285" i="2"/>
  <c r="U286" i="2"/>
  <c r="U287" i="2"/>
  <c r="U288" i="2"/>
  <c r="U289" i="2"/>
  <c r="AA289" i="2" s="1"/>
  <c r="U290" i="2"/>
  <c r="AA290" i="2" s="1"/>
  <c r="U291" i="2"/>
  <c r="AA291" i="2" s="1"/>
  <c r="U292" i="2"/>
  <c r="U293" i="2"/>
  <c r="U294" i="2"/>
  <c r="U295" i="2"/>
  <c r="AA295" i="2" s="1"/>
  <c r="U296" i="2"/>
  <c r="AA296" i="2" s="1"/>
  <c r="U297" i="2"/>
  <c r="U298" i="2"/>
  <c r="U299" i="2"/>
  <c r="U300" i="2"/>
  <c r="U301" i="2"/>
  <c r="AA301" i="2" s="1"/>
  <c r="U302" i="2"/>
  <c r="AA302" i="2" s="1"/>
  <c r="U303" i="2"/>
  <c r="AA303" i="2" s="1"/>
  <c r="U304" i="2"/>
  <c r="U305" i="2"/>
  <c r="U306" i="2"/>
  <c r="U307" i="2"/>
  <c r="AA307" i="2" s="1"/>
  <c r="U308" i="2"/>
  <c r="AA308" i="2" s="1"/>
  <c r="U309" i="2"/>
  <c r="U310" i="2"/>
  <c r="U311" i="2"/>
  <c r="U312" i="2"/>
  <c r="U313" i="2"/>
  <c r="AA313" i="2" s="1"/>
  <c r="U314" i="2"/>
  <c r="AA314" i="2" s="1"/>
  <c r="U315" i="2"/>
  <c r="AA315" i="2" s="1"/>
  <c r="U316" i="2"/>
  <c r="U317" i="2"/>
  <c r="U318" i="2"/>
  <c r="U319" i="2"/>
  <c r="AA319" i="2" s="1"/>
  <c r="U320" i="2"/>
  <c r="AA320" i="2" s="1"/>
  <c r="U321" i="2"/>
  <c r="U322" i="2"/>
  <c r="U323" i="2"/>
  <c r="U324" i="2"/>
  <c r="U325" i="2"/>
  <c r="AA325" i="2" s="1"/>
  <c r="U326" i="2"/>
  <c r="AA326" i="2" s="1"/>
  <c r="U327" i="2"/>
  <c r="AA327" i="2" s="1"/>
  <c r="U328" i="2"/>
  <c r="U329" i="2"/>
  <c r="U330" i="2"/>
  <c r="U331" i="2"/>
  <c r="U332" i="2"/>
  <c r="U333" i="2"/>
  <c r="U334" i="2"/>
  <c r="U335" i="2"/>
  <c r="U336" i="2"/>
  <c r="U337" i="2"/>
  <c r="AA337" i="2" s="1"/>
  <c r="U338" i="2"/>
  <c r="AA338" i="2" s="1"/>
  <c r="U339" i="2"/>
  <c r="AA339" i="2" s="1"/>
  <c r="U340" i="2"/>
  <c r="U341" i="2"/>
  <c r="U342" i="2"/>
  <c r="U343" i="2"/>
  <c r="U344" i="2"/>
  <c r="U345" i="2"/>
  <c r="U346" i="2"/>
  <c r="U347" i="2"/>
  <c r="U348" i="2"/>
  <c r="AA348" i="2" s="1"/>
  <c r="U349" i="2"/>
  <c r="AA349" i="2" s="1"/>
  <c r="U350" i="2"/>
  <c r="AA350" i="2" s="1"/>
  <c r="U351" i="2"/>
  <c r="AA351" i="2" s="1"/>
  <c r="U352" i="2"/>
  <c r="U353" i="2"/>
  <c r="U354" i="2"/>
  <c r="U355" i="2"/>
  <c r="U356" i="2"/>
  <c r="U357" i="2"/>
  <c r="U358" i="2"/>
  <c r="U359" i="2"/>
  <c r="AA359" i="2" s="1"/>
  <c r="U360" i="2"/>
  <c r="AA360" i="2" s="1"/>
  <c r="U361" i="2"/>
  <c r="AA361" i="2" s="1"/>
  <c r="U362" i="2"/>
  <c r="AA362" i="2" s="1"/>
  <c r="U363" i="2"/>
  <c r="AA363" i="2" s="1"/>
  <c r="U364" i="2"/>
  <c r="U365" i="2"/>
  <c r="U366" i="2"/>
  <c r="U367" i="2"/>
  <c r="U368" i="2"/>
  <c r="U369" i="2"/>
  <c r="U370" i="2"/>
  <c r="U371" i="2"/>
  <c r="AA371" i="2" s="1"/>
  <c r="U372" i="2"/>
  <c r="AA372" i="2" s="1"/>
  <c r="U373" i="2"/>
  <c r="AA373" i="2" s="1"/>
  <c r="U374" i="2"/>
  <c r="AA374" i="2" s="1"/>
  <c r="U375" i="2"/>
  <c r="AA375" i="2" s="1"/>
  <c r="U376" i="2"/>
  <c r="U377" i="2"/>
  <c r="U378" i="2"/>
  <c r="U379" i="2"/>
  <c r="U380" i="2"/>
  <c r="U381" i="2"/>
  <c r="U382" i="2"/>
  <c r="U383" i="2"/>
  <c r="U384" i="2"/>
  <c r="U385" i="2"/>
  <c r="AA385" i="2" s="1"/>
  <c r="U386" i="2"/>
  <c r="AA386" i="2" s="1"/>
  <c r="U387" i="2"/>
  <c r="AA387" i="2" s="1"/>
  <c r="U388" i="2"/>
  <c r="U389" i="2"/>
  <c r="U390" i="2"/>
  <c r="U391" i="2"/>
  <c r="U392" i="2"/>
  <c r="U393" i="2"/>
  <c r="U394" i="2"/>
  <c r="U395" i="2"/>
  <c r="U396" i="2"/>
  <c r="U397" i="2"/>
  <c r="U398" i="2"/>
  <c r="AA398" i="2" s="1"/>
  <c r="U399" i="2"/>
  <c r="AA399" i="2" s="1"/>
  <c r="U400" i="2"/>
  <c r="U401" i="2"/>
  <c r="U402" i="2"/>
  <c r="U403" i="2"/>
  <c r="U404" i="2"/>
  <c r="U405" i="2"/>
  <c r="U406" i="2"/>
  <c r="U407" i="2"/>
  <c r="U408" i="2"/>
  <c r="U409" i="2"/>
  <c r="AA409" i="2" s="1"/>
  <c r="U410" i="2"/>
  <c r="AA410" i="2" s="1"/>
  <c r="U411" i="2"/>
  <c r="AA411" i="2" s="1"/>
  <c r="U412" i="2"/>
  <c r="U413" i="2"/>
  <c r="U414" i="2"/>
  <c r="U415" i="2"/>
  <c r="U416" i="2"/>
  <c r="U417" i="2"/>
  <c r="U418" i="2"/>
  <c r="U419" i="2"/>
  <c r="U420" i="2"/>
  <c r="U421" i="2"/>
  <c r="AA421" i="2" s="1"/>
  <c r="U422" i="2"/>
  <c r="AA422" i="2" s="1"/>
  <c r="U423" i="2"/>
  <c r="AA423" i="2" s="1"/>
  <c r="U424" i="2"/>
  <c r="U425" i="2"/>
  <c r="U426" i="2"/>
  <c r="U427" i="2"/>
  <c r="U428" i="2"/>
  <c r="U429" i="2"/>
  <c r="U430" i="2"/>
  <c r="U431" i="2"/>
  <c r="U432" i="2"/>
  <c r="U433" i="2"/>
  <c r="AA433" i="2" s="1"/>
  <c r="U434" i="2"/>
  <c r="AA434" i="2" s="1"/>
  <c r="U435" i="2"/>
  <c r="AA435" i="2" s="1"/>
  <c r="U436" i="2"/>
  <c r="U437" i="2"/>
  <c r="U438" i="2"/>
  <c r="U439" i="2"/>
  <c r="AA439" i="2" s="1"/>
  <c r="U440" i="2"/>
  <c r="AA440" i="2" s="1"/>
  <c r="U441" i="2"/>
  <c r="AA441" i="2" s="1"/>
  <c r="U442" i="2"/>
  <c r="AA442" i="2" s="1"/>
  <c r="U443" i="2"/>
  <c r="U444" i="2"/>
  <c r="U445" i="2"/>
  <c r="AA445" i="2" s="1"/>
  <c r="U446" i="2"/>
  <c r="AA446" i="2" s="1"/>
  <c r="U447" i="2"/>
  <c r="AA447" i="2" s="1"/>
  <c r="U448" i="2"/>
  <c r="U449" i="2"/>
  <c r="U450" i="2"/>
  <c r="U451" i="2"/>
  <c r="AA451" i="2" s="1"/>
  <c r="U452" i="2"/>
  <c r="U453" i="2"/>
  <c r="AA453" i="2" s="1"/>
  <c r="U454" i="2"/>
  <c r="AA454" i="2" s="1"/>
  <c r="U455" i="2"/>
  <c r="AA455" i="2" s="1"/>
  <c r="U456" i="2"/>
  <c r="AA456" i="2" s="1"/>
  <c r="U457" i="2"/>
  <c r="AA457" i="2" s="1"/>
  <c r="U458" i="2"/>
  <c r="AA458" i="2" s="1"/>
  <c r="U459" i="2"/>
  <c r="AA459" i="2" s="1"/>
  <c r="U460" i="2"/>
  <c r="U461" i="2"/>
  <c r="U462" i="2"/>
  <c r="U463" i="2"/>
  <c r="U464" i="2"/>
  <c r="AA464" i="2" s="1"/>
  <c r="U465" i="2"/>
  <c r="U466" i="2"/>
  <c r="AA466" i="2" s="1"/>
  <c r="U467" i="2"/>
  <c r="AA467" i="2" s="1"/>
  <c r="U468" i="2"/>
  <c r="AA468" i="2" s="1"/>
  <c r="U469" i="2"/>
  <c r="AA469" i="2" s="1"/>
  <c r="U470" i="2"/>
  <c r="AA470" i="2" s="1"/>
  <c r="U471" i="2"/>
  <c r="AA471" i="2" s="1"/>
  <c r="U472" i="2"/>
  <c r="U473" i="2"/>
  <c r="U474" i="2"/>
  <c r="U475" i="2"/>
  <c r="U476" i="2"/>
  <c r="U477" i="2"/>
  <c r="U478" i="2"/>
  <c r="U479" i="2"/>
  <c r="AA479" i="2" s="1"/>
  <c r="U480" i="2"/>
  <c r="AA480" i="2" s="1"/>
  <c r="U481" i="2"/>
  <c r="AA481" i="2" s="1"/>
  <c r="U482" i="2"/>
  <c r="AA482" i="2" s="1"/>
  <c r="U483" i="2"/>
  <c r="AA483" i="2" s="1"/>
  <c r="U484" i="2"/>
  <c r="U485" i="2"/>
  <c r="U486" i="2"/>
  <c r="U487" i="2"/>
  <c r="U488" i="2"/>
  <c r="U489" i="2"/>
  <c r="U490" i="2"/>
  <c r="U491" i="2"/>
  <c r="U492" i="2"/>
  <c r="U493" i="2"/>
  <c r="AA493" i="2" s="1"/>
  <c r="U494" i="2"/>
  <c r="AA494" i="2" s="1"/>
  <c r="U495" i="2"/>
  <c r="AA495" i="2" s="1"/>
  <c r="U496" i="2"/>
  <c r="U497" i="2"/>
  <c r="U498" i="2"/>
  <c r="U499" i="2"/>
  <c r="U500" i="2"/>
  <c r="U501" i="2"/>
  <c r="U502" i="2"/>
  <c r="U503" i="2"/>
  <c r="U504" i="2"/>
  <c r="U505" i="2"/>
  <c r="U506" i="2"/>
  <c r="U507" i="2"/>
  <c r="AA507" i="2" s="1"/>
  <c r="U508" i="2"/>
  <c r="U509" i="2"/>
  <c r="U510" i="2"/>
  <c r="U511" i="2"/>
  <c r="U512" i="2"/>
  <c r="U513" i="2"/>
  <c r="U514" i="2"/>
  <c r="U515" i="2"/>
  <c r="U516" i="2"/>
  <c r="U517" i="2"/>
  <c r="AA517" i="2" s="1"/>
  <c r="U518" i="2"/>
  <c r="AA518" i="2" s="1"/>
  <c r="U519" i="2"/>
  <c r="AA519" i="2" s="1"/>
  <c r="U520" i="2"/>
  <c r="U521" i="2"/>
  <c r="U522" i="2"/>
  <c r="U523" i="2"/>
  <c r="AA523" i="2" s="1"/>
  <c r="U524" i="2"/>
  <c r="AA524" i="2" s="1"/>
  <c r="U525" i="2"/>
  <c r="AA525" i="2" s="1"/>
  <c r="U526" i="2"/>
  <c r="AA526" i="2" s="1"/>
  <c r="U527" i="2"/>
  <c r="U528" i="2"/>
  <c r="U529" i="2"/>
  <c r="AA529" i="2" s="1"/>
  <c r="U530" i="2"/>
  <c r="AA530" i="2" s="1"/>
  <c r="U531" i="2"/>
  <c r="AA531" i="2" s="1"/>
  <c r="U532" i="2"/>
  <c r="U533" i="2"/>
  <c r="U534" i="2"/>
  <c r="U535" i="2"/>
  <c r="U536" i="2"/>
  <c r="AA536" i="2" s="1"/>
  <c r="U537" i="2"/>
  <c r="AA537" i="2" s="1"/>
  <c r="U538" i="2"/>
  <c r="AA538" i="2" s="1"/>
  <c r="U539" i="2"/>
  <c r="AA539" i="2" s="1"/>
  <c r="U540" i="2"/>
  <c r="AA540" i="2" s="1"/>
  <c r="U541" i="2"/>
  <c r="AA541" i="2" s="1"/>
  <c r="U542" i="2"/>
  <c r="AA542" i="2" s="1"/>
  <c r="U543" i="2"/>
  <c r="AA543" i="2" s="1"/>
  <c r="U544" i="2"/>
  <c r="U545" i="2"/>
  <c r="U546" i="2"/>
  <c r="U547" i="2"/>
  <c r="U548" i="2"/>
  <c r="U549" i="2"/>
  <c r="U550" i="2"/>
  <c r="AA550" i="2" s="1"/>
  <c r="U551" i="2"/>
  <c r="AA551" i="2" s="1"/>
  <c r="U552" i="2"/>
  <c r="AA552" i="2" s="1"/>
  <c r="U553" i="2"/>
  <c r="AA553" i="2" s="1"/>
  <c r="U554" i="2"/>
  <c r="AA554" i="2" s="1"/>
  <c r="U555" i="2"/>
  <c r="AA555" i="2" s="1"/>
  <c r="U556" i="2"/>
  <c r="U557" i="2"/>
  <c r="U558" i="2"/>
  <c r="U559" i="2"/>
  <c r="U560" i="2"/>
  <c r="U561" i="2"/>
  <c r="U562" i="2"/>
  <c r="AA562" i="2" s="1"/>
  <c r="U563" i="2"/>
  <c r="AA563" i="2" s="1"/>
  <c r="U564" i="2"/>
  <c r="AA564" i="2" s="1"/>
  <c r="U565" i="2"/>
  <c r="AA565" i="2" s="1"/>
  <c r="U566" i="2"/>
  <c r="AA566" i="2" s="1"/>
  <c r="U567" i="2"/>
  <c r="AA567" i="2" s="1"/>
  <c r="U568" i="2"/>
  <c r="U569" i="2"/>
  <c r="U570" i="2"/>
  <c r="U571" i="2"/>
  <c r="U572" i="2"/>
  <c r="U573" i="2"/>
  <c r="U574" i="2"/>
  <c r="U575" i="2"/>
  <c r="AA575" i="2" s="1"/>
  <c r="U576" i="2"/>
  <c r="AA576" i="2" s="1"/>
  <c r="U577" i="2"/>
  <c r="AA577" i="2" s="1"/>
  <c r="U578" i="2"/>
  <c r="AA578" i="2" s="1"/>
  <c r="U579" i="2"/>
  <c r="AA579" i="2" s="1"/>
  <c r="U580" i="2"/>
  <c r="U581" i="2"/>
  <c r="U582" i="2"/>
  <c r="U583" i="2"/>
  <c r="U584" i="2"/>
  <c r="U585" i="2"/>
  <c r="U586" i="2"/>
  <c r="U587" i="2"/>
  <c r="U588" i="2"/>
  <c r="U589" i="2"/>
  <c r="U590" i="2"/>
  <c r="AA590" i="2" s="1"/>
  <c r="U591" i="2"/>
  <c r="AA591" i="2" s="1"/>
  <c r="U592" i="2"/>
  <c r="U593" i="2"/>
  <c r="U594" i="2"/>
  <c r="U595" i="2"/>
  <c r="U596" i="2"/>
  <c r="U597" i="2"/>
  <c r="U598" i="2"/>
  <c r="U599" i="2"/>
  <c r="U600" i="2"/>
  <c r="AA600" i="2" s="1"/>
  <c r="U601" i="2"/>
  <c r="AA601" i="2" s="1"/>
  <c r="U602" i="2"/>
  <c r="AA602" i="2" s="1"/>
  <c r="U603" i="2"/>
  <c r="AA603" i="2" s="1"/>
  <c r="U604" i="2"/>
  <c r="U605" i="2"/>
  <c r="U606" i="2"/>
  <c r="U607" i="2"/>
  <c r="U608" i="2"/>
  <c r="U609" i="2"/>
  <c r="U610" i="2"/>
  <c r="U611" i="2"/>
  <c r="U612" i="2"/>
  <c r="AA612" i="2" s="1"/>
  <c r="U613" i="2"/>
  <c r="AA613" i="2" s="1"/>
  <c r="U614" i="2"/>
  <c r="AA614" i="2" s="1"/>
  <c r="U615" i="2"/>
  <c r="AA615" i="2" s="1"/>
  <c r="U616" i="2"/>
  <c r="U617" i="2"/>
  <c r="U618" i="2"/>
  <c r="U619" i="2"/>
  <c r="U620" i="2"/>
  <c r="U621" i="2"/>
  <c r="U622" i="2"/>
  <c r="U623" i="2"/>
  <c r="U624" i="2"/>
  <c r="AA624" i="2" s="1"/>
  <c r="U625" i="2"/>
  <c r="AA625" i="2" s="1"/>
  <c r="U626" i="2"/>
  <c r="AA626" i="2" s="1"/>
  <c r="U627" i="2"/>
  <c r="AA627" i="2" s="1"/>
  <c r="U628" i="2"/>
  <c r="U629" i="2"/>
  <c r="U630" i="2"/>
  <c r="U631" i="2"/>
  <c r="AA631" i="2" s="1"/>
  <c r="U632" i="2"/>
  <c r="AA632" i="2" s="1"/>
  <c r="U633" i="2"/>
  <c r="AA633" i="2" s="1"/>
  <c r="U634" i="2"/>
  <c r="U635" i="2"/>
  <c r="U636" i="2"/>
  <c r="U637" i="2"/>
  <c r="AA637" i="2" s="1"/>
  <c r="U638" i="2"/>
  <c r="AA638" i="2" s="1"/>
  <c r="U639" i="2"/>
  <c r="AA639" i="2" s="1"/>
  <c r="U640" i="2"/>
  <c r="U641" i="2"/>
  <c r="U642" i="2"/>
  <c r="U643" i="2"/>
  <c r="AA643" i="2" s="1"/>
  <c r="U644" i="2"/>
  <c r="AA644" i="2" s="1"/>
  <c r="U645" i="2"/>
  <c r="AA645" i="2" s="1"/>
  <c r="U646" i="2"/>
  <c r="AA646" i="2" s="1"/>
  <c r="U647" i="2"/>
  <c r="AA647" i="2" s="1"/>
  <c r="U648" i="2"/>
  <c r="AA648" i="2" s="1"/>
  <c r="U649" i="2"/>
  <c r="AA649" i="2" s="1"/>
  <c r="U650" i="2"/>
  <c r="AA650" i="2" s="1"/>
  <c r="U651" i="2"/>
  <c r="AA651" i="2" s="1"/>
  <c r="U652" i="2"/>
  <c r="U653" i="2"/>
  <c r="U654" i="2"/>
  <c r="U655" i="2"/>
  <c r="U656" i="2"/>
  <c r="U657" i="2"/>
  <c r="U658" i="2"/>
  <c r="U659" i="2"/>
  <c r="AA659" i="2" s="1"/>
  <c r="U660" i="2"/>
  <c r="AA660" i="2" s="1"/>
  <c r="U661" i="2"/>
  <c r="AA661" i="2" s="1"/>
  <c r="U662" i="2"/>
  <c r="AA662" i="2" s="1"/>
  <c r="U663" i="2"/>
  <c r="AA663" i="2" s="1"/>
  <c r="U664" i="2"/>
  <c r="U665" i="2"/>
  <c r="U666" i="2"/>
  <c r="U667" i="2"/>
  <c r="U668" i="2"/>
  <c r="U669" i="2"/>
  <c r="U670" i="2"/>
  <c r="U671" i="2"/>
  <c r="U672" i="2"/>
  <c r="AA672" i="2" s="1"/>
  <c r="U673" i="2"/>
  <c r="AA673" i="2" s="1"/>
  <c r="U674" i="2"/>
  <c r="AA674" i="2" s="1"/>
  <c r="U675" i="2"/>
  <c r="AA675" i="2" s="1"/>
  <c r="U676" i="2"/>
  <c r="U677" i="2"/>
  <c r="U678" i="2"/>
  <c r="U679" i="2"/>
  <c r="U680" i="2"/>
  <c r="U681" i="2"/>
  <c r="U682" i="2"/>
  <c r="U683" i="2"/>
  <c r="U684" i="2"/>
  <c r="AA684" i="2" s="1"/>
  <c r="U685" i="2"/>
  <c r="AA685" i="2" s="1"/>
  <c r="U686" i="2"/>
  <c r="AA686" i="2" s="1"/>
  <c r="U687" i="2"/>
  <c r="AA687" i="2" s="1"/>
  <c r="U688" i="2"/>
  <c r="U689" i="2"/>
  <c r="U690" i="2"/>
  <c r="U691" i="2"/>
  <c r="U692" i="2"/>
  <c r="U693" i="2"/>
  <c r="AA693" i="2" s="1"/>
  <c r="U694" i="2"/>
  <c r="AA694" i="2" s="1"/>
  <c r="U695" i="2"/>
  <c r="U696" i="2"/>
  <c r="AA696" i="2" s="1"/>
  <c r="U697" i="2"/>
  <c r="AA697" i="2" s="1"/>
  <c r="U698" i="2"/>
  <c r="AA698" i="2" s="1"/>
  <c r="U699" i="2"/>
  <c r="AA699" i="2" s="1"/>
  <c r="U700" i="2"/>
  <c r="U701" i="2"/>
  <c r="U702" i="2"/>
  <c r="U703" i="2"/>
  <c r="AA703" i="2" s="1"/>
  <c r="U704" i="2"/>
  <c r="AA704" i="2" s="1"/>
  <c r="U705" i="2"/>
  <c r="AA705" i="2" s="1"/>
  <c r="U706" i="2"/>
  <c r="AA706" i="2" s="1"/>
  <c r="U707" i="2"/>
  <c r="AA707" i="2" s="1"/>
  <c r="U708" i="2"/>
  <c r="AA708" i="2" s="1"/>
  <c r="AA709" i="2"/>
  <c r="U710" i="2"/>
  <c r="AA710" i="2" s="1"/>
  <c r="U711" i="2"/>
  <c r="AA711" i="2" s="1"/>
  <c r="U712" i="2"/>
  <c r="W3" i="2"/>
  <c r="AC3" i="2" s="1"/>
  <c r="V3" i="2"/>
  <c r="U3" i="2"/>
  <c r="T4" i="2"/>
  <c r="T5" i="2"/>
  <c r="T6" i="2"/>
  <c r="T7" i="2"/>
  <c r="Z7" i="2" s="1"/>
  <c r="T8" i="2"/>
  <c r="Z8" i="2" s="1"/>
  <c r="T9" i="2"/>
  <c r="Z9" i="2" s="1"/>
  <c r="T10" i="2"/>
  <c r="Z10" i="2" s="1"/>
  <c r="T11" i="2"/>
  <c r="Z11" i="2" s="1"/>
  <c r="T12" i="2"/>
  <c r="Z12" i="2" s="1"/>
  <c r="T13" i="2"/>
  <c r="Z13" i="2" s="1"/>
  <c r="T14" i="2"/>
  <c r="Z14" i="2" s="1"/>
  <c r="T15" i="2"/>
  <c r="Z15" i="2" s="1"/>
  <c r="T16" i="2"/>
  <c r="T17" i="2"/>
  <c r="T18" i="2"/>
  <c r="T19" i="2"/>
  <c r="Z19" i="2" s="1"/>
  <c r="T20" i="2"/>
  <c r="Z20" i="2" s="1"/>
  <c r="T21" i="2"/>
  <c r="Z21" i="2" s="1"/>
  <c r="T22" i="2"/>
  <c r="Z22" i="2" s="1"/>
  <c r="T23" i="2"/>
  <c r="Z23" i="2" s="1"/>
  <c r="T24" i="2"/>
  <c r="Z24" i="2" s="1"/>
  <c r="T25" i="2"/>
  <c r="Z25" i="2" s="1"/>
  <c r="T26" i="2"/>
  <c r="Z26" i="2" s="1"/>
  <c r="T27" i="2"/>
  <c r="Z27" i="2" s="1"/>
  <c r="T28" i="2"/>
  <c r="T29" i="2"/>
  <c r="T30" i="2"/>
  <c r="T31" i="2"/>
  <c r="Z31" i="2" s="1"/>
  <c r="T32" i="2"/>
  <c r="Z32" i="2" s="1"/>
  <c r="T33" i="2"/>
  <c r="Z33" i="2" s="1"/>
  <c r="T34" i="2"/>
  <c r="Z34" i="2" s="1"/>
  <c r="T35" i="2"/>
  <c r="Z35" i="2" s="1"/>
  <c r="T36" i="2"/>
  <c r="Z36" i="2" s="1"/>
  <c r="T37" i="2"/>
  <c r="Z37" i="2" s="1"/>
  <c r="T38" i="2"/>
  <c r="Z38" i="2" s="1"/>
  <c r="T39" i="2"/>
  <c r="Z39" i="2" s="1"/>
  <c r="T40" i="2"/>
  <c r="T41" i="2"/>
  <c r="T42" i="2"/>
  <c r="T43" i="2"/>
  <c r="T44" i="2"/>
  <c r="Z44" i="2" s="1"/>
  <c r="T45" i="2"/>
  <c r="Z45" i="2" s="1"/>
  <c r="T46" i="2"/>
  <c r="Z46" i="2" s="1"/>
  <c r="T47" i="2"/>
  <c r="Z47" i="2" s="1"/>
  <c r="T48" i="2"/>
  <c r="Z48" i="2" s="1"/>
  <c r="T49" i="2"/>
  <c r="Z49" i="2" s="1"/>
  <c r="T50" i="2"/>
  <c r="Z50" i="2" s="1"/>
  <c r="T51" i="2"/>
  <c r="Z51" i="2" s="1"/>
  <c r="T52" i="2"/>
  <c r="T53" i="2"/>
  <c r="T54" i="2"/>
  <c r="T55" i="2"/>
  <c r="T56" i="2"/>
  <c r="T57" i="2"/>
  <c r="T58" i="2"/>
  <c r="Z58" i="2" s="1"/>
  <c r="T59" i="2"/>
  <c r="Z59" i="2" s="1"/>
  <c r="T60" i="2"/>
  <c r="Z60" i="2" s="1"/>
  <c r="T61" i="2"/>
  <c r="Z61" i="2" s="1"/>
  <c r="T62" i="2"/>
  <c r="Z62" i="2" s="1"/>
  <c r="T63" i="2"/>
  <c r="Z63" i="2" s="1"/>
  <c r="T64" i="2"/>
  <c r="T65" i="2"/>
  <c r="T66" i="2"/>
  <c r="T67" i="2"/>
  <c r="T68" i="2"/>
  <c r="T69" i="2"/>
  <c r="Z69" i="2" s="1"/>
  <c r="T70" i="2"/>
  <c r="Z70" i="2" s="1"/>
  <c r="T71" i="2"/>
  <c r="Z71" i="2" s="1"/>
  <c r="T72" i="2"/>
  <c r="Z72" i="2" s="1"/>
  <c r="T73" i="2"/>
  <c r="Z73" i="2" s="1"/>
  <c r="T74" i="2"/>
  <c r="Z74" i="2" s="1"/>
  <c r="T75" i="2"/>
  <c r="Z75" i="2" s="1"/>
  <c r="T76" i="2"/>
  <c r="T77" i="2"/>
  <c r="T78" i="2"/>
  <c r="T79" i="2"/>
  <c r="T80" i="2"/>
  <c r="T81" i="2"/>
  <c r="T82" i="2"/>
  <c r="T83" i="2"/>
  <c r="Z83" i="2" s="1"/>
  <c r="T84" i="2"/>
  <c r="Z84" i="2" s="1"/>
  <c r="T85" i="2"/>
  <c r="Z85" i="2" s="1"/>
  <c r="T86" i="2"/>
  <c r="Z86" i="2" s="1"/>
  <c r="T87" i="2"/>
  <c r="Z87" i="2" s="1"/>
  <c r="T88" i="2"/>
  <c r="T89" i="2"/>
  <c r="T90" i="2"/>
  <c r="T91" i="2"/>
  <c r="T92" i="2"/>
  <c r="T93" i="2"/>
  <c r="Z93" i="2" s="1"/>
  <c r="T94" i="2"/>
  <c r="Z94" i="2" s="1"/>
  <c r="T95" i="2"/>
  <c r="Z95" i="2" s="1"/>
  <c r="T96" i="2"/>
  <c r="Z96" i="2" s="1"/>
  <c r="T97" i="2"/>
  <c r="Z97" i="2" s="1"/>
  <c r="T98" i="2"/>
  <c r="Z98" i="2" s="1"/>
  <c r="T99" i="2"/>
  <c r="Z99" i="2" s="1"/>
  <c r="T100" i="2"/>
  <c r="T101" i="2"/>
  <c r="T102" i="2"/>
  <c r="T103" i="2"/>
  <c r="T104" i="2"/>
  <c r="Z104" i="2" s="1"/>
  <c r="T105" i="2"/>
  <c r="Z105" i="2" s="1"/>
  <c r="T106" i="2"/>
  <c r="T107" i="2"/>
  <c r="T108" i="2"/>
  <c r="Z108" i="2" s="1"/>
  <c r="T109" i="2"/>
  <c r="Z109" i="2" s="1"/>
  <c r="T110" i="2"/>
  <c r="Z110" i="2" s="1"/>
  <c r="T111" i="2"/>
  <c r="Z111" i="2" s="1"/>
  <c r="T112" i="2"/>
  <c r="T113" i="2"/>
  <c r="T114" i="2"/>
  <c r="T115" i="2"/>
  <c r="T116" i="2"/>
  <c r="Z116" i="2" s="1"/>
  <c r="T117" i="2"/>
  <c r="Z117" i="2" s="1"/>
  <c r="T118" i="2"/>
  <c r="Z118" i="2" s="1"/>
  <c r="T119" i="2"/>
  <c r="Z119" i="2" s="1"/>
  <c r="T120" i="2"/>
  <c r="Z120" i="2" s="1"/>
  <c r="T121" i="2"/>
  <c r="Z121" i="2" s="1"/>
  <c r="T122" i="2"/>
  <c r="Z122" i="2" s="1"/>
  <c r="T123" i="2"/>
  <c r="Z123" i="2" s="1"/>
  <c r="T124" i="2"/>
  <c r="T125" i="2"/>
  <c r="T126" i="2"/>
  <c r="T127" i="2"/>
  <c r="Z127" i="2" s="1"/>
  <c r="T128" i="2"/>
  <c r="Z128" i="2" s="1"/>
  <c r="T129" i="2"/>
  <c r="Z129" i="2" s="1"/>
  <c r="T130" i="2"/>
  <c r="Z130" i="2" s="1"/>
  <c r="T131" i="2"/>
  <c r="Z131" i="2" s="1"/>
  <c r="T132" i="2"/>
  <c r="Z132" i="2" s="1"/>
  <c r="T133" i="2"/>
  <c r="Z133" i="2" s="1"/>
  <c r="T134" i="2"/>
  <c r="Z134" i="2" s="1"/>
  <c r="T135" i="2"/>
  <c r="Z135" i="2" s="1"/>
  <c r="T136" i="2"/>
  <c r="T137" i="2"/>
  <c r="T138" i="2"/>
  <c r="T139" i="2"/>
  <c r="Z139" i="2" s="1"/>
  <c r="T140" i="2"/>
  <c r="T141" i="2"/>
  <c r="T142" i="2"/>
  <c r="Z142" i="2" s="1"/>
  <c r="T143" i="2"/>
  <c r="Z143" i="2" s="1"/>
  <c r="T144" i="2"/>
  <c r="Z144" i="2" s="1"/>
  <c r="T145" i="2"/>
  <c r="Z145" i="2" s="1"/>
  <c r="T146" i="2"/>
  <c r="Z146" i="2" s="1"/>
  <c r="T147" i="2"/>
  <c r="Z147" i="2" s="1"/>
  <c r="T148" i="2"/>
  <c r="T149" i="2"/>
  <c r="T150" i="2"/>
  <c r="T151" i="2"/>
  <c r="T152" i="2"/>
  <c r="T153" i="2"/>
  <c r="Z153" i="2" s="1"/>
  <c r="T154" i="2"/>
  <c r="Z154" i="2" s="1"/>
  <c r="T155" i="2"/>
  <c r="Z155" i="2" s="1"/>
  <c r="T156" i="2"/>
  <c r="Z156" i="2" s="1"/>
  <c r="T157" i="2"/>
  <c r="Z157" i="2" s="1"/>
  <c r="T158" i="2"/>
  <c r="Z158" i="2" s="1"/>
  <c r="T159" i="2"/>
  <c r="Z159" i="2" s="1"/>
  <c r="T160" i="2"/>
  <c r="T161" i="2"/>
  <c r="T162" i="2"/>
  <c r="T163" i="2"/>
  <c r="T164" i="2"/>
  <c r="T165" i="2"/>
  <c r="T166" i="2"/>
  <c r="T167" i="2"/>
  <c r="T168" i="2"/>
  <c r="T169" i="2"/>
  <c r="Z169" i="2" s="1"/>
  <c r="T170" i="2"/>
  <c r="Z170" i="2" s="1"/>
  <c r="T171" i="2"/>
  <c r="Z171" i="2" s="1"/>
  <c r="T172" i="2"/>
  <c r="T173" i="2"/>
  <c r="T174" i="2"/>
  <c r="T175" i="2"/>
  <c r="T176" i="2"/>
  <c r="T177" i="2"/>
  <c r="Z177" i="2" s="1"/>
  <c r="T178" i="2"/>
  <c r="Z178" i="2" s="1"/>
  <c r="T179" i="2"/>
  <c r="Z179" i="2" s="1"/>
  <c r="T180" i="2"/>
  <c r="Z180" i="2" s="1"/>
  <c r="T181" i="2"/>
  <c r="Z181" i="2" s="1"/>
  <c r="T182" i="2"/>
  <c r="Z182" i="2" s="1"/>
  <c r="T183" i="2"/>
  <c r="Z183" i="2" s="1"/>
  <c r="T184" i="2"/>
  <c r="T185" i="2"/>
  <c r="T186" i="2"/>
  <c r="T187" i="2"/>
  <c r="T188" i="2"/>
  <c r="Z188" i="2" s="1"/>
  <c r="T189" i="2"/>
  <c r="Z189" i="2" s="1"/>
  <c r="T190" i="2"/>
  <c r="T191" i="2"/>
  <c r="Z191" i="2" s="1"/>
  <c r="T192" i="2"/>
  <c r="Z192" i="2" s="1"/>
  <c r="T193" i="2"/>
  <c r="Z193" i="2" s="1"/>
  <c r="T194" i="2"/>
  <c r="Z194" i="2" s="1"/>
  <c r="T195" i="2"/>
  <c r="Z195" i="2" s="1"/>
  <c r="T196" i="2"/>
  <c r="T197" i="2"/>
  <c r="T198" i="2"/>
  <c r="T199" i="2"/>
  <c r="T200" i="2"/>
  <c r="Z200" i="2" s="1"/>
  <c r="T201" i="2"/>
  <c r="Z201" i="2" s="1"/>
  <c r="T202" i="2"/>
  <c r="Z202" i="2" s="1"/>
  <c r="T203" i="2"/>
  <c r="Z203" i="2" s="1"/>
  <c r="T204" i="2"/>
  <c r="T205" i="2"/>
  <c r="T206" i="2"/>
  <c r="T207" i="2"/>
  <c r="Z207" i="2" s="1"/>
  <c r="T208" i="2"/>
  <c r="T209" i="2"/>
  <c r="T210" i="2"/>
  <c r="T211" i="2"/>
  <c r="Z211" i="2" s="1"/>
  <c r="T212" i="2"/>
  <c r="T213" i="2"/>
  <c r="Z213" i="2" s="1"/>
  <c r="T214" i="2"/>
  <c r="Z214" i="2" s="1"/>
  <c r="T215" i="2"/>
  <c r="Z215" i="2" s="1"/>
  <c r="T216" i="2"/>
  <c r="Z216" i="2" s="1"/>
  <c r="T217" i="2"/>
  <c r="Z217" i="2" s="1"/>
  <c r="T218" i="2"/>
  <c r="Z218" i="2" s="1"/>
  <c r="T219" i="2"/>
  <c r="Z219" i="2" s="1"/>
  <c r="T220" i="2"/>
  <c r="T221" i="2"/>
  <c r="T222" i="2"/>
  <c r="T223" i="2"/>
  <c r="T224" i="2"/>
  <c r="T225" i="2"/>
  <c r="T226" i="2"/>
  <c r="T227" i="2"/>
  <c r="T228" i="2"/>
  <c r="Z228" i="2" s="1"/>
  <c r="T229" i="2"/>
  <c r="Z229" i="2" s="1"/>
  <c r="T230" i="2"/>
  <c r="Z230" i="2" s="1"/>
  <c r="T231" i="2"/>
  <c r="Z231" i="2" s="1"/>
  <c r="T232" i="2"/>
  <c r="T233" i="2"/>
  <c r="T234" i="2"/>
  <c r="T235" i="2"/>
  <c r="T236" i="2"/>
  <c r="T237" i="2"/>
  <c r="Z237" i="2" s="1"/>
  <c r="T238" i="2"/>
  <c r="Z238" i="2" s="1"/>
  <c r="T239" i="2"/>
  <c r="Z239" i="2" s="1"/>
  <c r="T240" i="2"/>
  <c r="Z240" i="2" s="1"/>
  <c r="T241" i="2"/>
  <c r="Z241" i="2" s="1"/>
  <c r="T242" i="2"/>
  <c r="Z242" i="2" s="1"/>
  <c r="T243" i="2"/>
  <c r="Z243" i="2" s="1"/>
  <c r="T244" i="2"/>
  <c r="T245" i="2"/>
  <c r="T246" i="2"/>
  <c r="T247" i="2"/>
  <c r="T248" i="2"/>
  <c r="T249" i="2"/>
  <c r="Z249" i="2" s="1"/>
  <c r="T250" i="2"/>
  <c r="T251" i="2"/>
  <c r="Z251" i="2" s="1"/>
  <c r="T252" i="2"/>
  <c r="Z252" i="2" s="1"/>
  <c r="T253" i="2"/>
  <c r="Z253" i="2" s="1"/>
  <c r="T254" i="2"/>
  <c r="Z254" i="2" s="1"/>
  <c r="T255" i="2"/>
  <c r="Z255" i="2" s="1"/>
  <c r="T256" i="2"/>
  <c r="T257" i="2"/>
  <c r="T258" i="2"/>
  <c r="T259" i="2"/>
  <c r="T260" i="2"/>
  <c r="T261" i="2"/>
  <c r="Z261" i="2" s="1"/>
  <c r="T262" i="2"/>
  <c r="Z262" i="2" s="1"/>
  <c r="T263" i="2"/>
  <c r="Z263" i="2" s="1"/>
  <c r="T264" i="2"/>
  <c r="Z264" i="2" s="1"/>
  <c r="T265" i="2"/>
  <c r="Z265" i="2" s="1"/>
  <c r="T266" i="2"/>
  <c r="Z266" i="2" s="1"/>
  <c r="T267" i="2"/>
  <c r="Z267" i="2" s="1"/>
  <c r="T268" i="2"/>
  <c r="T269" i="2"/>
  <c r="T270" i="2"/>
  <c r="T271" i="2"/>
  <c r="T272" i="2"/>
  <c r="Z272" i="2" s="1"/>
  <c r="T273" i="2"/>
  <c r="Z273" i="2" s="1"/>
  <c r="T274" i="2"/>
  <c r="Z274" i="2" s="1"/>
  <c r="T275" i="2"/>
  <c r="Z275" i="2" s="1"/>
  <c r="T276" i="2"/>
  <c r="Z276" i="2" s="1"/>
  <c r="T277" i="2"/>
  <c r="Z277" i="2" s="1"/>
  <c r="T278" i="2"/>
  <c r="Z278" i="2" s="1"/>
  <c r="T279" i="2"/>
  <c r="Z279" i="2" s="1"/>
  <c r="T280" i="2"/>
  <c r="T281" i="2"/>
  <c r="T282" i="2"/>
  <c r="T283" i="2"/>
  <c r="Z283" i="2" s="1"/>
  <c r="T284" i="2"/>
  <c r="T285" i="2"/>
  <c r="Z285" i="2" s="1"/>
  <c r="T286" i="2"/>
  <c r="Z286" i="2" s="1"/>
  <c r="T287" i="2"/>
  <c r="Z287" i="2" s="1"/>
  <c r="T288" i="2"/>
  <c r="Z288" i="2" s="1"/>
  <c r="T289" i="2"/>
  <c r="Z289" i="2" s="1"/>
  <c r="T290" i="2"/>
  <c r="Z290" i="2" s="1"/>
  <c r="T291" i="2"/>
  <c r="Z291" i="2" s="1"/>
  <c r="T292" i="2"/>
  <c r="T293" i="2"/>
  <c r="T294" i="2"/>
  <c r="T295" i="2"/>
  <c r="T296" i="2"/>
  <c r="T297" i="2"/>
  <c r="T298" i="2"/>
  <c r="T299" i="2"/>
  <c r="T300" i="2"/>
  <c r="Z300" i="2" s="1"/>
  <c r="T301" i="2"/>
  <c r="Z301" i="2" s="1"/>
  <c r="T302" i="2"/>
  <c r="Z302" i="2" s="1"/>
  <c r="T303" i="2"/>
  <c r="Z303" i="2" s="1"/>
  <c r="T304" i="2"/>
  <c r="T305" i="2"/>
  <c r="T306" i="2"/>
  <c r="T307" i="2"/>
  <c r="T308" i="2"/>
  <c r="T309" i="2"/>
  <c r="Z309" i="2" s="1"/>
  <c r="T310" i="2"/>
  <c r="Z310" i="2" s="1"/>
  <c r="T311" i="2"/>
  <c r="Z311" i="2" s="1"/>
  <c r="T312" i="2"/>
  <c r="Z312" i="2" s="1"/>
  <c r="T313" i="2"/>
  <c r="Z313" i="2" s="1"/>
  <c r="T314" i="2"/>
  <c r="Z314" i="2" s="1"/>
  <c r="T315" i="2"/>
  <c r="Z315" i="2" s="1"/>
  <c r="T316" i="2"/>
  <c r="T317" i="2"/>
  <c r="T318" i="2"/>
  <c r="T319" i="2"/>
  <c r="T320" i="2"/>
  <c r="T321" i="2"/>
  <c r="Z321" i="2" s="1"/>
  <c r="T322" i="2"/>
  <c r="Z322" i="2" s="1"/>
  <c r="T323" i="2"/>
  <c r="Z323" i="2" s="1"/>
  <c r="T324" i="2"/>
  <c r="T325" i="2"/>
  <c r="T326" i="2"/>
  <c r="Z326" i="2" s="1"/>
  <c r="T327" i="2"/>
  <c r="Z327" i="2" s="1"/>
  <c r="T328" i="2"/>
  <c r="T329" i="2"/>
  <c r="T330" i="2"/>
  <c r="T331" i="2"/>
  <c r="Z331" i="2" s="1"/>
  <c r="T332" i="2"/>
  <c r="T333" i="2"/>
  <c r="Z333" i="2" s="1"/>
  <c r="T334" i="2"/>
  <c r="Z334" i="2" s="1"/>
  <c r="T335" i="2"/>
  <c r="Z335" i="2" s="1"/>
  <c r="T336" i="2"/>
  <c r="Z336" i="2" s="1"/>
  <c r="T337" i="2"/>
  <c r="Z337" i="2" s="1"/>
  <c r="T338" i="2"/>
  <c r="Z338" i="2" s="1"/>
  <c r="T339" i="2"/>
  <c r="Z339" i="2" s="1"/>
  <c r="T340" i="2"/>
  <c r="T341" i="2"/>
  <c r="T342" i="2"/>
  <c r="T343" i="2"/>
  <c r="Z343" i="2" s="1"/>
  <c r="T344" i="2"/>
  <c r="T345" i="2"/>
  <c r="Z345" i="2" s="1"/>
  <c r="T346" i="2"/>
  <c r="T347" i="2"/>
  <c r="T348" i="2"/>
  <c r="Z348" i="2" s="1"/>
  <c r="T349" i="2"/>
  <c r="Z349" i="2" s="1"/>
  <c r="T350" i="2"/>
  <c r="Z350" i="2" s="1"/>
  <c r="T351" i="2"/>
  <c r="Z351" i="2" s="1"/>
  <c r="T352" i="2"/>
  <c r="T353" i="2"/>
  <c r="T354" i="2"/>
  <c r="T355" i="2"/>
  <c r="T356" i="2"/>
  <c r="T357" i="2"/>
  <c r="T358" i="2"/>
  <c r="T359" i="2"/>
  <c r="Z359" i="2" s="1"/>
  <c r="T360" i="2"/>
  <c r="Z360" i="2" s="1"/>
  <c r="T361" i="2"/>
  <c r="Z361" i="2" s="1"/>
  <c r="T362" i="2"/>
  <c r="Z362" i="2" s="1"/>
  <c r="T363" i="2"/>
  <c r="Z363" i="2" s="1"/>
  <c r="T364" i="2"/>
  <c r="T365" i="2"/>
  <c r="T366" i="2"/>
  <c r="T367" i="2"/>
  <c r="T368" i="2"/>
  <c r="T369" i="2"/>
  <c r="T370" i="2"/>
  <c r="T371" i="2"/>
  <c r="T372" i="2"/>
  <c r="Z372" i="2" s="1"/>
  <c r="T373" i="2"/>
  <c r="Z373" i="2" s="1"/>
  <c r="T374" i="2"/>
  <c r="Z374" i="2" s="1"/>
  <c r="T375" i="2"/>
  <c r="Z375" i="2" s="1"/>
  <c r="T376" i="2"/>
  <c r="T377" i="2"/>
  <c r="T378" i="2"/>
  <c r="T379" i="2"/>
  <c r="T380" i="2"/>
  <c r="Z380" i="2" s="1"/>
  <c r="T381" i="2"/>
  <c r="Z381" i="2" s="1"/>
  <c r="T382" i="2"/>
  <c r="Z382" i="2" s="1"/>
  <c r="T383" i="2"/>
  <c r="T384" i="2"/>
  <c r="T385" i="2"/>
  <c r="Z385" i="2" s="1"/>
  <c r="T386" i="2"/>
  <c r="Z386" i="2" s="1"/>
  <c r="T387" i="2"/>
  <c r="Z387" i="2" s="1"/>
  <c r="T388" i="2"/>
  <c r="T389" i="2"/>
  <c r="T390" i="2"/>
  <c r="T391" i="2"/>
  <c r="Z391" i="2" s="1"/>
  <c r="T392" i="2"/>
  <c r="Z392" i="2" s="1"/>
  <c r="T393" i="2"/>
  <c r="Z393" i="2" s="1"/>
  <c r="T394" i="2"/>
  <c r="Z394" i="2" s="1"/>
  <c r="T395" i="2"/>
  <c r="Z395" i="2" s="1"/>
  <c r="T396" i="2"/>
  <c r="Z396" i="2" s="1"/>
  <c r="T397" i="2"/>
  <c r="Z397" i="2" s="1"/>
  <c r="T398" i="2"/>
  <c r="Z398" i="2" s="1"/>
  <c r="T399" i="2"/>
  <c r="Z399" i="2" s="1"/>
  <c r="T400" i="2"/>
  <c r="T401" i="2"/>
  <c r="T402" i="2"/>
  <c r="T403" i="2"/>
  <c r="Z403" i="2" s="1"/>
  <c r="T404" i="2"/>
  <c r="T405" i="2"/>
  <c r="Z405" i="2" s="1"/>
  <c r="T406" i="2"/>
  <c r="Z406" i="2" s="1"/>
  <c r="T407" i="2"/>
  <c r="Z407" i="2" s="1"/>
  <c r="T408" i="2"/>
  <c r="Z408" i="2" s="1"/>
  <c r="T409" i="2"/>
  <c r="Z409" i="2" s="1"/>
  <c r="T410" i="2"/>
  <c r="Z410" i="2" s="1"/>
  <c r="T411" i="2"/>
  <c r="Z411" i="2" s="1"/>
  <c r="T412" i="2"/>
  <c r="T413" i="2"/>
  <c r="T414" i="2"/>
  <c r="T415" i="2"/>
  <c r="T416" i="2"/>
  <c r="Z416" i="2" s="1"/>
  <c r="T417" i="2"/>
  <c r="Z417" i="2" s="1"/>
  <c r="T418" i="2"/>
  <c r="Z418" i="2" s="1"/>
  <c r="T419" i="2"/>
  <c r="Z419" i="2" s="1"/>
  <c r="T420" i="2"/>
  <c r="Z420" i="2" s="1"/>
  <c r="T421" i="2"/>
  <c r="Z421" i="2" s="1"/>
  <c r="T422" i="2"/>
  <c r="Z422" i="2" s="1"/>
  <c r="T423" i="2"/>
  <c r="Z423" i="2" s="1"/>
  <c r="T424" i="2"/>
  <c r="T425" i="2"/>
  <c r="T426" i="2"/>
  <c r="T427" i="2"/>
  <c r="T428" i="2"/>
  <c r="T429" i="2"/>
  <c r="T430" i="2"/>
  <c r="T431" i="2"/>
  <c r="Z431" i="2" s="1"/>
  <c r="T432" i="2"/>
  <c r="Z432" i="2" s="1"/>
  <c r="T433" i="2"/>
  <c r="Z433" i="2" s="1"/>
  <c r="T434" i="2"/>
  <c r="Z434" i="2" s="1"/>
  <c r="T435" i="2"/>
  <c r="Z435" i="2" s="1"/>
  <c r="T436" i="2"/>
  <c r="T437" i="2"/>
  <c r="T438" i="2"/>
  <c r="T439" i="2"/>
  <c r="T440" i="2"/>
  <c r="T441" i="2"/>
  <c r="Z441" i="2" s="1"/>
  <c r="T442" i="2"/>
  <c r="Z442" i="2" s="1"/>
  <c r="T443" i="2"/>
  <c r="Z443" i="2" s="1"/>
  <c r="T444" i="2"/>
  <c r="Z444" i="2" s="1"/>
  <c r="T445" i="2"/>
  <c r="Z445" i="2" s="1"/>
  <c r="T446" i="2"/>
  <c r="Z446" i="2" s="1"/>
  <c r="T447" i="2"/>
  <c r="Z447" i="2" s="1"/>
  <c r="T448" i="2"/>
  <c r="T449" i="2"/>
  <c r="T450" i="2"/>
  <c r="T451" i="2"/>
  <c r="T452" i="2"/>
  <c r="Z452" i="2" s="1"/>
  <c r="T453" i="2"/>
  <c r="Z453" i="2" s="1"/>
  <c r="T454" i="2"/>
  <c r="T455" i="2"/>
  <c r="Z455" i="2" s="1"/>
  <c r="T456" i="2"/>
  <c r="Z456" i="2" s="1"/>
  <c r="T457" i="2"/>
  <c r="Z457" i="2" s="1"/>
  <c r="T458" i="2"/>
  <c r="Z458" i="2" s="1"/>
  <c r="T459" i="2"/>
  <c r="Z459" i="2" s="1"/>
  <c r="T460" i="2"/>
  <c r="T461" i="2"/>
  <c r="T462" i="2"/>
  <c r="T463" i="2"/>
  <c r="Z463" i="2" s="1"/>
  <c r="T464" i="2"/>
  <c r="Z464" i="2" s="1"/>
  <c r="T465" i="2"/>
  <c r="Z465" i="2" s="1"/>
  <c r="T466" i="2"/>
  <c r="Z466" i="2" s="1"/>
  <c r="T467" i="2"/>
  <c r="Z467" i="2" s="1"/>
  <c r="T468" i="2"/>
  <c r="Z468" i="2" s="1"/>
  <c r="T469" i="2"/>
  <c r="Z469" i="2" s="1"/>
  <c r="T470" i="2"/>
  <c r="Z470" i="2" s="1"/>
  <c r="T471" i="2"/>
  <c r="Z471" i="2" s="1"/>
  <c r="T472" i="2"/>
  <c r="T473" i="2"/>
  <c r="T474" i="2"/>
  <c r="T475" i="2"/>
  <c r="Z475" i="2" s="1"/>
  <c r="T476" i="2"/>
  <c r="T477" i="2"/>
  <c r="Z477" i="2" s="1"/>
  <c r="T478" i="2"/>
  <c r="Z478" i="2" s="1"/>
  <c r="T479" i="2"/>
  <c r="Z479" i="2" s="1"/>
  <c r="T480" i="2"/>
  <c r="Z480" i="2" s="1"/>
  <c r="T481" i="2"/>
  <c r="Z481" i="2" s="1"/>
  <c r="T482" i="2"/>
  <c r="Z482" i="2" s="1"/>
  <c r="T483" i="2"/>
  <c r="T484" i="2"/>
  <c r="T485" i="2"/>
  <c r="T486" i="2"/>
  <c r="T487" i="2"/>
  <c r="T488" i="2"/>
  <c r="T489" i="2"/>
  <c r="Z489" i="2" s="1"/>
  <c r="T490" i="2"/>
  <c r="Z490" i="2" s="1"/>
  <c r="T491" i="2"/>
  <c r="Z491" i="2" s="1"/>
  <c r="T492" i="2"/>
  <c r="Z492" i="2" s="1"/>
  <c r="T493" i="2"/>
  <c r="Z493" i="2" s="1"/>
  <c r="T494" i="2"/>
  <c r="Z494" i="2" s="1"/>
  <c r="T495" i="2"/>
  <c r="Z495" i="2" s="1"/>
  <c r="T496" i="2"/>
  <c r="T497" i="2"/>
  <c r="T498" i="2"/>
  <c r="T499" i="2"/>
  <c r="T500" i="2"/>
  <c r="T501" i="2"/>
  <c r="T502" i="2"/>
  <c r="T503" i="2"/>
  <c r="T504" i="2"/>
  <c r="T505" i="2"/>
  <c r="Z505" i="2" s="1"/>
  <c r="T506" i="2"/>
  <c r="Z506" i="2" s="1"/>
  <c r="T507" i="2"/>
  <c r="Z507" i="2" s="1"/>
  <c r="T508" i="2"/>
  <c r="T509" i="2"/>
  <c r="T510" i="2"/>
  <c r="T511" i="2"/>
  <c r="T512" i="2"/>
  <c r="T513" i="2"/>
  <c r="Z513" i="2" s="1"/>
  <c r="T514" i="2"/>
  <c r="Z514" i="2" s="1"/>
  <c r="T515" i="2"/>
  <c r="Z515" i="2" s="1"/>
  <c r="T516" i="2"/>
  <c r="Z516" i="2" s="1"/>
  <c r="T517" i="2"/>
  <c r="Z517" i="2" s="1"/>
  <c r="T518" i="2"/>
  <c r="Z518" i="2" s="1"/>
  <c r="T519" i="2"/>
  <c r="Z519" i="2" s="1"/>
  <c r="T520" i="2"/>
  <c r="T521" i="2"/>
  <c r="T522" i="2"/>
  <c r="T523" i="2"/>
  <c r="T524" i="2"/>
  <c r="T525" i="2"/>
  <c r="Z525" i="2" s="1"/>
  <c r="T526" i="2"/>
  <c r="Z526" i="2" s="1"/>
  <c r="T527" i="2"/>
  <c r="Z527" i="2" s="1"/>
  <c r="T528" i="2"/>
  <c r="Z528" i="2" s="1"/>
  <c r="T529" i="2"/>
  <c r="Z529" i="2" s="1"/>
  <c r="T530" i="2"/>
  <c r="Z530" i="2" s="1"/>
  <c r="T531" i="2"/>
  <c r="Z531" i="2" s="1"/>
  <c r="T532" i="2"/>
  <c r="T533" i="2"/>
  <c r="T534" i="2"/>
  <c r="T535" i="2"/>
  <c r="T536" i="2"/>
  <c r="Z536" i="2" s="1"/>
  <c r="T537" i="2"/>
  <c r="Z537" i="2" s="1"/>
  <c r="T538" i="2"/>
  <c r="Z538" i="2" s="1"/>
  <c r="T539" i="2"/>
  <c r="Z539" i="2" s="1"/>
  <c r="T540" i="2"/>
  <c r="Z540" i="2" s="1"/>
  <c r="T541" i="2"/>
  <c r="T542" i="2"/>
  <c r="Z542" i="2" s="1"/>
  <c r="T543" i="2"/>
  <c r="Z543" i="2" s="1"/>
  <c r="T544" i="2"/>
  <c r="T545" i="2"/>
  <c r="T546" i="2"/>
  <c r="T547" i="2"/>
  <c r="Z547" i="2" s="1"/>
  <c r="T548" i="2"/>
  <c r="T549" i="2"/>
  <c r="Z549" i="2" s="1"/>
  <c r="T550" i="2"/>
  <c r="Z550" i="2" s="1"/>
  <c r="T551" i="2"/>
  <c r="Z551" i="2" s="1"/>
  <c r="T552" i="2"/>
  <c r="Z552" i="2" s="1"/>
  <c r="T553" i="2"/>
  <c r="Z553" i="2" s="1"/>
  <c r="T554" i="2"/>
  <c r="Z554" i="2" s="1"/>
  <c r="T555" i="2"/>
  <c r="Z555" i="2" s="1"/>
  <c r="T556" i="2"/>
  <c r="T557" i="2"/>
  <c r="T558" i="2"/>
  <c r="T559" i="2"/>
  <c r="T560" i="2"/>
  <c r="T561" i="2"/>
  <c r="T562" i="2"/>
  <c r="T563" i="2"/>
  <c r="Z563" i="2" s="1"/>
  <c r="T564" i="2"/>
  <c r="Z564" i="2" s="1"/>
  <c r="T565" i="2"/>
  <c r="Z565" i="2" s="1"/>
  <c r="T566" i="2"/>
  <c r="Z566" i="2" s="1"/>
  <c r="T567" i="2"/>
  <c r="Z567" i="2" s="1"/>
  <c r="T568" i="2"/>
  <c r="T569" i="2"/>
  <c r="T570" i="2"/>
  <c r="T571" i="2"/>
  <c r="T572" i="2"/>
  <c r="T573" i="2"/>
  <c r="Z573" i="2" s="1"/>
  <c r="T574" i="2"/>
  <c r="Z574" i="2" s="1"/>
  <c r="T575" i="2"/>
  <c r="Z575" i="2" s="1"/>
  <c r="T576" i="2"/>
  <c r="Z576" i="2" s="1"/>
  <c r="T577" i="2"/>
  <c r="Z577" i="2" s="1"/>
  <c r="T578" i="2"/>
  <c r="Z578" i="2" s="1"/>
  <c r="T579" i="2"/>
  <c r="Z579" i="2" s="1"/>
  <c r="T580" i="2"/>
  <c r="T581" i="2"/>
  <c r="T582" i="2"/>
  <c r="T583" i="2"/>
  <c r="T584" i="2"/>
  <c r="T585" i="2"/>
  <c r="T586" i="2"/>
  <c r="T587" i="2"/>
  <c r="T588" i="2"/>
  <c r="Z588" i="2" s="1"/>
  <c r="T589" i="2"/>
  <c r="Z589" i="2" s="1"/>
  <c r="T590" i="2"/>
  <c r="Z590" i="2" s="1"/>
  <c r="T591" i="2"/>
  <c r="Z591" i="2" s="1"/>
  <c r="T592" i="2"/>
  <c r="T593" i="2"/>
  <c r="T594" i="2"/>
  <c r="T595" i="2"/>
  <c r="T596" i="2"/>
  <c r="T597" i="2"/>
  <c r="T598" i="2"/>
  <c r="T599" i="2"/>
  <c r="Z599" i="2" s="1"/>
  <c r="T600" i="2"/>
  <c r="Z600" i="2" s="1"/>
  <c r="T601" i="2"/>
  <c r="Z601" i="2" s="1"/>
  <c r="T602" i="2"/>
  <c r="Z602" i="2" s="1"/>
  <c r="T603" i="2"/>
  <c r="Z603" i="2" s="1"/>
  <c r="T604" i="2"/>
  <c r="T605" i="2"/>
  <c r="T606" i="2"/>
  <c r="T607" i="2"/>
  <c r="T608" i="2"/>
  <c r="Z608" i="2" s="1"/>
  <c r="T609" i="2"/>
  <c r="Z609" i="2" s="1"/>
  <c r="T610" i="2"/>
  <c r="Z610" i="2" s="1"/>
  <c r="T611" i="2"/>
  <c r="Z611" i="2" s="1"/>
  <c r="T612" i="2"/>
  <c r="Z612" i="2" s="1"/>
  <c r="T613" i="2"/>
  <c r="Z613" i="2" s="1"/>
  <c r="T614" i="2"/>
  <c r="Z614" i="2" s="1"/>
  <c r="T615" i="2"/>
  <c r="Z615" i="2" s="1"/>
  <c r="T616" i="2"/>
  <c r="T617" i="2"/>
  <c r="T618" i="2"/>
  <c r="T619" i="2"/>
  <c r="Z619" i="2" s="1"/>
  <c r="T620" i="2"/>
  <c r="T621" i="2"/>
  <c r="Z621" i="2" s="1"/>
  <c r="T622" i="2"/>
  <c r="Z622" i="2" s="1"/>
  <c r="T623" i="2"/>
  <c r="Z623" i="2" s="1"/>
  <c r="T624" i="2"/>
  <c r="Z624" i="2" s="1"/>
  <c r="T625" i="2"/>
  <c r="Z625" i="2" s="1"/>
  <c r="T626" i="2"/>
  <c r="T627" i="2"/>
  <c r="Z627" i="2" s="1"/>
  <c r="T628" i="2"/>
  <c r="T629" i="2"/>
  <c r="T630" i="2"/>
  <c r="T631" i="2"/>
  <c r="T632" i="2"/>
  <c r="T633" i="2"/>
  <c r="Z633" i="2" s="1"/>
  <c r="T634" i="2"/>
  <c r="Z634" i="2" s="1"/>
  <c r="T635" i="2"/>
  <c r="Z635" i="2" s="1"/>
  <c r="T636" i="2"/>
  <c r="Z636" i="2" s="1"/>
  <c r="T637" i="2"/>
  <c r="Z637" i="2" s="1"/>
  <c r="T638" i="2"/>
  <c r="Z638" i="2" s="1"/>
  <c r="T639" i="2"/>
  <c r="Z639" i="2" s="1"/>
  <c r="T640" i="2"/>
  <c r="T641" i="2"/>
  <c r="T642" i="2"/>
  <c r="T643" i="2"/>
  <c r="T644" i="2"/>
  <c r="T645" i="2"/>
  <c r="T646" i="2"/>
  <c r="T647" i="2"/>
  <c r="T648" i="2"/>
  <c r="T649" i="2"/>
  <c r="T650" i="2"/>
  <c r="Z650" i="2" s="1"/>
  <c r="T651" i="2"/>
  <c r="Z651" i="2" s="1"/>
  <c r="T652" i="2"/>
  <c r="T653" i="2"/>
  <c r="T654" i="2"/>
  <c r="T655" i="2"/>
  <c r="T656" i="2"/>
  <c r="T657" i="2"/>
  <c r="Z657" i="2" s="1"/>
  <c r="T658" i="2"/>
  <c r="Z658" i="2" s="1"/>
  <c r="T659" i="2"/>
  <c r="Z659" i="2" s="1"/>
  <c r="T660" i="2"/>
  <c r="Z660" i="2" s="1"/>
  <c r="T661" i="2"/>
  <c r="Z661" i="2" s="1"/>
  <c r="T662" i="2"/>
  <c r="Z662" i="2" s="1"/>
  <c r="T663" i="2"/>
  <c r="Z663" i="2" s="1"/>
  <c r="T664" i="2"/>
  <c r="T665" i="2"/>
  <c r="T666" i="2"/>
  <c r="T667" i="2"/>
  <c r="T668" i="2"/>
  <c r="Z668" i="2" s="1"/>
  <c r="T669" i="2"/>
  <c r="Z669" i="2" s="1"/>
  <c r="T670" i="2"/>
  <c r="Z670" i="2" s="1"/>
  <c r="T671" i="2"/>
  <c r="Z671" i="2" s="1"/>
  <c r="T672" i="2"/>
  <c r="Z672" i="2" s="1"/>
  <c r="T673" i="2"/>
  <c r="Z673" i="2" s="1"/>
  <c r="T674" i="2"/>
  <c r="Z674" i="2" s="1"/>
  <c r="T675" i="2"/>
  <c r="Z675" i="2" s="1"/>
  <c r="T676" i="2"/>
  <c r="T677" i="2"/>
  <c r="T678" i="2"/>
  <c r="T679" i="2"/>
  <c r="Z679" i="2" s="1"/>
  <c r="T680" i="2"/>
  <c r="Z680" i="2" s="1"/>
  <c r="T681" i="2"/>
  <c r="Z681" i="2" s="1"/>
  <c r="T682" i="2"/>
  <c r="Z682" i="2" s="1"/>
  <c r="T683" i="2"/>
  <c r="Z683" i="2" s="1"/>
  <c r="T684" i="2"/>
  <c r="Z684" i="2" s="1"/>
  <c r="T685" i="2"/>
  <c r="Z685" i="2" s="1"/>
  <c r="T686" i="2"/>
  <c r="Z686" i="2" s="1"/>
  <c r="T687" i="2"/>
  <c r="Z687" i="2" s="1"/>
  <c r="T688" i="2"/>
  <c r="T689" i="2"/>
  <c r="T690" i="2"/>
  <c r="T691" i="2"/>
  <c r="T692" i="2"/>
  <c r="T693" i="2"/>
  <c r="T694" i="2"/>
  <c r="T695" i="2"/>
  <c r="Z695" i="2" s="1"/>
  <c r="T696" i="2"/>
  <c r="Z696" i="2" s="1"/>
  <c r="T697" i="2"/>
  <c r="Z697" i="2" s="1"/>
  <c r="T698" i="2"/>
  <c r="Z698" i="2" s="1"/>
  <c r="T699" i="2"/>
  <c r="Z699" i="2" s="1"/>
  <c r="T700" i="2"/>
  <c r="T701" i="2"/>
  <c r="T702" i="2"/>
  <c r="T703" i="2"/>
  <c r="T704" i="2"/>
  <c r="T705" i="2"/>
  <c r="Z705" i="2" s="1"/>
  <c r="T706" i="2"/>
  <c r="Z706" i="2" s="1"/>
  <c r="T707" i="2"/>
  <c r="Z707" i="2" s="1"/>
  <c r="T708" i="2"/>
  <c r="T709" i="2"/>
  <c r="Z709" i="2" s="1"/>
  <c r="T710" i="2"/>
  <c r="Z710" i="2" s="1"/>
  <c r="T711" i="2"/>
  <c r="Z711" i="2" s="1"/>
  <c r="T712" i="2"/>
  <c r="T3" i="2"/>
  <c r="N6" i="2"/>
  <c r="AC10" i="2"/>
  <c r="AC14" i="2"/>
  <c r="AC91" i="2"/>
  <c r="AC97" i="2"/>
  <c r="AC109" i="2"/>
  <c r="AC191" i="2"/>
  <c r="AC197" i="2"/>
  <c r="AC199" i="2"/>
  <c r="AC216" i="2"/>
  <c r="AC301" i="2"/>
  <c r="AC302" i="2"/>
  <c r="AC312" i="2"/>
  <c r="AC408" i="2"/>
  <c r="AC420" i="2"/>
  <c r="AC422" i="2"/>
  <c r="AC434" i="2"/>
  <c r="AC565" i="2"/>
  <c r="AC576" i="2"/>
  <c r="AC672" i="2"/>
  <c r="AC674" i="2"/>
  <c r="AC686" i="2"/>
  <c r="AB10" i="2"/>
  <c r="AB22" i="2"/>
  <c r="AB23" i="2"/>
  <c r="AB42" i="2"/>
  <c r="AB46" i="2"/>
  <c r="AB72" i="2"/>
  <c r="AB82" i="2"/>
  <c r="AB106" i="2"/>
  <c r="AB107" i="2"/>
  <c r="AB128" i="2"/>
  <c r="AB130" i="2"/>
  <c r="AB142" i="2"/>
  <c r="AB154" i="2"/>
  <c r="AB166" i="2"/>
  <c r="AB168" i="2"/>
  <c r="AB173" i="2"/>
  <c r="AB179" i="2"/>
  <c r="AB202" i="2"/>
  <c r="AB203" i="2"/>
  <c r="AB210" i="2"/>
  <c r="AB251" i="2"/>
  <c r="AB262" i="2"/>
  <c r="AB275" i="2"/>
  <c r="AB277" i="2"/>
  <c r="AB278" i="2"/>
  <c r="AB334" i="2"/>
  <c r="AB335" i="2"/>
  <c r="AB346" i="2"/>
  <c r="AB370" i="2"/>
  <c r="AB372" i="2"/>
  <c r="AB382" i="2"/>
  <c r="AB407" i="2"/>
  <c r="AB480" i="2"/>
  <c r="AB525" i="2"/>
  <c r="AB527" i="2"/>
  <c r="AB528" i="2"/>
  <c r="AB635" i="2"/>
  <c r="AB653" i="2"/>
  <c r="AB660" i="2"/>
  <c r="AB683" i="2"/>
  <c r="AB684" i="2"/>
  <c r="AA10" i="2"/>
  <c r="AA30" i="2"/>
  <c r="AA32" i="2"/>
  <c r="AA42" i="2"/>
  <c r="AA54" i="2"/>
  <c r="AA78" i="2"/>
  <c r="AA80" i="2"/>
  <c r="AA90" i="2"/>
  <c r="AA104" i="2"/>
  <c r="AA114" i="2"/>
  <c r="AA126" i="2"/>
  <c r="AA150" i="2"/>
  <c r="AA152" i="2"/>
  <c r="AA162" i="2"/>
  <c r="AA164" i="2"/>
  <c r="AA166" i="2"/>
  <c r="AA176" i="2"/>
  <c r="AA186" i="2"/>
  <c r="AA188" i="2"/>
  <c r="AA198" i="2"/>
  <c r="AA210" i="2"/>
  <c r="AA234" i="2"/>
  <c r="AA236" i="2"/>
  <c r="AA246" i="2"/>
  <c r="AA247" i="2"/>
  <c r="AA258" i="2"/>
  <c r="AA260" i="2"/>
  <c r="AA270" i="2"/>
  <c r="AA283" i="2"/>
  <c r="AA284" i="2"/>
  <c r="AA330" i="2"/>
  <c r="AA342" i="2"/>
  <c r="AA344" i="2"/>
  <c r="AA378" i="2"/>
  <c r="AA379" i="2"/>
  <c r="AA380" i="2"/>
  <c r="AA402" i="2"/>
  <c r="AA404" i="2"/>
  <c r="AA428" i="2"/>
  <c r="AA438" i="2"/>
  <c r="AA474" i="2"/>
  <c r="AA486" i="2"/>
  <c r="AA488" i="2"/>
  <c r="AA498" i="2"/>
  <c r="AA499" i="2"/>
  <c r="AA506" i="2"/>
  <c r="AA512" i="2"/>
  <c r="AA522" i="2"/>
  <c r="AA534" i="2"/>
  <c r="AA546" i="2"/>
  <c r="AA572" i="2"/>
  <c r="AA582" i="2"/>
  <c r="AA584" i="2"/>
  <c r="AA586" i="2"/>
  <c r="AA595" i="2"/>
  <c r="AA606" i="2"/>
  <c r="AA630" i="2"/>
  <c r="AA642" i="2"/>
  <c r="AA654" i="2"/>
  <c r="AA656" i="2"/>
  <c r="AA666" i="2"/>
  <c r="AA678" i="2"/>
  <c r="AA679" i="2"/>
  <c r="AA690" i="2"/>
  <c r="AA691" i="2"/>
  <c r="AA692" i="2"/>
  <c r="AA702" i="2"/>
  <c r="Z17" i="2"/>
  <c r="Z41" i="2"/>
  <c r="Z43" i="2"/>
  <c r="Z53" i="2"/>
  <c r="Z54" i="2"/>
  <c r="Z66" i="2"/>
  <c r="Z89" i="2"/>
  <c r="Z90" i="2"/>
  <c r="Z91" i="2"/>
  <c r="Z101" i="2"/>
  <c r="Z103" i="2"/>
  <c r="Z113" i="2"/>
  <c r="Z115" i="2"/>
  <c r="Z137" i="2"/>
  <c r="Z138" i="2"/>
  <c r="Z149" i="2"/>
  <c r="Z151" i="2"/>
  <c r="Z173" i="2"/>
  <c r="Z175" i="2"/>
  <c r="Z185" i="2"/>
  <c r="Z187" i="2"/>
  <c r="Z197" i="2"/>
  <c r="Z199" i="2"/>
  <c r="Z209" i="2"/>
  <c r="Z210" i="2"/>
  <c r="Z221" i="2"/>
  <c r="Z223" i="2"/>
  <c r="Z233" i="2"/>
  <c r="Z245" i="2"/>
  <c r="Z246" i="2"/>
  <c r="Z247" i="2"/>
  <c r="Z248" i="2"/>
  <c r="Z257" i="2"/>
  <c r="Z259" i="2"/>
  <c r="Z260" i="2"/>
  <c r="Z281" i="2"/>
  <c r="Z293" i="2"/>
  <c r="Z294" i="2"/>
  <c r="Z295" i="2"/>
  <c r="Z296" i="2"/>
  <c r="Z305" i="2"/>
  <c r="Z317" i="2"/>
  <c r="Z318" i="2"/>
  <c r="Z319" i="2"/>
  <c r="Z320" i="2"/>
  <c r="Z329" i="2"/>
  <c r="Z341" i="2"/>
  <c r="Z365" i="2"/>
  <c r="Z366" i="2"/>
  <c r="Z367" i="2"/>
  <c r="Z368" i="2"/>
  <c r="Z377" i="2"/>
  <c r="Z379" i="2"/>
  <c r="Z389" i="2"/>
  <c r="Z401" i="2"/>
  <c r="Z414" i="2"/>
  <c r="Z425" i="2"/>
  <c r="Z427" i="2"/>
  <c r="Z437" i="2"/>
  <c r="Z449" i="2"/>
  <c r="Z450" i="2"/>
  <c r="Z451" i="2"/>
  <c r="Z461" i="2"/>
  <c r="Z462" i="2"/>
  <c r="Z476" i="2"/>
  <c r="Z485" i="2"/>
  <c r="Z487" i="2"/>
  <c r="Z497" i="2"/>
  <c r="Z498" i="2"/>
  <c r="Z509" i="2"/>
  <c r="Z511" i="2"/>
  <c r="Z521" i="2"/>
  <c r="Z523" i="2"/>
  <c r="Z524" i="2"/>
  <c r="Z535" i="2"/>
  <c r="Z545" i="2"/>
  <c r="Z558" i="2"/>
  <c r="Z569" i="2"/>
  <c r="Z571" i="2"/>
  <c r="Z581" i="2"/>
  <c r="Z593" i="2"/>
  <c r="Z595" i="2"/>
  <c r="Z605" i="2"/>
  <c r="Z606" i="2"/>
  <c r="Z607" i="2"/>
  <c r="Z617" i="2"/>
  <c r="Z629" i="2"/>
  <c r="Z641" i="2"/>
  <c r="Z642" i="2"/>
  <c r="Z643" i="2"/>
  <c r="Z644" i="2"/>
  <c r="Z653" i="2"/>
  <c r="Z655" i="2"/>
  <c r="Z665" i="2"/>
  <c r="Z666" i="2"/>
  <c r="Z667" i="2"/>
  <c r="Z689" i="2"/>
  <c r="Z691" i="2"/>
  <c r="Z702" i="2"/>
  <c r="AC4" i="2"/>
  <c r="AC5" i="2"/>
  <c r="AC6" i="2"/>
  <c r="AC7" i="2"/>
  <c r="AC8" i="2"/>
  <c r="AC9" i="2"/>
  <c r="AC16" i="2"/>
  <c r="AC17" i="2"/>
  <c r="AC18" i="2"/>
  <c r="AC19" i="2"/>
  <c r="AC20" i="2"/>
  <c r="AC21" i="2"/>
  <c r="AC22" i="2"/>
  <c r="AC24" i="2"/>
  <c r="AC28" i="2"/>
  <c r="AC29" i="2"/>
  <c r="AC30" i="2"/>
  <c r="AC31" i="2"/>
  <c r="AC32" i="2"/>
  <c r="AC33" i="2"/>
  <c r="AC34" i="2"/>
  <c r="AC35" i="2"/>
  <c r="AC36" i="2"/>
  <c r="AC37" i="2"/>
  <c r="AC38" i="2"/>
  <c r="AC40" i="2"/>
  <c r="AC41" i="2"/>
  <c r="AC42" i="2"/>
  <c r="AC43" i="2"/>
  <c r="AC44" i="2"/>
  <c r="AC45" i="2"/>
  <c r="AC46" i="2"/>
  <c r="AC47" i="2"/>
  <c r="AC52" i="2"/>
  <c r="AC53" i="2"/>
  <c r="AC54" i="2"/>
  <c r="AC57" i="2"/>
  <c r="AC64" i="2"/>
  <c r="AC65" i="2"/>
  <c r="AC66" i="2"/>
  <c r="AC67" i="2"/>
  <c r="AC69" i="2"/>
  <c r="AC76" i="2"/>
  <c r="AC77" i="2"/>
  <c r="AC78" i="2"/>
  <c r="AC79" i="2"/>
  <c r="AC80" i="2"/>
  <c r="AC81" i="2"/>
  <c r="AC88" i="2"/>
  <c r="AC89" i="2"/>
  <c r="AC90" i="2"/>
  <c r="AC92" i="2"/>
  <c r="AC93" i="2"/>
  <c r="AC100" i="2"/>
  <c r="AC101" i="2"/>
  <c r="AC102" i="2"/>
  <c r="AC103" i="2"/>
  <c r="AC104" i="2"/>
  <c r="AC105" i="2"/>
  <c r="AC106" i="2"/>
  <c r="AC112" i="2"/>
  <c r="AC113" i="2"/>
  <c r="AC114" i="2"/>
  <c r="AC115" i="2"/>
  <c r="AC116" i="2"/>
  <c r="AC117" i="2"/>
  <c r="AC118" i="2"/>
  <c r="AC119" i="2"/>
  <c r="AC120" i="2"/>
  <c r="AC124" i="2"/>
  <c r="AC125" i="2"/>
  <c r="AC126" i="2"/>
  <c r="AC127" i="2"/>
  <c r="AC128" i="2"/>
  <c r="AC129" i="2"/>
  <c r="AC130" i="2"/>
  <c r="AC131" i="2"/>
  <c r="AC133" i="2"/>
  <c r="AC136" i="2"/>
  <c r="AC137" i="2"/>
  <c r="AC138" i="2"/>
  <c r="AC139" i="2"/>
  <c r="AC140" i="2"/>
  <c r="AC141" i="2"/>
  <c r="AC142" i="2"/>
  <c r="AC143" i="2"/>
  <c r="AC148" i="2"/>
  <c r="AC149" i="2"/>
  <c r="AC150" i="2"/>
  <c r="AC153" i="2"/>
  <c r="AC160" i="2"/>
  <c r="AC161" i="2"/>
  <c r="AC162" i="2"/>
  <c r="AC165" i="2"/>
  <c r="AC172" i="2"/>
  <c r="AC173" i="2"/>
  <c r="AC174" i="2"/>
  <c r="AC177" i="2"/>
  <c r="AC184" i="2"/>
  <c r="AC185" i="2"/>
  <c r="AC186" i="2"/>
  <c r="AC187" i="2"/>
  <c r="AC189" i="2"/>
  <c r="AC196" i="2"/>
  <c r="AC198" i="2"/>
  <c r="AC200" i="2"/>
  <c r="AC201" i="2"/>
  <c r="AC202" i="2"/>
  <c r="AC208" i="2"/>
  <c r="AC209" i="2"/>
  <c r="AC210" i="2"/>
  <c r="AC211" i="2"/>
  <c r="AC212" i="2"/>
  <c r="AC213" i="2"/>
  <c r="AC214" i="2"/>
  <c r="AC220" i="2"/>
  <c r="AC221" i="2"/>
  <c r="AC222" i="2"/>
  <c r="AC223" i="2"/>
  <c r="AC224" i="2"/>
  <c r="AC225" i="2"/>
  <c r="AC226" i="2"/>
  <c r="AC227" i="2"/>
  <c r="AC232" i="2"/>
  <c r="AC233" i="2"/>
  <c r="AC234" i="2"/>
  <c r="AC235" i="2"/>
  <c r="AC236" i="2"/>
  <c r="AC237" i="2"/>
  <c r="AC238" i="2"/>
  <c r="AC239" i="2"/>
  <c r="AC244" i="2"/>
  <c r="AC245" i="2"/>
  <c r="AC246" i="2"/>
  <c r="AC247" i="2"/>
  <c r="AC248" i="2"/>
  <c r="AC249" i="2"/>
  <c r="AC250" i="2"/>
  <c r="AC251" i="2"/>
  <c r="AC252" i="2"/>
  <c r="AC253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80" i="2"/>
  <c r="AC281" i="2"/>
  <c r="AC282" i="2"/>
  <c r="AC285" i="2"/>
  <c r="AC292" i="2"/>
  <c r="AC293" i="2"/>
  <c r="AC294" i="2"/>
  <c r="AC295" i="2"/>
  <c r="AC296" i="2"/>
  <c r="AC304" i="2"/>
  <c r="AC305" i="2"/>
  <c r="AC306" i="2"/>
  <c r="AC307" i="2"/>
  <c r="AC308" i="2"/>
  <c r="AC309" i="2"/>
  <c r="AC310" i="2"/>
  <c r="AC316" i="2"/>
  <c r="AC317" i="2"/>
  <c r="AC318" i="2"/>
  <c r="AC319" i="2"/>
  <c r="AC320" i="2"/>
  <c r="AC321" i="2"/>
  <c r="AC322" i="2"/>
  <c r="AC323" i="2"/>
  <c r="AC328" i="2"/>
  <c r="AC329" i="2"/>
  <c r="AC330" i="2"/>
  <c r="AC331" i="2"/>
  <c r="AC332" i="2"/>
  <c r="AC333" i="2"/>
  <c r="AC334" i="2"/>
  <c r="AC335" i="2"/>
  <c r="AC337" i="2"/>
  <c r="AC340" i="2"/>
  <c r="AC341" i="2"/>
  <c r="AC342" i="2"/>
  <c r="AC343" i="2"/>
  <c r="AC344" i="2"/>
  <c r="AC345" i="2"/>
  <c r="AC346" i="2"/>
  <c r="AC347" i="2"/>
  <c r="AC349" i="2"/>
  <c r="AC350" i="2"/>
  <c r="AC352" i="2"/>
  <c r="AC353" i="2"/>
  <c r="AC354" i="2"/>
  <c r="AC355" i="2"/>
  <c r="AC356" i="2"/>
  <c r="AC357" i="2"/>
  <c r="AC358" i="2"/>
  <c r="AC359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6" i="2"/>
  <c r="AC377" i="2"/>
  <c r="AC378" i="2"/>
  <c r="AC381" i="2"/>
  <c r="AC388" i="2"/>
  <c r="AC389" i="2"/>
  <c r="AC390" i="2"/>
  <c r="AC400" i="2"/>
  <c r="AC401" i="2"/>
  <c r="AC402" i="2"/>
  <c r="AC403" i="2"/>
  <c r="AC412" i="2"/>
  <c r="AC413" i="2"/>
  <c r="AC414" i="2"/>
  <c r="AC415" i="2"/>
  <c r="AC416" i="2"/>
  <c r="AC424" i="2"/>
  <c r="AC425" i="2"/>
  <c r="AC426" i="2"/>
  <c r="AC427" i="2"/>
  <c r="AC428" i="2"/>
  <c r="AC429" i="2"/>
  <c r="AC430" i="2"/>
  <c r="AC436" i="2"/>
  <c r="AC437" i="2"/>
  <c r="AC438" i="2"/>
  <c r="AC439" i="2"/>
  <c r="AC440" i="2"/>
  <c r="AC441" i="2"/>
  <c r="AC442" i="2"/>
  <c r="AC443" i="2"/>
  <c r="AC448" i="2"/>
  <c r="AC449" i="2"/>
  <c r="AC450" i="2"/>
  <c r="AC451" i="2"/>
  <c r="AC452" i="2"/>
  <c r="AC453" i="2"/>
  <c r="AC454" i="2"/>
  <c r="AC455" i="2"/>
  <c r="AC456" i="2"/>
  <c r="AC460" i="2"/>
  <c r="AC461" i="2"/>
  <c r="AC462" i="2"/>
  <c r="AC463" i="2"/>
  <c r="AC464" i="2"/>
  <c r="AC465" i="2"/>
  <c r="AC466" i="2"/>
  <c r="AC467" i="2"/>
  <c r="AC468" i="2"/>
  <c r="AC469" i="2"/>
  <c r="AC472" i="2"/>
  <c r="AC473" i="2"/>
  <c r="AC474" i="2"/>
  <c r="AC475" i="2"/>
  <c r="AC476" i="2"/>
  <c r="AC477" i="2"/>
  <c r="AC478" i="2"/>
  <c r="AC479" i="2"/>
  <c r="AC480" i="2"/>
  <c r="AC481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20" i="2"/>
  <c r="AC521" i="2"/>
  <c r="AC522" i="2"/>
  <c r="AC525" i="2"/>
  <c r="AC532" i="2"/>
  <c r="AC533" i="2"/>
  <c r="AC534" i="2"/>
  <c r="AC535" i="2"/>
  <c r="AC544" i="2"/>
  <c r="AC545" i="2"/>
  <c r="AC546" i="2"/>
  <c r="AC547" i="2"/>
  <c r="AC548" i="2"/>
  <c r="AC549" i="2"/>
  <c r="AC556" i="2"/>
  <c r="AC557" i="2"/>
  <c r="AC558" i="2"/>
  <c r="AC559" i="2"/>
  <c r="AC560" i="2"/>
  <c r="AC561" i="2"/>
  <c r="AC568" i="2"/>
  <c r="AC569" i="2"/>
  <c r="AC570" i="2"/>
  <c r="AC571" i="2"/>
  <c r="AC572" i="2"/>
  <c r="AC573" i="2"/>
  <c r="AC574" i="2"/>
  <c r="AC580" i="2"/>
  <c r="AC581" i="2"/>
  <c r="AC582" i="2"/>
  <c r="AC583" i="2"/>
  <c r="AC584" i="2"/>
  <c r="AC585" i="2"/>
  <c r="AC586" i="2"/>
  <c r="AC587" i="2"/>
  <c r="AC592" i="2"/>
  <c r="AC593" i="2"/>
  <c r="AC594" i="2"/>
  <c r="AC595" i="2"/>
  <c r="AC597" i="2"/>
  <c r="AC598" i="2"/>
  <c r="AC599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8" i="2"/>
  <c r="AC629" i="2"/>
  <c r="AC630" i="2"/>
  <c r="AC640" i="2"/>
  <c r="AC641" i="2"/>
  <c r="AC642" i="2"/>
  <c r="AC652" i="2"/>
  <c r="AC653" i="2"/>
  <c r="AC654" i="2"/>
  <c r="AC655" i="2"/>
  <c r="AC656" i="2"/>
  <c r="AC664" i="2"/>
  <c r="AC665" i="2"/>
  <c r="AC666" i="2"/>
  <c r="AC667" i="2"/>
  <c r="AC668" i="2"/>
  <c r="AC676" i="2"/>
  <c r="AC677" i="2"/>
  <c r="AC678" i="2"/>
  <c r="AC679" i="2"/>
  <c r="AC680" i="2"/>
  <c r="AC681" i="2"/>
  <c r="AC682" i="2"/>
  <c r="AC688" i="2"/>
  <c r="AC689" i="2"/>
  <c r="AC690" i="2"/>
  <c r="AC691" i="2"/>
  <c r="AC692" i="2"/>
  <c r="AC693" i="2"/>
  <c r="AC694" i="2"/>
  <c r="AC695" i="2"/>
  <c r="AC700" i="2"/>
  <c r="AC702" i="2"/>
  <c r="AC703" i="2"/>
  <c r="AC704" i="2"/>
  <c r="AC705" i="2"/>
  <c r="AC706" i="2"/>
  <c r="AC707" i="2"/>
  <c r="AC708" i="2"/>
  <c r="AC709" i="2"/>
  <c r="AC710" i="2"/>
  <c r="AB3" i="2"/>
  <c r="AB4" i="2"/>
  <c r="AB5" i="2"/>
  <c r="AB6" i="2"/>
  <c r="AB7" i="2"/>
  <c r="AB8" i="2"/>
  <c r="AB9" i="2"/>
  <c r="AB11" i="2"/>
  <c r="AB12" i="2"/>
  <c r="AB16" i="2"/>
  <c r="AB17" i="2"/>
  <c r="AB18" i="2"/>
  <c r="AB19" i="2"/>
  <c r="AB20" i="2"/>
  <c r="AB21" i="2"/>
  <c r="AB28" i="2"/>
  <c r="AB29" i="2"/>
  <c r="AB30" i="2"/>
  <c r="AB31" i="2"/>
  <c r="AB32" i="2"/>
  <c r="AB33" i="2"/>
  <c r="AB34" i="2"/>
  <c r="AB35" i="2"/>
  <c r="AB40" i="2"/>
  <c r="AB41" i="2"/>
  <c r="AB43" i="2"/>
  <c r="AB44" i="2"/>
  <c r="AB45" i="2"/>
  <c r="AB47" i="2"/>
  <c r="AB52" i="2"/>
  <c r="AB53" i="2"/>
  <c r="AB54" i="2"/>
  <c r="AB55" i="2"/>
  <c r="AB56" i="2"/>
  <c r="AB57" i="2"/>
  <c r="AB58" i="2"/>
  <c r="AB59" i="2"/>
  <c r="AB64" i="2"/>
  <c r="AB65" i="2"/>
  <c r="AB66" i="2"/>
  <c r="AB67" i="2"/>
  <c r="AB68" i="2"/>
  <c r="AB69" i="2"/>
  <c r="AB70" i="2"/>
  <c r="AB71" i="2"/>
  <c r="AB76" i="2"/>
  <c r="AB77" i="2"/>
  <c r="AB78" i="2"/>
  <c r="AB79" i="2"/>
  <c r="AB80" i="2"/>
  <c r="AB81" i="2"/>
  <c r="AB83" i="2"/>
  <c r="AB88" i="2"/>
  <c r="AB89" i="2"/>
  <c r="AB90" i="2"/>
  <c r="AB91" i="2"/>
  <c r="AB92" i="2"/>
  <c r="AB93" i="2"/>
  <c r="AB94" i="2"/>
  <c r="AB95" i="2"/>
  <c r="AB100" i="2"/>
  <c r="AB101" i="2"/>
  <c r="AB102" i="2"/>
  <c r="AB103" i="2"/>
  <c r="AB104" i="2"/>
  <c r="AB105" i="2"/>
  <c r="AB112" i="2"/>
  <c r="AB113" i="2"/>
  <c r="AB114" i="2"/>
  <c r="AB115" i="2"/>
  <c r="AB116" i="2"/>
  <c r="AB117" i="2"/>
  <c r="AB118" i="2"/>
  <c r="AB119" i="2"/>
  <c r="AB124" i="2"/>
  <c r="AB125" i="2"/>
  <c r="AB126" i="2"/>
  <c r="AB127" i="2"/>
  <c r="AB129" i="2"/>
  <c r="AB131" i="2"/>
  <c r="AB133" i="2"/>
  <c r="AB136" i="2"/>
  <c r="AB137" i="2"/>
  <c r="AB138" i="2"/>
  <c r="AB139" i="2"/>
  <c r="AB140" i="2"/>
  <c r="AB141" i="2"/>
  <c r="AB143" i="2"/>
  <c r="AB145" i="2"/>
  <c r="AB146" i="2"/>
  <c r="AB148" i="2"/>
  <c r="AB149" i="2"/>
  <c r="AB150" i="2"/>
  <c r="AB151" i="2"/>
  <c r="AB152" i="2"/>
  <c r="AB153" i="2"/>
  <c r="AB155" i="2"/>
  <c r="AB160" i="2"/>
  <c r="AB161" i="2"/>
  <c r="AB162" i="2"/>
  <c r="AB163" i="2"/>
  <c r="AB164" i="2"/>
  <c r="AB165" i="2"/>
  <c r="AB167" i="2"/>
  <c r="AB172" i="2"/>
  <c r="AB174" i="2"/>
  <c r="AB175" i="2"/>
  <c r="AB176" i="2"/>
  <c r="AB177" i="2"/>
  <c r="AB178" i="2"/>
  <c r="AB184" i="2"/>
  <c r="AB185" i="2"/>
  <c r="AB186" i="2"/>
  <c r="AB187" i="2"/>
  <c r="AB188" i="2"/>
  <c r="AB189" i="2"/>
  <c r="AB190" i="2"/>
  <c r="AB191" i="2"/>
  <c r="AB196" i="2"/>
  <c r="AB197" i="2"/>
  <c r="AB198" i="2"/>
  <c r="AB199" i="2"/>
  <c r="AB200" i="2"/>
  <c r="AB201" i="2"/>
  <c r="AB208" i="2"/>
  <c r="AB209" i="2"/>
  <c r="AB211" i="2"/>
  <c r="AB212" i="2"/>
  <c r="AB213" i="2"/>
  <c r="AB214" i="2"/>
  <c r="AB215" i="2"/>
  <c r="AB217" i="2"/>
  <c r="AB220" i="2"/>
  <c r="AB221" i="2"/>
  <c r="AB222" i="2"/>
  <c r="AB223" i="2"/>
  <c r="AB224" i="2"/>
  <c r="AB225" i="2"/>
  <c r="AB226" i="2"/>
  <c r="AB227" i="2"/>
  <c r="AB228" i="2"/>
  <c r="AB229" i="2"/>
  <c r="AB232" i="2"/>
  <c r="AB233" i="2"/>
  <c r="AB234" i="2"/>
  <c r="AB235" i="2"/>
  <c r="AB236" i="2"/>
  <c r="AB237" i="2"/>
  <c r="AB238" i="2"/>
  <c r="AB239" i="2"/>
  <c r="AB240" i="2"/>
  <c r="AB241" i="2"/>
  <c r="AB244" i="2"/>
  <c r="AB245" i="2"/>
  <c r="AB246" i="2"/>
  <c r="AB247" i="2"/>
  <c r="AB248" i="2"/>
  <c r="AB249" i="2"/>
  <c r="AB250" i="2"/>
  <c r="AB253" i="2"/>
  <c r="AB254" i="2"/>
  <c r="AB256" i="2"/>
  <c r="AB257" i="2"/>
  <c r="AB258" i="2"/>
  <c r="AB259" i="2"/>
  <c r="AB260" i="2"/>
  <c r="AB261" i="2"/>
  <c r="AB263" i="2"/>
  <c r="AB268" i="2"/>
  <c r="AB269" i="2"/>
  <c r="AB270" i="2"/>
  <c r="AB271" i="2"/>
  <c r="AB272" i="2"/>
  <c r="AB273" i="2"/>
  <c r="AB274" i="2"/>
  <c r="AB280" i="2"/>
  <c r="AB281" i="2"/>
  <c r="AB282" i="2"/>
  <c r="AB283" i="2"/>
  <c r="AB284" i="2"/>
  <c r="AB285" i="2"/>
  <c r="AB286" i="2"/>
  <c r="AB287" i="2"/>
  <c r="AB292" i="2"/>
  <c r="AB293" i="2"/>
  <c r="AB294" i="2"/>
  <c r="AB295" i="2"/>
  <c r="AB296" i="2"/>
  <c r="AB297" i="2"/>
  <c r="AB298" i="2"/>
  <c r="AB299" i="2"/>
  <c r="AB304" i="2"/>
  <c r="AB305" i="2"/>
  <c r="AB306" i="2"/>
  <c r="AB307" i="2"/>
  <c r="AB308" i="2"/>
  <c r="AB309" i="2"/>
  <c r="AB310" i="2"/>
  <c r="AB316" i="2"/>
  <c r="AB317" i="2"/>
  <c r="AB318" i="2"/>
  <c r="AB319" i="2"/>
  <c r="AB320" i="2"/>
  <c r="AB321" i="2"/>
  <c r="AB322" i="2"/>
  <c r="AB328" i="2"/>
  <c r="AB329" i="2"/>
  <c r="AB330" i="2"/>
  <c r="AB331" i="2"/>
  <c r="AB332" i="2"/>
  <c r="AB333" i="2"/>
  <c r="AB337" i="2"/>
  <c r="AB338" i="2"/>
  <c r="AB340" i="2"/>
  <c r="AB341" i="2"/>
  <c r="AB342" i="2"/>
  <c r="AB343" i="2"/>
  <c r="AB344" i="2"/>
  <c r="AB345" i="2"/>
  <c r="AB347" i="2"/>
  <c r="AB352" i="2"/>
  <c r="AB353" i="2"/>
  <c r="AB354" i="2"/>
  <c r="AB355" i="2"/>
  <c r="AB356" i="2"/>
  <c r="AB358" i="2"/>
  <c r="AB359" i="2"/>
  <c r="AB364" i="2"/>
  <c r="AB365" i="2"/>
  <c r="AB366" i="2"/>
  <c r="AB367" i="2"/>
  <c r="AB368" i="2"/>
  <c r="AB369" i="2"/>
  <c r="AB376" i="2"/>
  <c r="AB377" i="2"/>
  <c r="AB378" i="2"/>
  <c r="AB379" i="2"/>
  <c r="AB380" i="2"/>
  <c r="AB388" i="2"/>
  <c r="AB389" i="2"/>
  <c r="AB390" i="2"/>
  <c r="AB391" i="2"/>
  <c r="AB392" i="2"/>
  <c r="AB393" i="2"/>
  <c r="AB395" i="2"/>
  <c r="AB396" i="2"/>
  <c r="AB400" i="2"/>
  <c r="AB401" i="2"/>
  <c r="AB402" i="2"/>
  <c r="AB403" i="2"/>
  <c r="AB404" i="2"/>
  <c r="AB405" i="2"/>
  <c r="AB406" i="2"/>
  <c r="AB408" i="2"/>
  <c r="AB409" i="2"/>
  <c r="AB412" i="2"/>
  <c r="AB413" i="2"/>
  <c r="AB414" i="2"/>
  <c r="AB415" i="2"/>
  <c r="AB416" i="2"/>
  <c r="AB417" i="2"/>
  <c r="AB418" i="2"/>
  <c r="AB419" i="2"/>
  <c r="AB420" i="2"/>
  <c r="AB421" i="2"/>
  <c r="AB424" i="2"/>
  <c r="AB425" i="2"/>
  <c r="AB426" i="2"/>
  <c r="AB427" i="2"/>
  <c r="AB428" i="2"/>
  <c r="AB429" i="2"/>
  <c r="AB430" i="2"/>
  <c r="AB431" i="2"/>
  <c r="AB432" i="2"/>
  <c r="AB434" i="2"/>
  <c r="AB436" i="2"/>
  <c r="AB437" i="2"/>
  <c r="AB438" i="2"/>
  <c r="AB440" i="2"/>
  <c r="AB441" i="2"/>
  <c r="AB442" i="2"/>
  <c r="AB443" i="2"/>
  <c r="AB448" i="2"/>
  <c r="AB450" i="2"/>
  <c r="AB452" i="2"/>
  <c r="AB454" i="2"/>
  <c r="AB455" i="2"/>
  <c r="AB460" i="2"/>
  <c r="AB461" i="2"/>
  <c r="AB462" i="2"/>
  <c r="AB463" i="2"/>
  <c r="AB464" i="2"/>
  <c r="AB465" i="2"/>
  <c r="AB472" i="2"/>
  <c r="AB473" i="2"/>
  <c r="AB474" i="2"/>
  <c r="AB475" i="2"/>
  <c r="AB476" i="2"/>
  <c r="AB477" i="2"/>
  <c r="AB484" i="2"/>
  <c r="AB485" i="2"/>
  <c r="AB486" i="2"/>
  <c r="AB488" i="2"/>
  <c r="AB490" i="2"/>
  <c r="AB496" i="2"/>
  <c r="AB497" i="2"/>
  <c r="AB498" i="2"/>
  <c r="AB500" i="2"/>
  <c r="AB502" i="2"/>
  <c r="AB508" i="2"/>
  <c r="AB509" i="2"/>
  <c r="AB510" i="2"/>
  <c r="AB512" i="2"/>
  <c r="AB520" i="2"/>
  <c r="AB521" i="2"/>
  <c r="AB522" i="2"/>
  <c r="AB524" i="2"/>
  <c r="AB532" i="2"/>
  <c r="AB533" i="2"/>
  <c r="AB534" i="2"/>
  <c r="AB535" i="2"/>
  <c r="AB536" i="2"/>
  <c r="AB537" i="2"/>
  <c r="AB544" i="2"/>
  <c r="AB545" i="2"/>
  <c r="AB546" i="2"/>
  <c r="AB547" i="2"/>
  <c r="AB548" i="2"/>
  <c r="AB549" i="2"/>
  <c r="AB550" i="2"/>
  <c r="AB556" i="2"/>
  <c r="AB557" i="2"/>
  <c r="AB558" i="2"/>
  <c r="AB559" i="2"/>
  <c r="AB560" i="2"/>
  <c r="AB561" i="2"/>
  <c r="AB562" i="2"/>
  <c r="AB564" i="2"/>
  <c r="AB568" i="2"/>
  <c r="AB570" i="2"/>
  <c r="AB572" i="2"/>
  <c r="AB573" i="2"/>
  <c r="AB574" i="2"/>
  <c r="AB575" i="2"/>
  <c r="AB576" i="2"/>
  <c r="AB577" i="2"/>
  <c r="AB578" i="2"/>
  <c r="AB580" i="2"/>
  <c r="AB582" i="2"/>
  <c r="AB584" i="2"/>
  <c r="AB585" i="2"/>
  <c r="AB586" i="2"/>
  <c r="AB587" i="2"/>
  <c r="AB589" i="2"/>
  <c r="AB590" i="2"/>
  <c r="AB592" i="2"/>
  <c r="AB593" i="2"/>
  <c r="AB594" i="2"/>
  <c r="AB595" i="2"/>
  <c r="AB596" i="2"/>
  <c r="AB597" i="2"/>
  <c r="AB598" i="2"/>
  <c r="AB599" i="2"/>
  <c r="AB604" i="2"/>
  <c r="AB606" i="2"/>
  <c r="AB608" i="2"/>
  <c r="AB616" i="2"/>
  <c r="AB618" i="2"/>
  <c r="AB620" i="2"/>
  <c r="AB628" i="2"/>
  <c r="AB630" i="2"/>
  <c r="AB632" i="2"/>
  <c r="AB640" i="2"/>
  <c r="AB641" i="2"/>
  <c r="AB642" i="2"/>
  <c r="AB644" i="2"/>
  <c r="AB645" i="2"/>
  <c r="AB652" i="2"/>
  <c r="AB654" i="2"/>
  <c r="AB656" i="2"/>
  <c r="AB664" i="2"/>
  <c r="AB665" i="2"/>
  <c r="AB666" i="2"/>
  <c r="AB667" i="2"/>
  <c r="AB668" i="2"/>
  <c r="AB676" i="2"/>
  <c r="AB677" i="2"/>
  <c r="AB678" i="2"/>
  <c r="AB679" i="2"/>
  <c r="AB680" i="2"/>
  <c r="AB688" i="2"/>
  <c r="AB689" i="2"/>
  <c r="AB690" i="2"/>
  <c r="AB691" i="2"/>
  <c r="AB692" i="2"/>
  <c r="AB693" i="2"/>
  <c r="AB694" i="2"/>
  <c r="AB695" i="2"/>
  <c r="AB700" i="2"/>
  <c r="AB701" i="2"/>
  <c r="AB703" i="2"/>
  <c r="AB704" i="2"/>
  <c r="AB705" i="2"/>
  <c r="AB706" i="2"/>
  <c r="AB707" i="2"/>
  <c r="AB708" i="2"/>
  <c r="AB709" i="2"/>
  <c r="AA3" i="2"/>
  <c r="AA4" i="2"/>
  <c r="AA5" i="2"/>
  <c r="AA6" i="2"/>
  <c r="AA7" i="2"/>
  <c r="AA9" i="2"/>
  <c r="AA11" i="2"/>
  <c r="AA12" i="2"/>
  <c r="AA15" i="2"/>
  <c r="AA16" i="2"/>
  <c r="AA17" i="2"/>
  <c r="AA18" i="2"/>
  <c r="AA19" i="2"/>
  <c r="AA21" i="2"/>
  <c r="AA22" i="2"/>
  <c r="AA23" i="2"/>
  <c r="AA24" i="2"/>
  <c r="AA28" i="2"/>
  <c r="AA29" i="2"/>
  <c r="AA31" i="2"/>
  <c r="AA33" i="2"/>
  <c r="AA34" i="2"/>
  <c r="AA35" i="2"/>
  <c r="AA36" i="2"/>
  <c r="AA40" i="2"/>
  <c r="AA41" i="2"/>
  <c r="AA43" i="2"/>
  <c r="AA44" i="2"/>
  <c r="AA45" i="2"/>
  <c r="AA46" i="2"/>
  <c r="AA47" i="2"/>
  <c r="AA48" i="2"/>
  <c r="AA52" i="2"/>
  <c r="AA53" i="2"/>
  <c r="AA55" i="2"/>
  <c r="AA56" i="2"/>
  <c r="AA57" i="2"/>
  <c r="AA58" i="2"/>
  <c r="AA59" i="2"/>
  <c r="AA60" i="2"/>
  <c r="AA64" i="2"/>
  <c r="AA65" i="2"/>
  <c r="AA66" i="2"/>
  <c r="AA67" i="2"/>
  <c r="AA68" i="2"/>
  <c r="AA69" i="2"/>
  <c r="AA70" i="2"/>
  <c r="AA71" i="2"/>
  <c r="AA72" i="2"/>
  <c r="AA76" i="2"/>
  <c r="AA77" i="2"/>
  <c r="AA79" i="2"/>
  <c r="AA81" i="2"/>
  <c r="AA82" i="2"/>
  <c r="AA83" i="2"/>
  <c r="AA84" i="2"/>
  <c r="AA88" i="2"/>
  <c r="AA89" i="2"/>
  <c r="AA93" i="2"/>
  <c r="AA94" i="2"/>
  <c r="AA95" i="2"/>
  <c r="AA96" i="2"/>
  <c r="AA97" i="2"/>
  <c r="AA98" i="2"/>
  <c r="AA100" i="2"/>
  <c r="AA101" i="2"/>
  <c r="AA102" i="2"/>
  <c r="AA105" i="2"/>
  <c r="AA106" i="2"/>
  <c r="AA107" i="2"/>
  <c r="AA108" i="2"/>
  <c r="AA112" i="2"/>
  <c r="AA113" i="2"/>
  <c r="AA117" i="2"/>
  <c r="AA118" i="2"/>
  <c r="AA119" i="2"/>
  <c r="AA120" i="2"/>
  <c r="AA124" i="2"/>
  <c r="AA125" i="2"/>
  <c r="AA127" i="2"/>
  <c r="AA128" i="2"/>
  <c r="AA129" i="2"/>
  <c r="AA130" i="2"/>
  <c r="AA131" i="2"/>
  <c r="AA132" i="2"/>
  <c r="AA136" i="2"/>
  <c r="AA137" i="2"/>
  <c r="AA138" i="2"/>
  <c r="AA139" i="2"/>
  <c r="AA140" i="2"/>
  <c r="AA141" i="2"/>
  <c r="AA142" i="2"/>
  <c r="AA143" i="2"/>
  <c r="AA144" i="2"/>
  <c r="AA148" i="2"/>
  <c r="AA149" i="2"/>
  <c r="AA151" i="2"/>
  <c r="AA153" i="2"/>
  <c r="AA154" i="2"/>
  <c r="AA155" i="2"/>
  <c r="AA156" i="2"/>
  <c r="AA160" i="2"/>
  <c r="AA161" i="2"/>
  <c r="AA163" i="2"/>
  <c r="AA165" i="2"/>
  <c r="AA167" i="2"/>
  <c r="AA168" i="2"/>
  <c r="AA172" i="2"/>
  <c r="AA173" i="2"/>
  <c r="AA174" i="2"/>
  <c r="AA175" i="2"/>
  <c r="AA177" i="2"/>
  <c r="AA178" i="2"/>
  <c r="AA179" i="2"/>
  <c r="AA180" i="2"/>
  <c r="AA181" i="2"/>
  <c r="AA182" i="2"/>
  <c r="AA184" i="2"/>
  <c r="AA185" i="2"/>
  <c r="AA189" i="2"/>
  <c r="AA190" i="2"/>
  <c r="AA191" i="2"/>
  <c r="AA192" i="2"/>
  <c r="AA196" i="2"/>
  <c r="AA197" i="2"/>
  <c r="AA201" i="2"/>
  <c r="AA202" i="2"/>
  <c r="AA203" i="2"/>
  <c r="AA204" i="2"/>
  <c r="AA208" i="2"/>
  <c r="AA209" i="2"/>
  <c r="AA211" i="2"/>
  <c r="AA213" i="2"/>
  <c r="AA214" i="2"/>
  <c r="AA215" i="2"/>
  <c r="AA216" i="2"/>
  <c r="AA220" i="2"/>
  <c r="AA221" i="2"/>
  <c r="AA222" i="2"/>
  <c r="AA223" i="2"/>
  <c r="AA225" i="2"/>
  <c r="AA226" i="2"/>
  <c r="AA227" i="2"/>
  <c r="AA228" i="2"/>
  <c r="AA232" i="2"/>
  <c r="AA233" i="2"/>
  <c r="AA235" i="2"/>
  <c r="AA237" i="2"/>
  <c r="AA238" i="2"/>
  <c r="AA239" i="2"/>
  <c r="AA240" i="2"/>
  <c r="AA244" i="2"/>
  <c r="AA245" i="2"/>
  <c r="AA248" i="2"/>
  <c r="AA249" i="2"/>
  <c r="AA250" i="2"/>
  <c r="AA251" i="2"/>
  <c r="AA252" i="2"/>
  <c r="AA256" i="2"/>
  <c r="AA257" i="2"/>
  <c r="AA259" i="2"/>
  <c r="AA261" i="2"/>
  <c r="AA262" i="2"/>
  <c r="AA263" i="2"/>
  <c r="AA264" i="2"/>
  <c r="AA265" i="2"/>
  <c r="AA266" i="2"/>
  <c r="AA268" i="2"/>
  <c r="AA269" i="2"/>
  <c r="AA271" i="2"/>
  <c r="AA272" i="2"/>
  <c r="AA273" i="2"/>
  <c r="AA274" i="2"/>
  <c r="AA275" i="2"/>
  <c r="AA276" i="2"/>
  <c r="AA280" i="2"/>
  <c r="AA281" i="2"/>
  <c r="AA282" i="2"/>
  <c r="AA285" i="2"/>
  <c r="AA286" i="2"/>
  <c r="AA287" i="2"/>
  <c r="AA288" i="2"/>
  <c r="AA292" i="2"/>
  <c r="AA293" i="2"/>
  <c r="AA294" i="2"/>
  <c r="AA297" i="2"/>
  <c r="AA298" i="2"/>
  <c r="AA299" i="2"/>
  <c r="AA300" i="2"/>
  <c r="AA304" i="2"/>
  <c r="AA305" i="2"/>
  <c r="AA306" i="2"/>
  <c r="AA309" i="2"/>
  <c r="AA310" i="2"/>
  <c r="AA311" i="2"/>
  <c r="AA312" i="2"/>
  <c r="AA316" i="2"/>
  <c r="AA317" i="2"/>
  <c r="AA318" i="2"/>
  <c r="AA321" i="2"/>
  <c r="AA322" i="2"/>
  <c r="AA323" i="2"/>
  <c r="AA324" i="2"/>
  <c r="AA328" i="2"/>
  <c r="AA329" i="2"/>
  <c r="AA331" i="2"/>
  <c r="AA332" i="2"/>
  <c r="AA333" i="2"/>
  <c r="AA334" i="2"/>
  <c r="AA335" i="2"/>
  <c r="AA336" i="2"/>
  <c r="AA340" i="2"/>
  <c r="AA341" i="2"/>
  <c r="AA343" i="2"/>
  <c r="AA345" i="2"/>
  <c r="AA346" i="2"/>
  <c r="AA347" i="2"/>
  <c r="AA352" i="2"/>
  <c r="AA353" i="2"/>
  <c r="AA354" i="2"/>
  <c r="AA355" i="2"/>
  <c r="AA356" i="2"/>
  <c r="AA357" i="2"/>
  <c r="AA358" i="2"/>
  <c r="AA364" i="2"/>
  <c r="AA365" i="2"/>
  <c r="AA366" i="2"/>
  <c r="AA367" i="2"/>
  <c r="AA368" i="2"/>
  <c r="AA369" i="2"/>
  <c r="AA370" i="2"/>
  <c r="AA376" i="2"/>
  <c r="AA377" i="2"/>
  <c r="AA381" i="2"/>
  <c r="AA382" i="2"/>
  <c r="AA383" i="2"/>
  <c r="AA384" i="2"/>
  <c r="AA388" i="2"/>
  <c r="AA389" i="2"/>
  <c r="AA390" i="2"/>
  <c r="AA391" i="2"/>
  <c r="AA392" i="2"/>
  <c r="AA393" i="2"/>
  <c r="AA394" i="2"/>
  <c r="AA395" i="2"/>
  <c r="AA396" i="2"/>
  <c r="AA397" i="2"/>
  <c r="AA400" i="2"/>
  <c r="AA401" i="2"/>
  <c r="AA403" i="2"/>
  <c r="AA405" i="2"/>
  <c r="AA406" i="2"/>
  <c r="AA407" i="2"/>
  <c r="AA408" i="2"/>
  <c r="AA412" i="2"/>
  <c r="AA413" i="2"/>
  <c r="AA414" i="2"/>
  <c r="AA415" i="2"/>
  <c r="AA416" i="2"/>
  <c r="AA417" i="2"/>
  <c r="AA418" i="2"/>
  <c r="AA419" i="2"/>
  <c r="AA420" i="2"/>
  <c r="AA424" i="2"/>
  <c r="AA425" i="2"/>
  <c r="AA426" i="2"/>
  <c r="AA427" i="2"/>
  <c r="AA429" i="2"/>
  <c r="AA430" i="2"/>
  <c r="AA431" i="2"/>
  <c r="AA432" i="2"/>
  <c r="AA436" i="2"/>
  <c r="AA437" i="2"/>
  <c r="AA443" i="2"/>
  <c r="AA444" i="2"/>
  <c r="AA448" i="2"/>
  <c r="AA449" i="2"/>
  <c r="AA450" i="2"/>
  <c r="AA452" i="2"/>
  <c r="AA460" i="2"/>
  <c r="AA461" i="2"/>
  <c r="AA462" i="2"/>
  <c r="AA463" i="2"/>
  <c r="AA465" i="2"/>
  <c r="AA472" i="2"/>
  <c r="AA473" i="2"/>
  <c r="AA475" i="2"/>
  <c r="AA476" i="2"/>
  <c r="AA477" i="2"/>
  <c r="AA478" i="2"/>
  <c r="AA484" i="2"/>
  <c r="AA485" i="2"/>
  <c r="AA487" i="2"/>
  <c r="AA489" i="2"/>
  <c r="AA490" i="2"/>
  <c r="AA491" i="2"/>
  <c r="AA492" i="2"/>
  <c r="AA496" i="2"/>
  <c r="AA497" i="2"/>
  <c r="AA500" i="2"/>
  <c r="AA501" i="2"/>
  <c r="AA502" i="2"/>
  <c r="AA503" i="2"/>
  <c r="AA504" i="2"/>
  <c r="AA505" i="2"/>
  <c r="AA508" i="2"/>
  <c r="AA509" i="2"/>
  <c r="AA510" i="2"/>
  <c r="AA511" i="2"/>
  <c r="AA513" i="2"/>
  <c r="AA514" i="2"/>
  <c r="AA515" i="2"/>
  <c r="AA516" i="2"/>
  <c r="AA520" i="2"/>
  <c r="AA521" i="2"/>
  <c r="AA527" i="2"/>
  <c r="AA528" i="2"/>
  <c r="AA532" i="2"/>
  <c r="AA533" i="2"/>
  <c r="AA535" i="2"/>
  <c r="AA544" i="2"/>
  <c r="AA545" i="2"/>
  <c r="AA547" i="2"/>
  <c r="AA548" i="2"/>
  <c r="AA549" i="2"/>
  <c r="AA556" i="2"/>
  <c r="AA557" i="2"/>
  <c r="AA558" i="2"/>
  <c r="AA559" i="2"/>
  <c r="AA560" i="2"/>
  <c r="AA561" i="2"/>
  <c r="AA568" i="2"/>
  <c r="AA569" i="2"/>
  <c r="AA570" i="2"/>
  <c r="AA571" i="2"/>
  <c r="AA573" i="2"/>
  <c r="AA574" i="2"/>
  <c r="AA580" i="2"/>
  <c r="AA581" i="2"/>
  <c r="AA583" i="2"/>
  <c r="AA585" i="2"/>
  <c r="AA587" i="2"/>
  <c r="AA588" i="2"/>
  <c r="AA589" i="2"/>
  <c r="AA592" i="2"/>
  <c r="AA593" i="2"/>
  <c r="AA594" i="2"/>
  <c r="AA596" i="2"/>
  <c r="AA597" i="2"/>
  <c r="AA598" i="2"/>
  <c r="AA599" i="2"/>
  <c r="AA604" i="2"/>
  <c r="AA605" i="2"/>
  <c r="AA607" i="2"/>
  <c r="AA608" i="2"/>
  <c r="AA609" i="2"/>
  <c r="AA610" i="2"/>
  <c r="AA611" i="2"/>
  <c r="AA616" i="2"/>
  <c r="AA617" i="2"/>
  <c r="AA618" i="2"/>
  <c r="AA619" i="2"/>
  <c r="AA620" i="2"/>
  <c r="AA621" i="2"/>
  <c r="AA622" i="2"/>
  <c r="AA623" i="2"/>
  <c r="AA628" i="2"/>
  <c r="AA629" i="2"/>
  <c r="AA634" i="2"/>
  <c r="AA635" i="2"/>
  <c r="AA636" i="2"/>
  <c r="AA640" i="2"/>
  <c r="AA641" i="2"/>
  <c r="AA652" i="2"/>
  <c r="AA653" i="2"/>
  <c r="AA655" i="2"/>
  <c r="AA657" i="2"/>
  <c r="AA658" i="2"/>
  <c r="AA664" i="2"/>
  <c r="AA665" i="2"/>
  <c r="AA667" i="2"/>
  <c r="AA668" i="2"/>
  <c r="AA669" i="2"/>
  <c r="AA670" i="2"/>
  <c r="AA671" i="2"/>
  <c r="AA676" i="2"/>
  <c r="AA677" i="2"/>
  <c r="AA680" i="2"/>
  <c r="AA681" i="2"/>
  <c r="AA682" i="2"/>
  <c r="AA683" i="2"/>
  <c r="AA688" i="2"/>
  <c r="AA689" i="2"/>
  <c r="AA695" i="2"/>
  <c r="AA700" i="2"/>
  <c r="AA701" i="2"/>
  <c r="AA712" i="2"/>
  <c r="Z4" i="2"/>
  <c r="Z5" i="2"/>
  <c r="Z6" i="2"/>
  <c r="Z16" i="2"/>
  <c r="Z18" i="2"/>
  <c r="Z28" i="2"/>
  <c r="Z29" i="2"/>
  <c r="Z30" i="2"/>
  <c r="Z40" i="2"/>
  <c r="Z42" i="2"/>
  <c r="Z52" i="2"/>
  <c r="Z55" i="2"/>
  <c r="Z56" i="2"/>
  <c r="Z57" i="2"/>
  <c r="Z64" i="2"/>
  <c r="Z65" i="2"/>
  <c r="Z67" i="2"/>
  <c r="Z68" i="2"/>
  <c r="Z76" i="2"/>
  <c r="Z77" i="2"/>
  <c r="Z78" i="2"/>
  <c r="Z79" i="2"/>
  <c r="Z80" i="2"/>
  <c r="Z81" i="2"/>
  <c r="Z82" i="2"/>
  <c r="Z88" i="2"/>
  <c r="Z92" i="2"/>
  <c r="Z100" i="2"/>
  <c r="Z102" i="2"/>
  <c r="Z106" i="2"/>
  <c r="Z107" i="2"/>
  <c r="Z112" i="2"/>
  <c r="Z114" i="2"/>
  <c r="Z124" i="2"/>
  <c r="Z125" i="2"/>
  <c r="Z126" i="2"/>
  <c r="Z136" i="2"/>
  <c r="Z140" i="2"/>
  <c r="Z141" i="2"/>
  <c r="Z148" i="2"/>
  <c r="Z150" i="2"/>
  <c r="Z152" i="2"/>
  <c r="Z160" i="2"/>
  <c r="Z161" i="2"/>
  <c r="Z162" i="2"/>
  <c r="Z163" i="2"/>
  <c r="Z164" i="2"/>
  <c r="Z165" i="2"/>
  <c r="Z166" i="2"/>
  <c r="Z167" i="2"/>
  <c r="Z168" i="2"/>
  <c r="Z172" i="2"/>
  <c r="Z174" i="2"/>
  <c r="Z176" i="2"/>
  <c r="Z184" i="2"/>
  <c r="Z186" i="2"/>
  <c r="Z190" i="2"/>
  <c r="Z196" i="2"/>
  <c r="Z198" i="2"/>
  <c r="Z204" i="2"/>
  <c r="Z205" i="2"/>
  <c r="Z206" i="2"/>
  <c r="Z208" i="2"/>
  <c r="Z212" i="2"/>
  <c r="Z220" i="2"/>
  <c r="Z222" i="2"/>
  <c r="Z224" i="2"/>
  <c r="Z225" i="2"/>
  <c r="Z226" i="2"/>
  <c r="Z227" i="2"/>
  <c r="Z232" i="2"/>
  <c r="Z234" i="2"/>
  <c r="Z235" i="2"/>
  <c r="Z236" i="2"/>
  <c r="Z244" i="2"/>
  <c r="Z250" i="2"/>
  <c r="Z256" i="2"/>
  <c r="Z258" i="2"/>
  <c r="Z268" i="2"/>
  <c r="Z269" i="2"/>
  <c r="Z270" i="2"/>
  <c r="Z271" i="2"/>
  <c r="Z280" i="2"/>
  <c r="Z282" i="2"/>
  <c r="Z284" i="2"/>
  <c r="Z292" i="2"/>
  <c r="Z297" i="2"/>
  <c r="Z298" i="2"/>
  <c r="Z299" i="2"/>
  <c r="Z304" i="2"/>
  <c r="Z306" i="2"/>
  <c r="Z307" i="2"/>
  <c r="Z308" i="2"/>
  <c r="Z316" i="2"/>
  <c r="Z324" i="2"/>
  <c r="Z325" i="2"/>
  <c r="Z328" i="2"/>
  <c r="Z330" i="2"/>
  <c r="Z332" i="2"/>
  <c r="Z340" i="2"/>
  <c r="Z342" i="2"/>
  <c r="Z344" i="2"/>
  <c r="Z346" i="2"/>
  <c r="Z347" i="2"/>
  <c r="Z352" i="2"/>
  <c r="Z353" i="2"/>
  <c r="Z354" i="2"/>
  <c r="Z355" i="2"/>
  <c r="Z356" i="2"/>
  <c r="Z357" i="2"/>
  <c r="Z358" i="2"/>
  <c r="Z364" i="2"/>
  <c r="Z369" i="2"/>
  <c r="Z370" i="2"/>
  <c r="Z371" i="2"/>
  <c r="Z376" i="2"/>
  <c r="Z378" i="2"/>
  <c r="Z383" i="2"/>
  <c r="Z384" i="2"/>
  <c r="Z388" i="2"/>
  <c r="Z390" i="2"/>
  <c r="Z400" i="2"/>
  <c r="Z402" i="2"/>
  <c r="Z404" i="2"/>
  <c r="Z412" i="2"/>
  <c r="Z413" i="2"/>
  <c r="Z415" i="2"/>
  <c r="Z424" i="2"/>
  <c r="Z426" i="2"/>
  <c r="Z428" i="2"/>
  <c r="Z429" i="2"/>
  <c r="Z430" i="2"/>
  <c r="Z436" i="2"/>
  <c r="Z438" i="2"/>
  <c r="Z439" i="2"/>
  <c r="Z440" i="2"/>
  <c r="Z448" i="2"/>
  <c r="Z454" i="2"/>
  <c r="Z460" i="2"/>
  <c r="Z472" i="2"/>
  <c r="Z473" i="2"/>
  <c r="Z474" i="2"/>
  <c r="Z483" i="2"/>
  <c r="Z484" i="2"/>
  <c r="Z486" i="2"/>
  <c r="Z488" i="2"/>
  <c r="Z496" i="2"/>
  <c r="Z499" i="2"/>
  <c r="Z500" i="2"/>
  <c r="Z501" i="2"/>
  <c r="Z502" i="2"/>
  <c r="Z503" i="2"/>
  <c r="Z504" i="2"/>
  <c r="Z508" i="2"/>
  <c r="Z510" i="2"/>
  <c r="Z512" i="2"/>
  <c r="Z520" i="2"/>
  <c r="Z522" i="2"/>
  <c r="Z532" i="2"/>
  <c r="Z533" i="2"/>
  <c r="Z534" i="2"/>
  <c r="Z541" i="2"/>
  <c r="Z544" i="2"/>
  <c r="Z546" i="2"/>
  <c r="Z548" i="2"/>
  <c r="Z556" i="2"/>
  <c r="Z557" i="2"/>
  <c r="Z559" i="2"/>
  <c r="Z560" i="2"/>
  <c r="Z561" i="2"/>
  <c r="Z562" i="2"/>
  <c r="Z568" i="2"/>
  <c r="Z570" i="2"/>
  <c r="Z572" i="2"/>
  <c r="Z580" i="2"/>
  <c r="Z582" i="2"/>
  <c r="Z583" i="2"/>
  <c r="Z584" i="2"/>
  <c r="Z585" i="2"/>
  <c r="Z586" i="2"/>
  <c r="Z587" i="2"/>
  <c r="Z592" i="2"/>
  <c r="Z594" i="2"/>
  <c r="Z596" i="2"/>
  <c r="Z597" i="2"/>
  <c r="Z598" i="2"/>
  <c r="Z604" i="2"/>
  <c r="Z616" i="2"/>
  <c r="Z618" i="2"/>
  <c r="Z620" i="2"/>
  <c r="Z626" i="2"/>
  <c r="Z628" i="2"/>
  <c r="Z630" i="2"/>
  <c r="Z631" i="2"/>
  <c r="Z632" i="2"/>
  <c r="Z640" i="2"/>
  <c r="Z645" i="2"/>
  <c r="Z646" i="2"/>
  <c r="Z647" i="2"/>
  <c r="Z648" i="2"/>
  <c r="Z649" i="2"/>
  <c r="Z652" i="2"/>
  <c r="Z654" i="2"/>
  <c r="Z656" i="2"/>
  <c r="Z664" i="2"/>
  <c r="Z676" i="2"/>
  <c r="Z677" i="2"/>
  <c r="Z678" i="2"/>
  <c r="Z688" i="2"/>
  <c r="Z690" i="2"/>
  <c r="Z692" i="2"/>
  <c r="Z693" i="2"/>
  <c r="Z694" i="2"/>
  <c r="Z700" i="2"/>
  <c r="Z701" i="2"/>
  <c r="Z703" i="2"/>
  <c r="Z704" i="2"/>
  <c r="Z708" i="2"/>
  <c r="Z71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3" i="2"/>
  <c r="O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N4" i="2"/>
  <c r="N5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3" i="2"/>
  <c r="D7" i="2"/>
  <c r="AH3" i="2" l="1"/>
  <c r="AG3" i="2"/>
  <c r="AI4" i="2"/>
  <c r="AI3" i="2"/>
  <c r="AH4" i="2"/>
  <c r="AG4" i="2"/>
  <c r="AF4" i="2"/>
  <c r="AL39" i="2" l="1"/>
  <c r="AM591" i="2"/>
  <c r="AL122" i="2"/>
  <c r="AL177" i="2"/>
  <c r="AL210" i="2"/>
  <c r="AL300" i="2"/>
  <c r="AL608" i="2"/>
  <c r="AL474" i="2"/>
  <c r="AL453" i="2"/>
  <c r="AL490" i="2"/>
  <c r="AL162" i="2"/>
  <c r="AL510" i="2"/>
  <c r="AL105" i="2"/>
  <c r="AL526" i="2"/>
  <c r="AL181" i="2"/>
  <c r="AL577" i="2"/>
  <c r="AL562" i="2"/>
  <c r="AL79" i="2"/>
  <c r="AL471" i="2"/>
  <c r="AL98" i="2"/>
  <c r="AL626" i="2"/>
  <c r="AL660" i="2"/>
  <c r="AL572" i="2"/>
  <c r="AP572" i="2" s="1"/>
  <c r="AS572" i="2" s="1"/>
  <c r="AL195" i="2"/>
  <c r="AL118" i="2"/>
  <c r="AL57" i="2"/>
  <c r="AL318" i="2"/>
  <c r="AL323" i="2"/>
  <c r="AL141" i="2"/>
  <c r="AL80" i="2"/>
  <c r="AL370" i="2"/>
  <c r="AL245" i="2"/>
  <c r="AL161" i="2"/>
  <c r="AL511" i="2"/>
  <c r="AL203" i="2"/>
  <c r="AL281" i="2"/>
  <c r="AL632" i="2"/>
  <c r="AL420" i="2"/>
  <c r="AL182" i="2"/>
  <c r="AL509" i="2"/>
  <c r="AL10" i="2"/>
  <c r="AL525" i="2"/>
  <c r="AL442" i="2"/>
  <c r="AL541" i="2"/>
  <c r="AL403" i="2"/>
  <c r="AL561" i="2"/>
  <c r="AL298" i="2"/>
  <c r="AP298" i="2" s="1"/>
  <c r="AS298" i="2" s="1"/>
  <c r="AL593" i="2"/>
  <c r="AL642" i="2"/>
  <c r="AL7" i="2"/>
  <c r="AL423" i="2"/>
  <c r="AM677" i="2"/>
  <c r="AM230" i="2"/>
  <c r="AM661" i="2"/>
  <c r="AM501" i="2"/>
  <c r="AM571" i="2"/>
  <c r="AM508" i="2"/>
  <c r="AM670" i="2"/>
  <c r="AM399" i="2"/>
  <c r="AM162" i="2"/>
  <c r="AP162" i="2" s="1"/>
  <c r="AS162" i="2" s="1"/>
  <c r="AM551" i="2"/>
  <c r="AM384" i="2"/>
  <c r="AM138" i="2"/>
  <c r="AM362" i="2"/>
  <c r="AM456" i="2"/>
  <c r="AM316" i="2"/>
  <c r="AM180" i="2"/>
  <c r="AM292" i="2"/>
  <c r="AM205" i="2"/>
  <c r="AM251" i="2"/>
  <c r="AM437" i="2"/>
  <c r="AM289" i="2"/>
  <c r="AM161" i="2"/>
  <c r="AM86" i="2"/>
  <c r="AM48" i="2"/>
  <c r="AM277" i="2"/>
  <c r="AM285" i="2"/>
  <c r="AM171" i="2"/>
  <c r="AM4" i="2"/>
  <c r="AM667" i="2"/>
  <c r="AM407" i="2"/>
  <c r="AM284" i="2"/>
  <c r="AM11" i="2"/>
  <c r="AM633" i="2"/>
  <c r="AM148" i="2"/>
  <c r="AM699" i="2"/>
  <c r="AM653" i="2"/>
  <c r="AM220" i="2"/>
  <c r="AM140" i="2"/>
  <c r="AM577" i="2"/>
  <c r="AM654" i="2"/>
  <c r="AM626" i="2"/>
  <c r="AM513" i="2"/>
  <c r="AM492" i="2"/>
  <c r="AM31" i="2"/>
  <c r="AM64" i="2"/>
  <c r="AM607" i="2"/>
  <c r="AM489" i="2"/>
  <c r="AM290" i="2"/>
  <c r="AM548" i="2"/>
  <c r="AM498" i="2"/>
  <c r="AM334" i="2"/>
  <c r="AM181" i="2"/>
  <c r="AP181" i="2" s="1"/>
  <c r="AS181" i="2" s="1"/>
  <c r="AM389" i="2"/>
  <c r="AM239" i="2"/>
  <c r="AM58" i="2"/>
  <c r="AM404" i="2"/>
  <c r="AM201" i="2"/>
  <c r="AM76" i="2"/>
  <c r="AM219" i="2"/>
  <c r="AM369" i="2"/>
  <c r="AM211" i="2"/>
  <c r="AM38" i="2"/>
  <c r="AM249" i="2"/>
  <c r="AM692" i="2"/>
  <c r="AM619" i="2"/>
  <c r="AM583" i="2"/>
  <c r="AM85" i="2"/>
  <c r="AM582" i="2"/>
  <c r="AM443" i="2"/>
  <c r="AM91" i="2"/>
  <c r="AM519" i="2"/>
  <c r="AM390" i="2"/>
  <c r="AM609" i="2"/>
  <c r="AM60" i="2"/>
  <c r="AM567" i="2"/>
  <c r="AM427" i="2"/>
  <c r="AM652" i="2"/>
  <c r="AM354" i="2"/>
  <c r="AM23" i="2"/>
  <c r="AM689" i="2"/>
  <c r="AM261" i="2"/>
  <c r="AM281" i="2"/>
  <c r="AM405" i="2"/>
  <c r="AM669" i="2"/>
  <c r="AM637" i="2"/>
  <c r="AM546" i="2"/>
  <c r="AM341" i="2"/>
  <c r="AM345" i="2"/>
  <c r="AM587" i="2"/>
  <c r="AM25" i="2"/>
  <c r="AM279" i="2"/>
  <c r="AM542" i="2"/>
  <c r="AM708" i="2"/>
  <c r="AM227" i="2"/>
  <c r="AM454" i="2"/>
  <c r="AM643" i="2"/>
  <c r="AM114" i="2"/>
  <c r="AM304" i="2"/>
  <c r="AM482" i="2"/>
  <c r="AM663" i="2"/>
  <c r="AM150" i="2"/>
  <c r="AM466" i="2"/>
  <c r="AM8" i="2"/>
  <c r="AM152" i="2"/>
  <c r="AM296" i="2"/>
  <c r="AM61" i="2"/>
  <c r="AM218" i="2"/>
  <c r="AM375" i="2"/>
  <c r="AM520" i="2"/>
  <c r="AM664" i="2"/>
  <c r="AM105" i="2"/>
  <c r="AM262" i="2"/>
  <c r="AM416" i="2"/>
  <c r="AM560" i="2"/>
  <c r="AM47" i="2"/>
  <c r="AM237" i="2"/>
  <c r="AM421" i="2"/>
  <c r="AM103" i="2"/>
  <c r="AM309" i="2"/>
  <c r="AM12" i="2"/>
  <c r="AM250" i="2"/>
  <c r="AM458" i="2"/>
  <c r="AM77" i="2"/>
  <c r="AM307" i="2"/>
  <c r="AM509" i="2"/>
  <c r="AM681" i="2"/>
  <c r="AM198" i="2"/>
  <c r="AM415" i="2"/>
  <c r="AM597" i="2"/>
  <c r="AM263" i="2"/>
  <c r="AM530" i="2"/>
  <c r="AM28" i="2"/>
  <c r="AM338" i="2"/>
  <c r="AM589" i="2"/>
  <c r="AM112" i="2"/>
  <c r="AM409" i="2"/>
  <c r="AM642" i="2"/>
  <c r="AM199" i="2"/>
  <c r="AM480" i="2"/>
  <c r="AM691" i="2"/>
  <c r="AM555" i="2"/>
  <c r="AM146" i="2"/>
  <c r="AM603" i="2"/>
  <c r="AM210" i="2"/>
  <c r="AM328" i="2"/>
  <c r="AM216" i="2"/>
  <c r="AM611" i="2"/>
  <c r="AM286" i="2"/>
  <c r="AM549" i="2"/>
  <c r="AM364" i="2"/>
  <c r="AM606" i="2"/>
  <c r="AM145" i="2"/>
  <c r="AM432" i="2"/>
  <c r="AM658" i="2"/>
  <c r="AM499" i="2"/>
  <c r="AM705" i="2"/>
  <c r="AM526" i="2"/>
  <c r="AM101" i="2"/>
  <c r="AM579" i="2"/>
  <c r="AM177" i="2"/>
  <c r="AM244" i="2"/>
  <c r="AM137" i="2"/>
  <c r="AM119" i="2"/>
  <c r="AM234" i="2"/>
  <c r="AM313" i="2"/>
  <c r="AM84" i="2"/>
  <c r="AM623" i="2"/>
  <c r="AM246" i="2"/>
  <c r="AM497" i="2"/>
  <c r="AM133" i="2"/>
  <c r="AM423" i="2"/>
  <c r="AM195" i="2"/>
  <c r="AM468" i="2"/>
  <c r="AM129" i="2"/>
  <c r="AM69" i="2"/>
  <c r="AM666" i="2"/>
  <c r="AM561" i="2"/>
  <c r="AM371" i="2"/>
  <c r="AM188" i="2"/>
  <c r="AM100" i="2"/>
  <c r="AM556" i="2"/>
  <c r="AM301" i="2"/>
  <c r="AM95" i="2"/>
  <c r="AM155" i="2"/>
  <c r="AM305" i="2"/>
  <c r="AM141" i="2"/>
  <c r="AM17" i="2"/>
  <c r="AM27" i="2"/>
  <c r="AM111" i="2"/>
  <c r="AM191" i="2"/>
  <c r="AM274" i="2"/>
  <c r="AM97" i="2"/>
  <c r="AM433" i="2"/>
  <c r="AM459" i="2"/>
  <c r="AM109" i="2"/>
  <c r="AM41" i="2"/>
  <c r="AM703" i="2"/>
  <c r="AM206" i="2"/>
  <c r="AM614" i="2"/>
  <c r="AM94" i="2"/>
  <c r="AP94" i="2" s="1"/>
  <c r="AS94" i="2" s="1"/>
  <c r="AM9" i="2"/>
  <c r="AM472" i="2"/>
  <c r="AM512" i="2"/>
  <c r="AM36" i="2"/>
  <c r="AM578" i="2"/>
  <c r="AM624" i="2"/>
  <c r="AM671" i="2"/>
  <c r="AM5" i="2"/>
  <c r="AM698" i="2"/>
  <c r="AM475" i="2"/>
  <c r="AM127" i="2"/>
  <c r="AM6" i="2"/>
  <c r="AM266" i="2"/>
  <c r="AM43" i="2"/>
  <c r="AM116" i="2"/>
  <c r="AM179" i="2"/>
  <c r="AM65" i="2"/>
  <c r="AM189" i="2"/>
  <c r="AM53" i="2"/>
  <c r="AM15" i="2"/>
  <c r="AM638" i="2"/>
  <c r="AM186" i="2"/>
  <c r="AM531" i="2"/>
  <c r="AM123" i="2"/>
  <c r="AM255" i="2"/>
  <c r="AM325" i="2"/>
  <c r="AM238" i="2"/>
  <c r="AM537" i="2"/>
  <c r="AM562" i="2"/>
  <c r="AM527" i="2"/>
  <c r="AM272" i="2"/>
  <c r="AM349" i="2"/>
  <c r="AM78" i="2"/>
  <c r="AM393" i="2"/>
  <c r="AM122" i="2"/>
  <c r="AP122" i="2" s="1"/>
  <c r="AS122" i="2" s="1"/>
  <c r="AM271" i="2"/>
  <c r="AM444" i="2"/>
  <c r="AM511" i="2"/>
  <c r="AM565" i="2"/>
  <c r="AM300" i="2"/>
  <c r="AM545" i="2"/>
  <c r="AM710" i="2"/>
  <c r="AM229" i="2"/>
  <c r="AM503" i="2"/>
  <c r="AM675" i="2"/>
  <c r="AM169" i="2"/>
  <c r="AM413" i="2"/>
  <c r="AM602" i="2"/>
  <c r="AM49" i="2"/>
  <c r="AM259" i="2"/>
  <c r="AM441" i="2"/>
  <c r="AM629" i="2"/>
  <c r="AM90" i="2"/>
  <c r="AM434" i="2"/>
  <c r="AM20" i="2"/>
  <c r="AM164" i="2"/>
  <c r="AM308" i="2"/>
  <c r="AM74" i="2"/>
  <c r="AM231" i="2"/>
  <c r="AM388" i="2"/>
  <c r="AM532" i="2"/>
  <c r="AM676" i="2"/>
  <c r="AM118" i="2"/>
  <c r="AM275" i="2"/>
  <c r="AM428" i="2"/>
  <c r="AM572" i="2"/>
  <c r="AM63" i="2"/>
  <c r="AM252" i="2"/>
  <c r="AM435" i="2"/>
  <c r="AM121" i="2"/>
  <c r="AM326" i="2"/>
  <c r="AM33" i="2"/>
  <c r="AM268" i="2"/>
  <c r="AM474" i="2"/>
  <c r="AM98" i="2"/>
  <c r="AM523" i="2"/>
  <c r="AM694" i="2"/>
  <c r="AM431" i="2"/>
  <c r="AM57" i="2"/>
  <c r="AM223" i="2"/>
  <c r="AM131" i="2"/>
  <c r="AM450" i="2"/>
  <c r="AM55" i="2"/>
  <c r="AM287" i="2"/>
  <c r="AM490" i="2"/>
  <c r="AM347" i="2"/>
  <c r="AM707" i="2"/>
  <c r="AM446" i="2"/>
  <c r="AM625" i="2"/>
  <c r="AM570" i="2"/>
  <c r="AM387" i="2"/>
  <c r="AM167" i="2"/>
  <c r="AM673" i="2"/>
  <c r="AM518" i="2"/>
  <c r="AM62" i="2"/>
  <c r="AM547" i="2"/>
  <c r="AP547" i="2" s="1"/>
  <c r="AS547" i="2" s="1"/>
  <c r="AM696" i="2"/>
  <c r="AM649" i="2"/>
  <c r="AM615" i="2"/>
  <c r="AM318" i="2"/>
  <c r="AM154" i="2"/>
  <c r="AM704" i="2"/>
  <c r="AM332" i="2"/>
  <c r="AM412" i="2"/>
  <c r="AM144" i="2"/>
  <c r="AM596" i="2"/>
  <c r="AM465" i="2"/>
  <c r="AM75" i="2"/>
  <c r="AM365" i="2"/>
  <c r="AM254" i="2"/>
  <c r="AM337" i="2"/>
  <c r="AM408" i="2"/>
  <c r="AM471" i="2"/>
  <c r="AM540" i="2"/>
  <c r="AM463" i="2"/>
  <c r="AM21" i="2"/>
  <c r="AM50" i="2"/>
  <c r="AM401" i="2"/>
  <c r="AM510" i="2"/>
  <c r="AM594" i="2"/>
  <c r="AM425" i="2"/>
  <c r="AM711" i="2"/>
  <c r="AM174" i="2"/>
  <c r="AM418" i="2"/>
  <c r="AM312" i="2"/>
  <c r="AM483" i="2"/>
  <c r="AM631" i="2"/>
  <c r="AM104" i="2"/>
  <c r="AM166" i="2"/>
  <c r="AM52" i="2"/>
  <c r="AM173" i="2"/>
  <c r="AM396" i="2"/>
  <c r="AM348" i="2"/>
  <c r="AM240" i="2"/>
  <c r="AM394" i="2"/>
  <c r="AM294" i="2"/>
  <c r="AM358" i="2"/>
  <c r="AM355" i="2"/>
  <c r="AM574" i="2"/>
  <c r="AM442" i="2"/>
  <c r="AP442" i="2" s="1"/>
  <c r="AS442" i="2" s="1"/>
  <c r="AM302" i="2"/>
  <c r="AM557" i="2"/>
  <c r="AM260" i="2"/>
  <c r="AM22" i="2"/>
  <c r="AM628" i="2"/>
  <c r="AM379" i="2"/>
  <c r="AM377" i="2"/>
  <c r="AM258" i="2"/>
  <c r="AM461" i="2"/>
  <c r="AM553" i="2"/>
  <c r="AM685" i="2"/>
  <c r="AM590" i="2"/>
  <c r="AM438" i="2"/>
  <c r="AM72" i="2"/>
  <c r="AM697" i="2"/>
  <c r="AM403" i="2"/>
  <c r="AM245" i="2"/>
  <c r="AM192" i="2"/>
  <c r="AM496" i="2"/>
  <c r="AM204" i="2"/>
  <c r="AM276" i="2"/>
  <c r="AM477" i="2"/>
  <c r="AM529" i="2"/>
  <c r="AM651" i="2"/>
  <c r="AM306" i="2"/>
  <c r="AM243" i="2"/>
  <c r="AM506" i="2"/>
  <c r="AM683" i="2"/>
  <c r="AM184" i="2"/>
  <c r="AM457" i="2"/>
  <c r="AM647" i="2"/>
  <c r="AM124" i="2"/>
  <c r="AM373" i="2"/>
  <c r="AM569" i="2"/>
  <c r="AM695" i="2"/>
  <c r="AM203" i="2"/>
  <c r="AM395" i="2"/>
  <c r="AM598" i="2"/>
  <c r="AM42" i="2"/>
  <c r="AM402" i="2"/>
  <c r="AM32" i="2"/>
  <c r="AM176" i="2"/>
  <c r="AM320" i="2"/>
  <c r="AM87" i="2"/>
  <c r="AM400" i="2"/>
  <c r="AM544" i="2"/>
  <c r="AM688" i="2"/>
  <c r="AM288" i="2"/>
  <c r="AM440" i="2"/>
  <c r="AM584" i="2"/>
  <c r="AM79" i="2"/>
  <c r="AP79" i="2" s="1"/>
  <c r="AS79" i="2" s="1"/>
  <c r="AM267" i="2"/>
  <c r="AM343" i="2"/>
  <c r="AM538" i="2"/>
  <c r="AM453" i="2"/>
  <c r="AM690" i="2"/>
  <c r="AM419" i="2"/>
  <c r="AM534" i="2"/>
  <c r="AM352" i="2"/>
  <c r="AM44" i="2"/>
  <c r="AM257" i="2"/>
  <c r="AM700" i="2"/>
  <c r="AM452" i="2"/>
  <c r="AM282" i="2"/>
  <c r="AM360" i="2"/>
  <c r="AM505" i="2"/>
  <c r="AM552" i="2"/>
  <c r="AM462" i="2"/>
  <c r="AM588" i="2"/>
  <c r="AM641" i="2"/>
  <c r="AM687" i="2"/>
  <c r="AM522" i="2"/>
  <c r="AM487" i="2"/>
  <c r="AM14" i="2"/>
  <c r="AM639" i="2"/>
  <c r="AM533" i="2"/>
  <c r="AM601" i="2"/>
  <c r="AM67" i="2"/>
  <c r="AM351" i="2"/>
  <c r="AM323" i="2"/>
  <c r="AM366" i="2"/>
  <c r="AM88" i="2"/>
  <c r="AM233" i="2"/>
  <c r="AM449" i="2"/>
  <c r="AM514" i="2"/>
  <c r="AM659" i="2"/>
  <c r="AM473" i="2"/>
  <c r="AM374" i="2"/>
  <c r="AM599" i="2"/>
  <c r="AM336" i="2"/>
  <c r="AM668" i="2"/>
  <c r="AM411" i="2"/>
  <c r="AM367" i="2"/>
  <c r="AM264" i="2"/>
  <c r="AM646" i="2"/>
  <c r="AM679" i="2"/>
  <c r="AM46" i="2"/>
  <c r="AM319" i="2"/>
  <c r="AM208" i="2"/>
  <c r="AM35" i="2"/>
  <c r="AM235" i="2"/>
  <c r="AM70" i="2"/>
  <c r="AM159" i="2"/>
  <c r="AM132" i="2"/>
  <c r="AM662" i="2"/>
  <c r="AM149" i="2"/>
  <c r="AM422" i="2"/>
  <c r="AM618" i="2"/>
  <c r="AM73" i="2"/>
  <c r="AM376" i="2"/>
  <c r="AM575" i="2"/>
  <c r="AM7" i="2"/>
  <c r="AP7" i="2" s="1"/>
  <c r="AS7" i="2" s="1"/>
  <c r="AM269" i="2"/>
  <c r="AM486" i="2"/>
  <c r="AM636" i="2"/>
  <c r="AM107" i="2"/>
  <c r="AM303" i="2"/>
  <c r="AM517" i="2"/>
  <c r="AM682" i="2"/>
  <c r="AM333" i="2"/>
  <c r="AM56" i="2"/>
  <c r="AM200" i="2"/>
  <c r="AM344" i="2"/>
  <c r="AM113" i="2"/>
  <c r="AM270" i="2"/>
  <c r="AM424" i="2"/>
  <c r="AM568" i="2"/>
  <c r="AM712" i="2"/>
  <c r="AM157" i="2"/>
  <c r="AM314" i="2"/>
  <c r="AM464" i="2"/>
  <c r="AM608" i="2"/>
  <c r="AP608" i="2" s="1"/>
  <c r="AS608" i="2" s="1"/>
  <c r="AM110" i="2"/>
  <c r="AM299" i="2"/>
  <c r="AM479" i="2"/>
  <c r="AM172" i="2"/>
  <c r="AM19" i="2"/>
  <c r="AM96" i="2"/>
  <c r="AM324" i="2"/>
  <c r="AM521" i="2"/>
  <c r="AM160" i="2"/>
  <c r="AM383" i="2"/>
  <c r="AM566" i="2"/>
  <c r="AM40" i="2"/>
  <c r="AM273" i="2"/>
  <c r="AM478" i="2"/>
  <c r="AM51" i="2"/>
  <c r="AM359" i="2"/>
  <c r="AM605" i="2"/>
  <c r="AM136" i="2"/>
  <c r="AM429" i="2"/>
  <c r="AM657" i="2"/>
  <c r="AM217" i="2"/>
  <c r="AM495" i="2"/>
  <c r="AM702" i="2"/>
  <c r="AM298" i="2"/>
  <c r="AM558" i="2"/>
  <c r="AM686" i="2"/>
  <c r="AM370" i="2"/>
  <c r="AP370" i="2" s="1"/>
  <c r="AS370" i="2" s="1"/>
  <c r="AM516" i="2"/>
  <c r="AM248" i="2"/>
  <c r="AM361" i="2"/>
  <c r="AM120" i="2"/>
  <c r="AM573" i="2"/>
  <c r="AM420" i="2"/>
  <c r="AM524" i="2"/>
  <c r="AM143" i="2"/>
  <c r="AM417" i="2"/>
  <c r="AM130" i="2"/>
  <c r="AM640" i="2"/>
  <c r="AM213" i="2"/>
  <c r="AM193" i="2"/>
  <c r="AM621" i="2"/>
  <c r="AM627" i="2"/>
  <c r="AM89" i="2"/>
  <c r="AM382" i="2"/>
  <c r="AM586" i="2"/>
  <c r="AM24" i="2"/>
  <c r="AM322" i="2"/>
  <c r="AM541" i="2"/>
  <c r="AM706" i="2"/>
  <c r="AM226" i="2"/>
  <c r="AM447" i="2"/>
  <c r="AM600" i="2"/>
  <c r="AM45" i="2"/>
  <c r="AM247" i="2"/>
  <c r="AM481" i="2"/>
  <c r="AM660" i="2"/>
  <c r="AM295" i="2"/>
  <c r="AM68" i="2"/>
  <c r="AM212" i="2"/>
  <c r="AM356" i="2"/>
  <c r="AM126" i="2"/>
  <c r="AM283" i="2"/>
  <c r="AM436" i="2"/>
  <c r="AM580" i="2"/>
  <c r="AP580" i="2" s="1"/>
  <c r="AS580" i="2" s="1"/>
  <c r="AM13" i="2"/>
  <c r="AM170" i="2"/>
  <c r="AM327" i="2"/>
  <c r="AM476" i="2"/>
  <c r="AM620" i="2"/>
  <c r="AM125" i="2"/>
  <c r="AM315" i="2"/>
  <c r="AM493" i="2"/>
  <c r="AM190" i="2"/>
  <c r="AM37" i="2"/>
  <c r="AM115" i="2"/>
  <c r="AM342" i="2"/>
  <c r="AM535" i="2"/>
  <c r="AM178" i="2"/>
  <c r="AM398" i="2"/>
  <c r="AM581" i="2"/>
  <c r="AM59" i="2"/>
  <c r="AM291" i="2"/>
  <c r="AM494" i="2"/>
  <c r="AM83" i="2"/>
  <c r="AM386" i="2"/>
  <c r="AM622" i="2"/>
  <c r="AM165" i="2"/>
  <c r="AM451" i="2"/>
  <c r="AM672" i="2"/>
  <c r="AM242" i="2"/>
  <c r="AM515" i="2"/>
  <c r="AM10" i="2"/>
  <c r="AM321" i="2"/>
  <c r="AM576" i="2"/>
  <c r="AM470" i="2"/>
  <c r="AM467" i="2"/>
  <c r="AM585" i="2"/>
  <c r="AM616" i="2"/>
  <c r="AM241" i="2"/>
  <c r="AM539" i="2"/>
  <c r="AM93" i="2"/>
  <c r="AM185" i="2"/>
  <c r="AM106" i="2"/>
  <c r="AM339" i="2"/>
  <c r="AM378" i="2"/>
  <c r="AM3" i="2"/>
  <c r="AM128" i="2"/>
  <c r="AM392" i="2"/>
  <c r="AM108" i="2"/>
  <c r="AM385" i="2"/>
  <c r="AM593" i="2"/>
  <c r="AM34" i="2"/>
  <c r="AM335" i="2"/>
  <c r="AM543" i="2"/>
  <c r="AM278" i="2"/>
  <c r="AM502" i="2"/>
  <c r="AM674" i="2"/>
  <c r="AM168" i="2"/>
  <c r="AM410" i="2"/>
  <c r="AM563" i="2"/>
  <c r="AM693" i="2"/>
  <c r="AM202" i="2"/>
  <c r="AM439" i="2"/>
  <c r="AM635" i="2"/>
  <c r="AM256" i="2"/>
  <c r="AM80" i="2"/>
  <c r="AM224" i="2"/>
  <c r="AM368" i="2"/>
  <c r="AM139" i="2"/>
  <c r="AM297" i="2"/>
  <c r="AM448" i="2"/>
  <c r="AM592" i="2"/>
  <c r="AM26" i="2"/>
  <c r="AM183" i="2"/>
  <c r="AM340" i="2"/>
  <c r="AP340" i="2" s="1"/>
  <c r="AS340" i="2" s="1"/>
  <c r="AM488" i="2"/>
  <c r="AM632" i="2"/>
  <c r="AP632" i="2" s="1"/>
  <c r="AS632" i="2" s="1"/>
  <c r="AM142" i="2"/>
  <c r="AM330" i="2"/>
  <c r="AM507" i="2"/>
  <c r="AM207" i="2"/>
  <c r="AM54" i="2"/>
  <c r="AM135" i="2"/>
  <c r="AM363" i="2"/>
  <c r="AM550" i="2"/>
  <c r="AM197" i="2"/>
  <c r="AM414" i="2"/>
  <c r="AM595" i="2"/>
  <c r="AM81" i="2"/>
  <c r="AM311" i="2"/>
  <c r="AM406" i="2"/>
  <c r="AM187" i="2"/>
  <c r="AM265" i="2"/>
  <c r="AM350" i="2"/>
  <c r="AM678" i="2"/>
  <c r="AM656" i="2"/>
  <c r="AM445" i="2"/>
  <c r="AM317" i="2"/>
  <c r="AM648" i="2"/>
  <c r="AM484" i="2"/>
  <c r="AP484" i="2" s="1"/>
  <c r="AS484" i="2" s="1"/>
  <c r="AM194" i="2"/>
  <c r="AM469" i="2"/>
  <c r="AM634" i="2"/>
  <c r="AM650" i="2"/>
  <c r="AM16" i="2"/>
  <c r="AM485" i="2"/>
  <c r="AM82" i="2"/>
  <c r="AM559" i="2"/>
  <c r="AM30" i="2"/>
  <c r="AM280" i="2"/>
  <c r="AM504" i="2"/>
  <c r="AM709" i="2"/>
  <c r="AM228" i="2"/>
  <c r="AM455" i="2"/>
  <c r="AM645" i="2"/>
  <c r="AM117" i="2"/>
  <c r="AM357" i="2"/>
  <c r="AM528" i="2"/>
  <c r="AM665" i="2"/>
  <c r="AM151" i="2"/>
  <c r="AM391" i="2"/>
  <c r="AM612" i="2"/>
  <c r="AM221" i="2"/>
  <c r="AM92" i="2"/>
  <c r="AM236" i="2"/>
  <c r="AM380" i="2"/>
  <c r="AM153" i="2"/>
  <c r="AM310" i="2"/>
  <c r="AM460" i="2"/>
  <c r="AM604" i="2"/>
  <c r="AM39" i="2"/>
  <c r="AP39" i="2" s="1"/>
  <c r="AS39" i="2" s="1"/>
  <c r="AM196" i="2"/>
  <c r="AM353" i="2"/>
  <c r="AM500" i="2"/>
  <c r="AM644" i="2"/>
  <c r="AM158" i="2"/>
  <c r="AM346" i="2"/>
  <c r="AM18" i="2"/>
  <c r="AM225" i="2"/>
  <c r="AM71" i="2"/>
  <c r="AM156" i="2"/>
  <c r="AM381" i="2"/>
  <c r="AM564" i="2"/>
  <c r="AM215" i="2"/>
  <c r="AM430" i="2"/>
  <c r="AM610" i="2"/>
  <c r="AM99" i="2"/>
  <c r="AM329" i="2"/>
  <c r="AM525" i="2"/>
  <c r="AP525" i="2" s="1"/>
  <c r="AS525" i="2" s="1"/>
  <c r="AM134" i="2"/>
  <c r="AM426" i="2"/>
  <c r="AM655" i="2"/>
  <c r="AM214" i="2"/>
  <c r="AM491" i="2"/>
  <c r="AM701" i="2"/>
  <c r="AM293" i="2"/>
  <c r="AM554" i="2"/>
  <c r="AM66" i="2"/>
  <c r="AM372" i="2"/>
  <c r="AM613" i="2"/>
  <c r="AM680" i="2"/>
  <c r="AM331" i="2"/>
  <c r="AM397" i="2"/>
  <c r="AM232" i="2"/>
  <c r="AM182" i="2"/>
  <c r="AP182" i="2" s="1"/>
  <c r="AS182" i="2" s="1"/>
  <c r="AM209" i="2"/>
  <c r="AM175" i="2"/>
  <c r="AM163" i="2"/>
  <c r="AM630" i="2"/>
  <c r="AM684" i="2"/>
  <c r="AM147" i="2"/>
  <c r="AP147" i="2" s="1"/>
  <c r="AS147" i="2" s="1"/>
  <c r="AM222" i="2"/>
  <c r="AM253" i="2"/>
  <c r="AM29" i="2"/>
  <c r="AM617" i="2"/>
  <c r="AM102" i="2"/>
  <c r="AM536" i="2"/>
  <c r="AL197" i="2"/>
  <c r="AL65" i="2"/>
  <c r="AP65" i="2" s="1"/>
  <c r="AS65" i="2" s="1"/>
  <c r="AL620" i="2"/>
  <c r="AL459" i="2"/>
  <c r="AP423" i="2"/>
  <c r="AS423" i="2" s="1"/>
  <c r="AL167" i="2"/>
  <c r="AL705" i="2"/>
  <c r="AL596" i="2"/>
  <c r="AL399" i="2"/>
  <c r="AL82" i="2"/>
  <c r="AL669" i="2"/>
  <c r="AP669" i="2" s="1"/>
  <c r="AS669" i="2" s="1"/>
  <c r="AL558" i="2"/>
  <c r="AL327" i="2"/>
  <c r="AL209" i="2"/>
  <c r="AL481" i="2"/>
  <c r="AP481" i="2" s="1"/>
  <c r="AS481" i="2" s="1"/>
  <c r="AL362" i="2"/>
  <c r="AL244" i="2"/>
  <c r="AL226" i="2"/>
  <c r="AL299" i="2"/>
  <c r="AL227" i="2"/>
  <c r="AL468" i="2"/>
  <c r="AL349" i="2"/>
  <c r="AL230" i="2"/>
  <c r="AL225" i="2"/>
  <c r="AL675" i="2"/>
  <c r="AL247" i="2"/>
  <c r="AL316" i="2"/>
  <c r="AL264" i="2"/>
  <c r="AL301" i="2"/>
  <c r="AL455" i="2"/>
  <c r="AL336" i="2"/>
  <c r="AL176" i="2"/>
  <c r="AL527" i="2"/>
  <c r="AL706" i="2"/>
  <c r="AL285" i="2"/>
  <c r="AL559" i="2"/>
  <c r="AL163" i="2"/>
  <c r="AL440" i="2"/>
  <c r="AL155" i="2"/>
  <c r="AL183" i="2"/>
  <c r="AP300" i="2"/>
  <c r="AS300" i="2" s="1"/>
  <c r="AL544" i="2"/>
  <c r="AL694" i="2"/>
  <c r="AL272" i="2"/>
  <c r="AL546" i="2"/>
  <c r="AL149" i="2"/>
  <c r="AL427" i="2"/>
  <c r="AL142" i="2"/>
  <c r="AL171" i="2"/>
  <c r="AL563" i="2"/>
  <c r="AL646" i="2"/>
  <c r="AL259" i="2"/>
  <c r="AL533" i="2"/>
  <c r="AL92" i="2"/>
  <c r="AL414" i="2"/>
  <c r="AL116" i="2"/>
  <c r="AL135" i="2"/>
  <c r="AL352" i="2"/>
  <c r="AL353" i="2"/>
  <c r="AL708" i="2"/>
  <c r="AL580" i="2"/>
  <c r="AL634" i="2"/>
  <c r="AL246" i="2"/>
  <c r="AP246" i="2" s="1"/>
  <c r="AS246" i="2" s="1"/>
  <c r="AL520" i="2"/>
  <c r="AL78" i="2"/>
  <c r="AL401" i="2"/>
  <c r="AL103" i="2"/>
  <c r="AL111" i="2"/>
  <c r="AL56" i="2"/>
  <c r="AL368" i="2"/>
  <c r="AL14" i="2"/>
  <c r="AL438" i="2"/>
  <c r="AL81" i="2"/>
  <c r="AL628" i="2"/>
  <c r="AL598" i="2"/>
  <c r="AL164" i="2"/>
  <c r="AP164" i="2" s="1"/>
  <c r="AS164" i="2" s="1"/>
  <c r="AL480" i="2"/>
  <c r="AL34" i="2"/>
  <c r="AL322" i="2"/>
  <c r="AL24" i="2"/>
  <c r="AL147" i="2"/>
  <c r="AL243" i="2"/>
  <c r="AL531" i="2"/>
  <c r="AL194" i="2"/>
  <c r="AL270" i="2"/>
  <c r="AL466" i="2"/>
  <c r="AL692" i="2"/>
  <c r="AL191" i="2"/>
  <c r="AL389" i="2"/>
  <c r="AL621" i="2"/>
  <c r="AL107" i="2"/>
  <c r="AL311" i="2"/>
  <c r="AL547" i="2"/>
  <c r="AL25" i="2"/>
  <c r="AL236" i="2"/>
  <c r="AL439" i="2"/>
  <c r="AL166" i="2"/>
  <c r="AL627" i="2"/>
  <c r="AL421" i="2"/>
  <c r="AL208" i="2"/>
  <c r="AL689" i="2"/>
  <c r="AL489" i="2"/>
  <c r="AP489" i="2" s="1"/>
  <c r="AS489" i="2" s="1"/>
  <c r="AL280" i="2"/>
  <c r="AL32" i="2"/>
  <c r="AL255" i="2"/>
  <c r="AL543" i="2"/>
  <c r="AL5" i="2"/>
  <c r="AL283" i="2"/>
  <c r="AL479" i="2"/>
  <c r="AL704" i="2"/>
  <c r="AL205" i="2"/>
  <c r="AL402" i="2"/>
  <c r="AL633" i="2"/>
  <c r="AL121" i="2"/>
  <c r="AL324" i="2"/>
  <c r="AP324" i="2" s="1"/>
  <c r="AS324" i="2" s="1"/>
  <c r="AL560" i="2"/>
  <c r="AL40" i="2"/>
  <c r="AL249" i="2"/>
  <c r="AL422" i="2"/>
  <c r="AL144" i="2"/>
  <c r="AL612" i="2"/>
  <c r="AL405" i="2"/>
  <c r="AP405" i="2" s="1"/>
  <c r="AS405" i="2" s="1"/>
  <c r="AL186" i="2"/>
  <c r="AL674" i="2"/>
  <c r="AL473" i="2"/>
  <c r="AL263" i="2"/>
  <c r="AL13" i="2"/>
  <c r="AL279" i="2"/>
  <c r="AL567" i="2"/>
  <c r="AL61" i="2"/>
  <c r="AL296" i="2"/>
  <c r="AL492" i="2"/>
  <c r="AL6" i="2"/>
  <c r="AL218" i="2"/>
  <c r="AP218" i="2" s="1"/>
  <c r="AS218" i="2" s="1"/>
  <c r="AL415" i="2"/>
  <c r="AL645" i="2"/>
  <c r="AL136" i="2"/>
  <c r="AL337" i="2"/>
  <c r="AL54" i="2"/>
  <c r="AL709" i="2"/>
  <c r="AL406" i="2"/>
  <c r="AL124" i="2"/>
  <c r="AP124" i="2" s="1"/>
  <c r="AS124" i="2" s="1"/>
  <c r="AL165" i="2"/>
  <c r="AL456" i="2"/>
  <c r="AL27" i="2"/>
  <c r="AL315" i="2"/>
  <c r="AP315" i="2" s="1"/>
  <c r="AS315" i="2" s="1"/>
  <c r="AL579" i="2"/>
  <c r="AL309" i="2"/>
  <c r="AP309" i="2" s="1"/>
  <c r="AS309" i="2" s="1"/>
  <c r="AL545" i="2"/>
  <c r="AL232" i="2"/>
  <c r="AL657" i="2"/>
  <c r="AL390" i="2"/>
  <c r="AP390" i="2" s="1"/>
  <c r="AS390" i="2" s="1"/>
  <c r="AL68" i="2"/>
  <c r="AL386" i="2"/>
  <c r="AL578" i="2"/>
  <c r="AL143" i="2"/>
  <c r="AL641" i="2"/>
  <c r="AL573" i="2"/>
  <c r="AL594" i="2"/>
  <c r="AL385" i="2"/>
  <c r="AL659" i="2"/>
  <c r="AL242" i="2"/>
  <c r="AL76" i="2"/>
  <c r="AL20" i="2"/>
  <c r="AL467" i="2"/>
  <c r="AL150" i="2"/>
  <c r="AL586" i="2"/>
  <c r="AL643" i="2"/>
  <c r="AP643" i="2" s="1"/>
  <c r="AS643" i="2" s="1"/>
  <c r="AL101" i="2"/>
  <c r="AP101" i="2" s="1"/>
  <c r="AS101" i="2" s="1"/>
  <c r="AL369" i="2"/>
  <c r="AP369" i="2" s="1"/>
  <c r="AS369" i="2" s="1"/>
  <c r="AL437" i="2"/>
  <c r="AL51" i="2"/>
  <c r="AL339" i="2"/>
  <c r="AL37" i="2"/>
  <c r="AL119" i="2"/>
  <c r="AL335" i="2"/>
  <c r="AL571" i="2"/>
  <c r="AL48" i="2"/>
  <c r="AP48" i="2" s="1"/>
  <c r="AS48" i="2" s="1"/>
  <c r="AL258" i="2"/>
  <c r="AP258" i="2" s="1"/>
  <c r="AS258" i="2" s="1"/>
  <c r="AL493" i="2"/>
  <c r="AL681" i="2"/>
  <c r="AL178" i="2"/>
  <c r="AL416" i="2"/>
  <c r="AL610" i="2"/>
  <c r="AL96" i="2"/>
  <c r="AL613" i="2"/>
  <c r="AL354" i="2"/>
  <c r="AL58" i="2"/>
  <c r="AL542" i="2"/>
  <c r="AL333" i="2"/>
  <c r="AL100" i="2"/>
  <c r="AP100" i="2" s="1"/>
  <c r="AS100" i="2" s="1"/>
  <c r="AL611" i="2"/>
  <c r="AP611" i="2" s="1"/>
  <c r="AS611" i="2" s="1"/>
  <c r="AL404" i="2"/>
  <c r="AL185" i="2"/>
  <c r="AL99" i="2"/>
  <c r="AL387" i="2"/>
  <c r="AL50" i="2"/>
  <c r="AL148" i="2"/>
  <c r="AL388" i="2"/>
  <c r="AL584" i="2"/>
  <c r="AL62" i="2"/>
  <c r="AL310" i="2"/>
  <c r="AL506" i="2"/>
  <c r="AL693" i="2"/>
  <c r="AL233" i="2"/>
  <c r="AP233" i="2" s="1"/>
  <c r="AS233" i="2" s="1"/>
  <c r="AL429" i="2"/>
  <c r="AP429" i="2" s="1"/>
  <c r="AS429" i="2" s="1"/>
  <c r="AL622" i="2"/>
  <c r="AL153" i="2"/>
  <c r="AL595" i="2"/>
  <c r="AL334" i="2"/>
  <c r="AL332" i="2"/>
  <c r="AP332" i="2" s="1"/>
  <c r="AS332" i="2" s="1"/>
  <c r="AL707" i="2"/>
  <c r="AL317" i="2"/>
  <c r="AL690" i="2"/>
  <c r="AP690" i="2" s="1"/>
  <c r="AS690" i="2" s="1"/>
  <c r="AL74" i="2"/>
  <c r="AL384" i="2"/>
  <c r="AL36" i="2"/>
  <c r="AP36" i="2" s="1"/>
  <c r="AS36" i="2" s="1"/>
  <c r="AL457" i="2"/>
  <c r="AL187" i="2"/>
  <c r="AL223" i="2"/>
  <c r="AL494" i="2"/>
  <c r="AL93" i="2"/>
  <c r="AL376" i="2"/>
  <c r="AL644" i="2"/>
  <c r="AL257" i="2"/>
  <c r="AL483" i="2"/>
  <c r="AP149" i="2"/>
  <c r="AS149" i="2" s="1"/>
  <c r="AP318" i="2"/>
  <c r="AS318" i="2" s="1"/>
  <c r="AL133" i="2"/>
  <c r="AP133" i="2" s="1"/>
  <c r="AS133" i="2" s="1"/>
  <c r="AL168" i="2"/>
  <c r="AL11" i="2"/>
  <c r="AL447" i="2"/>
  <c r="AL303" i="2"/>
  <c r="AL159" i="2"/>
  <c r="AL15" i="2"/>
  <c r="AL435" i="2"/>
  <c r="AL291" i="2"/>
  <c r="AL9" i="2"/>
  <c r="AL42" i="2"/>
  <c r="AL69" i="2"/>
  <c r="AL95" i="2"/>
  <c r="AL127" i="2"/>
  <c r="AL154" i="2"/>
  <c r="AL180" i="2"/>
  <c r="AL212" i="2"/>
  <c r="AL237" i="2"/>
  <c r="AL261" i="2"/>
  <c r="AL287" i="2"/>
  <c r="AL307" i="2"/>
  <c r="AL330" i="2"/>
  <c r="AP330" i="2" s="1"/>
  <c r="AS330" i="2" s="1"/>
  <c r="AL356" i="2"/>
  <c r="AL379" i="2"/>
  <c r="AL398" i="2"/>
  <c r="AL425" i="2"/>
  <c r="AL448" i="2"/>
  <c r="AL470" i="2"/>
  <c r="AL497" i="2"/>
  <c r="AL516" i="2"/>
  <c r="AL539" i="2"/>
  <c r="AL565" i="2"/>
  <c r="AP565" i="2" s="1"/>
  <c r="AS565" i="2" s="1"/>
  <c r="AL588" i="2"/>
  <c r="AL606" i="2"/>
  <c r="AL630" i="2"/>
  <c r="AL651" i="2"/>
  <c r="AL672" i="2"/>
  <c r="AL696" i="2"/>
  <c r="AL189" i="2"/>
  <c r="AL408" i="2"/>
  <c r="AP408" i="2" s="1"/>
  <c r="AS408" i="2" s="1"/>
  <c r="AL636" i="2"/>
  <c r="AL12" i="2"/>
  <c r="AP12" i="2" s="1"/>
  <c r="AS12" i="2" s="1"/>
  <c r="AL43" i="2"/>
  <c r="AL70" i="2"/>
  <c r="AL97" i="2"/>
  <c r="AP97" i="2" s="1"/>
  <c r="AS97" i="2" s="1"/>
  <c r="AL128" i="2"/>
  <c r="AL156" i="2"/>
  <c r="AP156" i="2" s="1"/>
  <c r="AS156" i="2" s="1"/>
  <c r="AL184" i="2"/>
  <c r="AL213" i="2"/>
  <c r="AL238" i="2"/>
  <c r="AP238" i="2" s="1"/>
  <c r="AS238" i="2" s="1"/>
  <c r="AL262" i="2"/>
  <c r="AL288" i="2"/>
  <c r="AL308" i="2"/>
  <c r="AL331" i="2"/>
  <c r="AL357" i="2"/>
  <c r="AL380" i="2"/>
  <c r="AL400" i="2"/>
  <c r="AL426" i="2"/>
  <c r="AL449" i="2"/>
  <c r="AL472" i="2"/>
  <c r="AL498" i="2"/>
  <c r="AP498" i="2" s="1"/>
  <c r="AS498" i="2" s="1"/>
  <c r="AL517" i="2"/>
  <c r="AL540" i="2"/>
  <c r="AL566" i="2"/>
  <c r="AL589" i="2"/>
  <c r="AL607" i="2"/>
  <c r="AL631" i="2"/>
  <c r="AL652" i="2"/>
  <c r="AL673" i="2"/>
  <c r="AL697" i="2"/>
  <c r="AL17" i="2"/>
  <c r="AL44" i="2"/>
  <c r="AL71" i="2"/>
  <c r="AP71" i="2" s="1"/>
  <c r="AS71" i="2" s="1"/>
  <c r="AL102" i="2"/>
  <c r="AL130" i="2"/>
  <c r="AL157" i="2"/>
  <c r="AL188" i="2"/>
  <c r="AP188" i="2" s="1"/>
  <c r="AS188" i="2" s="1"/>
  <c r="AL214" i="2"/>
  <c r="AL239" i="2"/>
  <c r="AL266" i="2"/>
  <c r="AL289" i="2"/>
  <c r="AL312" i="2"/>
  <c r="AP312" i="2" s="1"/>
  <c r="AS312" i="2" s="1"/>
  <c r="AL338" i="2"/>
  <c r="AP338" i="2" s="1"/>
  <c r="AS338" i="2" s="1"/>
  <c r="AL358" i="2"/>
  <c r="AP358" i="2" s="1"/>
  <c r="AS358" i="2" s="1"/>
  <c r="AL381" i="2"/>
  <c r="AL407" i="2"/>
  <c r="AL430" i="2"/>
  <c r="AL450" i="2"/>
  <c r="AL476" i="2"/>
  <c r="AP476" i="2" s="1"/>
  <c r="AS476" i="2" s="1"/>
  <c r="AL499" i="2"/>
  <c r="AP499" i="2" s="1"/>
  <c r="AS499" i="2" s="1"/>
  <c r="AL522" i="2"/>
  <c r="AL548" i="2"/>
  <c r="AL568" i="2"/>
  <c r="AL590" i="2"/>
  <c r="AL614" i="2"/>
  <c r="AL635" i="2"/>
  <c r="AL653" i="2"/>
  <c r="AP653" i="2" s="1"/>
  <c r="AS653" i="2" s="1"/>
  <c r="AL677" i="2"/>
  <c r="AL698" i="2"/>
  <c r="AL18" i="2"/>
  <c r="AL45" i="2"/>
  <c r="AL104" i="2"/>
  <c r="AL158" i="2"/>
  <c r="AL240" i="2"/>
  <c r="AL290" i="2"/>
  <c r="AP290" i="2" s="1"/>
  <c r="AS290" i="2" s="1"/>
  <c r="AL340" i="2"/>
  <c r="AL382" i="2"/>
  <c r="AP382" i="2" s="1"/>
  <c r="AS382" i="2" s="1"/>
  <c r="AL451" i="2"/>
  <c r="AL500" i="2"/>
  <c r="AL549" i="2"/>
  <c r="AL591" i="2"/>
  <c r="AP591" i="2" s="1"/>
  <c r="AS591" i="2" s="1"/>
  <c r="AL654" i="2"/>
  <c r="AL699" i="2"/>
  <c r="AP699" i="2" s="1"/>
  <c r="AS699" i="2" s="1"/>
  <c r="AL22" i="2"/>
  <c r="AL46" i="2"/>
  <c r="AL73" i="2"/>
  <c r="AL108" i="2"/>
  <c r="AL132" i="2"/>
  <c r="AP132" i="2" s="1"/>
  <c r="AS132" i="2" s="1"/>
  <c r="AL160" i="2"/>
  <c r="AP160" i="2" s="1"/>
  <c r="AS160" i="2" s="1"/>
  <c r="AL193" i="2"/>
  <c r="AL216" i="2"/>
  <c r="AP216" i="2" s="1"/>
  <c r="AS216" i="2" s="1"/>
  <c r="AL241" i="2"/>
  <c r="AL269" i="2"/>
  <c r="AL292" i="2"/>
  <c r="AL314" i="2"/>
  <c r="AL341" i="2"/>
  <c r="AL360" i="2"/>
  <c r="AL383" i="2"/>
  <c r="AL409" i="2"/>
  <c r="AL432" i="2"/>
  <c r="AL452" i="2"/>
  <c r="AL478" i="2"/>
  <c r="AL501" i="2"/>
  <c r="AP501" i="2" s="1"/>
  <c r="AS501" i="2" s="1"/>
  <c r="AL524" i="2"/>
  <c r="AL550" i="2"/>
  <c r="AL570" i="2"/>
  <c r="AL592" i="2"/>
  <c r="AL616" i="2"/>
  <c r="AL637" i="2"/>
  <c r="AL655" i="2"/>
  <c r="AP655" i="2" s="1"/>
  <c r="AS655" i="2" s="1"/>
  <c r="AL679" i="2"/>
  <c r="AL700" i="2"/>
  <c r="AL23" i="2"/>
  <c r="AL52" i="2"/>
  <c r="AL83" i="2"/>
  <c r="AL109" i="2"/>
  <c r="AP109" i="2" s="1"/>
  <c r="AS109" i="2" s="1"/>
  <c r="AL137" i="2"/>
  <c r="AL169" i="2"/>
  <c r="AL196" i="2"/>
  <c r="AL221" i="2"/>
  <c r="AL250" i="2"/>
  <c r="AL273" i="2"/>
  <c r="AL293" i="2"/>
  <c r="AL319" i="2"/>
  <c r="AL342" i="2"/>
  <c r="AL365" i="2"/>
  <c r="AL391" i="2"/>
  <c r="AL410" i="2"/>
  <c r="AL433" i="2"/>
  <c r="AL460" i="2"/>
  <c r="AL482" i="2"/>
  <c r="AL502" i="2"/>
  <c r="AL528" i="2"/>
  <c r="AL551" i="2"/>
  <c r="AL574" i="2"/>
  <c r="AL599" i="2"/>
  <c r="AL617" i="2"/>
  <c r="AP617" i="2" s="1"/>
  <c r="AS617" i="2" s="1"/>
  <c r="AL638" i="2"/>
  <c r="AL662" i="2"/>
  <c r="AP662" i="2" s="1"/>
  <c r="AS662" i="2" s="1"/>
  <c r="AL683" i="2"/>
  <c r="AL701" i="2"/>
  <c r="AL26" i="2"/>
  <c r="AL53" i="2"/>
  <c r="AL84" i="2"/>
  <c r="AL112" i="2"/>
  <c r="AL138" i="2"/>
  <c r="AL170" i="2"/>
  <c r="AL198" i="2"/>
  <c r="AL222" i="2"/>
  <c r="AL251" i="2"/>
  <c r="AL274" i="2"/>
  <c r="AP274" i="2" s="1"/>
  <c r="AS274" i="2" s="1"/>
  <c r="AL294" i="2"/>
  <c r="AL320" i="2"/>
  <c r="AL343" i="2"/>
  <c r="AL366" i="2"/>
  <c r="AL392" i="2"/>
  <c r="AL412" i="2"/>
  <c r="AL434" i="2"/>
  <c r="AL461" i="2"/>
  <c r="AP461" i="2" s="1"/>
  <c r="AS461" i="2" s="1"/>
  <c r="AL484" i="2"/>
  <c r="AL503" i="2"/>
  <c r="AL529" i="2"/>
  <c r="AL552" i="2"/>
  <c r="AP552" i="2" s="1"/>
  <c r="AS552" i="2" s="1"/>
  <c r="AL575" i="2"/>
  <c r="AL600" i="2"/>
  <c r="AL618" i="2"/>
  <c r="AL639" i="2"/>
  <c r="AL663" i="2"/>
  <c r="AL684" i="2"/>
  <c r="AL702" i="2"/>
  <c r="AL28" i="2"/>
  <c r="AP28" i="2" s="1"/>
  <c r="AS28" i="2" s="1"/>
  <c r="AL55" i="2"/>
  <c r="AL85" i="2"/>
  <c r="AL113" i="2"/>
  <c r="AL140" i="2"/>
  <c r="AP140" i="2" s="1"/>
  <c r="AS140" i="2" s="1"/>
  <c r="AL172" i="2"/>
  <c r="AL199" i="2"/>
  <c r="AL224" i="2"/>
  <c r="AL252" i="2"/>
  <c r="AL275" i="2"/>
  <c r="AP275" i="2" s="1"/>
  <c r="AS275" i="2" s="1"/>
  <c r="AL295" i="2"/>
  <c r="AL321" i="2"/>
  <c r="AP321" i="2" s="1"/>
  <c r="AS321" i="2" s="1"/>
  <c r="AL344" i="2"/>
  <c r="AL367" i="2"/>
  <c r="AP367" i="2" s="1"/>
  <c r="AS367" i="2" s="1"/>
  <c r="AL393" i="2"/>
  <c r="AL413" i="2"/>
  <c r="AL436" i="2"/>
  <c r="AL462" i="2"/>
  <c r="AL485" i="2"/>
  <c r="AL504" i="2"/>
  <c r="AL530" i="2"/>
  <c r="AP530" i="2" s="1"/>
  <c r="AS530" i="2" s="1"/>
  <c r="AL553" i="2"/>
  <c r="AL576" i="2"/>
  <c r="AL601" i="2"/>
  <c r="AL619" i="2"/>
  <c r="AL640" i="2"/>
  <c r="AL664" i="2"/>
  <c r="AP664" i="2" s="1"/>
  <c r="AS664" i="2" s="1"/>
  <c r="AL685" i="2"/>
  <c r="AL703" i="2"/>
  <c r="AL514" i="2"/>
  <c r="AL29" i="2"/>
  <c r="AL59" i="2"/>
  <c r="AL86" i="2"/>
  <c r="AP86" i="2" s="1"/>
  <c r="AS86" i="2" s="1"/>
  <c r="AL114" i="2"/>
  <c r="AL145" i="2"/>
  <c r="AL173" i="2"/>
  <c r="AL200" i="2"/>
  <c r="AL228" i="2"/>
  <c r="AL253" i="2"/>
  <c r="AL276" i="2"/>
  <c r="AP276" i="2" s="1"/>
  <c r="AS276" i="2" s="1"/>
  <c r="AL302" i="2"/>
  <c r="AL325" i="2"/>
  <c r="AL345" i="2"/>
  <c r="AL371" i="2"/>
  <c r="AL394" i="2"/>
  <c r="AP394" i="2" s="1"/>
  <c r="AS394" i="2" s="1"/>
  <c r="AL417" i="2"/>
  <c r="AL443" i="2"/>
  <c r="AL463" i="2"/>
  <c r="AL486" i="2"/>
  <c r="AL512" i="2"/>
  <c r="AP512" i="2" s="1"/>
  <c r="AS512" i="2" s="1"/>
  <c r="AL535" i="2"/>
  <c r="AL554" i="2"/>
  <c r="AL581" i="2"/>
  <c r="AP581" i="2" s="1"/>
  <c r="AS581" i="2" s="1"/>
  <c r="AL602" i="2"/>
  <c r="AL623" i="2"/>
  <c r="AP623" i="2" s="1"/>
  <c r="AS623" i="2" s="1"/>
  <c r="AL647" i="2"/>
  <c r="AP647" i="2" s="1"/>
  <c r="AS647" i="2" s="1"/>
  <c r="AL665" i="2"/>
  <c r="AL686" i="2"/>
  <c r="AL710" i="2"/>
  <c r="AL30" i="2"/>
  <c r="AL60" i="2"/>
  <c r="AL88" i="2"/>
  <c r="AL115" i="2"/>
  <c r="AL146" i="2"/>
  <c r="AL174" i="2"/>
  <c r="AP174" i="2" s="1"/>
  <c r="AS174" i="2" s="1"/>
  <c r="AL201" i="2"/>
  <c r="AL229" i="2"/>
  <c r="AL254" i="2"/>
  <c r="AL277" i="2"/>
  <c r="AL304" i="2"/>
  <c r="AL326" i="2"/>
  <c r="AL346" i="2"/>
  <c r="AL372" i="2"/>
  <c r="AL395" i="2"/>
  <c r="AL418" i="2"/>
  <c r="AP418" i="2" s="1"/>
  <c r="AS418" i="2" s="1"/>
  <c r="AL444" i="2"/>
  <c r="AL464" i="2"/>
  <c r="AL487" i="2"/>
  <c r="AL513" i="2"/>
  <c r="AL536" i="2"/>
  <c r="AL556" i="2"/>
  <c r="AL582" i="2"/>
  <c r="AL603" i="2"/>
  <c r="AP603" i="2" s="1"/>
  <c r="AS603" i="2" s="1"/>
  <c r="AL624" i="2"/>
  <c r="AL648" i="2"/>
  <c r="AL666" i="2"/>
  <c r="AL687" i="2"/>
  <c r="AL711" i="2"/>
  <c r="AL4" i="2"/>
  <c r="AL31" i="2"/>
  <c r="AL66" i="2"/>
  <c r="AL89" i="2"/>
  <c r="AL117" i="2"/>
  <c r="AP117" i="2" s="1"/>
  <c r="AS117" i="2" s="1"/>
  <c r="AL151" i="2"/>
  <c r="AL175" i="2"/>
  <c r="AL202" i="2"/>
  <c r="AL234" i="2"/>
  <c r="AL256" i="2"/>
  <c r="AL278" i="2"/>
  <c r="AP278" i="2" s="1"/>
  <c r="AS278" i="2" s="1"/>
  <c r="AL305" i="2"/>
  <c r="AL328" i="2"/>
  <c r="AP328" i="2" s="1"/>
  <c r="AS328" i="2" s="1"/>
  <c r="AL347" i="2"/>
  <c r="AL373" i="2"/>
  <c r="AL396" i="2"/>
  <c r="AL419" i="2"/>
  <c r="AL445" i="2"/>
  <c r="AL465" i="2"/>
  <c r="AL488" i="2"/>
  <c r="AL537" i="2"/>
  <c r="AP537" i="2" s="1"/>
  <c r="AS537" i="2" s="1"/>
  <c r="AL557" i="2"/>
  <c r="AL583" i="2"/>
  <c r="AL604" i="2"/>
  <c r="AP604" i="2" s="1"/>
  <c r="AS604" i="2" s="1"/>
  <c r="AL625" i="2"/>
  <c r="AP625" i="2" s="1"/>
  <c r="AS625" i="2" s="1"/>
  <c r="AL649" i="2"/>
  <c r="AL667" i="2"/>
  <c r="AL688" i="2"/>
  <c r="AL712" i="2"/>
  <c r="AP712" i="2" s="1"/>
  <c r="AS712" i="2" s="1"/>
  <c r="AL8" i="2"/>
  <c r="AL41" i="2"/>
  <c r="AL67" i="2"/>
  <c r="AL94" i="2"/>
  <c r="AL126" i="2"/>
  <c r="AL152" i="2"/>
  <c r="AL179" i="2"/>
  <c r="AP179" i="2" s="1"/>
  <c r="AS179" i="2" s="1"/>
  <c r="AL211" i="2"/>
  <c r="AP211" i="2" s="1"/>
  <c r="AS211" i="2" s="1"/>
  <c r="AL235" i="2"/>
  <c r="AL260" i="2"/>
  <c r="AL286" i="2"/>
  <c r="AL306" i="2"/>
  <c r="AL329" i="2"/>
  <c r="AL355" i="2"/>
  <c r="AL378" i="2"/>
  <c r="AP378" i="2" s="1"/>
  <c r="AS378" i="2" s="1"/>
  <c r="AL397" i="2"/>
  <c r="AL424" i="2"/>
  <c r="AL446" i="2"/>
  <c r="AP446" i="2" s="1"/>
  <c r="AS446" i="2" s="1"/>
  <c r="AL469" i="2"/>
  <c r="AL496" i="2"/>
  <c r="AP496" i="2" s="1"/>
  <c r="AS496" i="2" s="1"/>
  <c r="AL515" i="2"/>
  <c r="AL538" i="2"/>
  <c r="AL564" i="2"/>
  <c r="AL587" i="2"/>
  <c r="AL605" i="2"/>
  <c r="AL629" i="2"/>
  <c r="AP629" i="2" s="1"/>
  <c r="AS629" i="2" s="1"/>
  <c r="AL650" i="2"/>
  <c r="AP650" i="2" s="1"/>
  <c r="AS650" i="2" s="1"/>
  <c r="AL671" i="2"/>
  <c r="AP671" i="2" s="1"/>
  <c r="AS671" i="2" s="1"/>
  <c r="AL695" i="2"/>
  <c r="AL72" i="2"/>
  <c r="AL131" i="2"/>
  <c r="AL215" i="2"/>
  <c r="AL268" i="2"/>
  <c r="AL313" i="2"/>
  <c r="AL359" i="2"/>
  <c r="AL431" i="2"/>
  <c r="AL477" i="2"/>
  <c r="AL523" i="2"/>
  <c r="AP523" i="2" s="1"/>
  <c r="AS523" i="2" s="1"/>
  <c r="AL569" i="2"/>
  <c r="AL615" i="2"/>
  <c r="AP615" i="2" s="1"/>
  <c r="AS615" i="2" s="1"/>
  <c r="AL678" i="2"/>
  <c r="AL91" i="2"/>
  <c r="AL129" i="2"/>
  <c r="AL555" i="2"/>
  <c r="AL411" i="2"/>
  <c r="AL267" i="2"/>
  <c r="AL123" i="2"/>
  <c r="AP323" i="2"/>
  <c r="AS323" i="2" s="1"/>
  <c r="AL248" i="2"/>
  <c r="AL458" i="2"/>
  <c r="AL661" i="2"/>
  <c r="AP661" i="2" s="1"/>
  <c r="AS661" i="2" s="1"/>
  <c r="AL139" i="2"/>
  <c r="AP139" i="2" s="1"/>
  <c r="AS139" i="2" s="1"/>
  <c r="AL682" i="2"/>
  <c r="AL534" i="2"/>
  <c r="AP534" i="2" s="1"/>
  <c r="AS534" i="2" s="1"/>
  <c r="AL377" i="2"/>
  <c r="AP377" i="2" s="1"/>
  <c r="AS377" i="2" s="1"/>
  <c r="AL220" i="2"/>
  <c r="AL49" i="2"/>
  <c r="AL609" i="2"/>
  <c r="AL454" i="2"/>
  <c r="AP454" i="2" s="1"/>
  <c r="AS454" i="2" s="1"/>
  <c r="AL297" i="2"/>
  <c r="AL134" i="2"/>
  <c r="AL680" i="2"/>
  <c r="AL532" i="2"/>
  <c r="AL374" i="2"/>
  <c r="AL217" i="2"/>
  <c r="AP217" i="2" s="1"/>
  <c r="AS217" i="2" s="1"/>
  <c r="AL47" i="2"/>
  <c r="AL90" i="2"/>
  <c r="AP90" i="2" s="1"/>
  <c r="AS90" i="2" s="1"/>
  <c r="AL519" i="2"/>
  <c r="AP519" i="2" s="1"/>
  <c r="AS519" i="2" s="1"/>
  <c r="AL375" i="2"/>
  <c r="AL231" i="2"/>
  <c r="AL87" i="2"/>
  <c r="AP87" i="2" s="1"/>
  <c r="AS87" i="2" s="1"/>
  <c r="AL16" i="2"/>
  <c r="AL265" i="2"/>
  <c r="AL475" i="2"/>
  <c r="AL676" i="2"/>
  <c r="AL125" i="2"/>
  <c r="AL670" i="2"/>
  <c r="AL521" i="2"/>
  <c r="AP521" i="2" s="1"/>
  <c r="AS521" i="2" s="1"/>
  <c r="AL364" i="2"/>
  <c r="AL206" i="2"/>
  <c r="AL35" i="2"/>
  <c r="AL597" i="2"/>
  <c r="AL441" i="2"/>
  <c r="AP441" i="2" s="1"/>
  <c r="AS441" i="2" s="1"/>
  <c r="AL284" i="2"/>
  <c r="AL120" i="2"/>
  <c r="AL668" i="2"/>
  <c r="AP668" i="2" s="1"/>
  <c r="AS668" i="2" s="1"/>
  <c r="AL518" i="2"/>
  <c r="AL361" i="2"/>
  <c r="AL204" i="2"/>
  <c r="AP204" i="2" s="1"/>
  <c r="AS204" i="2" s="1"/>
  <c r="AL33" i="2"/>
  <c r="AL77" i="2"/>
  <c r="AL507" i="2"/>
  <c r="AL363" i="2"/>
  <c r="AL219" i="2"/>
  <c r="AP219" i="2" s="1"/>
  <c r="AS219" i="2" s="1"/>
  <c r="AL75" i="2"/>
  <c r="AL38" i="2"/>
  <c r="AL282" i="2"/>
  <c r="AL491" i="2"/>
  <c r="AL691" i="2"/>
  <c r="AL110" i="2"/>
  <c r="AL658" i="2"/>
  <c r="AL508" i="2"/>
  <c r="AL350" i="2"/>
  <c r="AL192" i="2"/>
  <c r="AL21" i="2"/>
  <c r="AL585" i="2"/>
  <c r="AL428" i="2"/>
  <c r="AL271" i="2"/>
  <c r="AL106" i="2"/>
  <c r="AL656" i="2"/>
  <c r="AL505" i="2"/>
  <c r="AL348" i="2"/>
  <c r="AL190" i="2"/>
  <c r="AL19" i="2"/>
  <c r="AL64" i="2"/>
  <c r="AL495" i="2"/>
  <c r="AL351" i="2"/>
  <c r="AP351" i="2" s="1"/>
  <c r="AS351" i="2" s="1"/>
  <c r="AL207" i="2"/>
  <c r="AL63" i="2"/>
  <c r="AP10" i="2"/>
  <c r="AS10" i="2" s="1"/>
  <c r="AP488" i="2" l="1"/>
  <c r="AS488" i="2" s="1"/>
  <c r="AP403" i="2"/>
  <c r="AS403" i="2" s="1"/>
  <c r="AP388" i="2"/>
  <c r="AS388" i="2" s="1"/>
  <c r="AP399" i="2"/>
  <c r="AS399" i="2" s="1"/>
  <c r="AP644" i="2"/>
  <c r="AS644" i="2" s="1"/>
  <c r="AP414" i="2"/>
  <c r="AS414" i="2" s="1"/>
  <c r="AP119" i="2"/>
  <c r="AS119" i="2" s="1"/>
  <c r="AP279" i="2"/>
  <c r="AS279" i="2" s="1"/>
  <c r="AP143" i="2"/>
  <c r="AS143" i="2" s="1"/>
  <c r="AP210" i="2"/>
  <c r="AS210" i="2" s="1"/>
  <c r="AP584" i="2"/>
  <c r="AS584" i="2" s="1"/>
  <c r="AP301" i="2"/>
  <c r="AS301" i="2" s="1"/>
  <c r="AP141" i="2"/>
  <c r="AS141" i="2" s="1"/>
  <c r="AP641" i="2"/>
  <c r="AS641" i="2" s="1"/>
  <c r="AP125" i="2"/>
  <c r="AS125" i="2" s="1"/>
  <c r="AP458" i="2"/>
  <c r="AS458" i="2" s="1"/>
  <c r="AP397" i="2"/>
  <c r="AS397" i="2" s="1"/>
  <c r="AP60" i="2"/>
  <c r="AS60" i="2" s="1"/>
  <c r="AP568" i="2"/>
  <c r="AS568" i="2" s="1"/>
  <c r="AP291" i="2"/>
  <c r="AS291" i="2" s="1"/>
  <c r="AP310" i="2"/>
  <c r="AS310" i="2" s="1"/>
  <c r="AP368" i="2"/>
  <c r="AS368" i="2" s="1"/>
  <c r="AP225" i="2"/>
  <c r="AS225" i="2" s="1"/>
  <c r="AP166" i="2"/>
  <c r="AS166" i="2" s="1"/>
  <c r="AP541" i="2"/>
  <c r="AS541" i="2" s="1"/>
  <c r="AP456" i="2"/>
  <c r="AS456" i="2" s="1"/>
  <c r="AP695" i="2"/>
  <c r="AS695" i="2" s="1"/>
  <c r="AP449" i="2"/>
  <c r="AS449" i="2" s="1"/>
  <c r="AP493" i="2"/>
  <c r="AS493" i="2" s="1"/>
  <c r="AP502" i="2"/>
  <c r="AS502" i="2" s="1"/>
  <c r="AP657" i="2"/>
  <c r="AS657" i="2" s="1"/>
  <c r="AP107" i="2"/>
  <c r="AS107" i="2" s="1"/>
  <c r="AP527" i="2"/>
  <c r="AS527" i="2" s="1"/>
  <c r="AP381" i="2"/>
  <c r="AS381" i="2" s="1"/>
  <c r="AP398" i="2"/>
  <c r="AS398" i="2" s="1"/>
  <c r="AP634" i="2"/>
  <c r="AS634" i="2" s="1"/>
  <c r="AP563" i="2"/>
  <c r="AS563" i="2" s="1"/>
  <c r="AP317" i="2"/>
  <c r="AS317" i="2" s="1"/>
  <c r="AP197" i="2"/>
  <c r="AS197" i="2" s="1"/>
  <c r="AP659" i="2"/>
  <c r="AS659" i="2" s="1"/>
  <c r="AP596" i="2"/>
  <c r="AS596" i="2" s="1"/>
  <c r="AP121" i="2"/>
  <c r="AS121" i="2" s="1"/>
  <c r="AP560" i="2"/>
  <c r="AS560" i="2" s="1"/>
  <c r="AP354" i="2"/>
  <c r="AS354" i="2" s="1"/>
  <c r="AP660" i="2"/>
  <c r="AS660" i="2" s="1"/>
  <c r="AP98" i="2"/>
  <c r="AS98" i="2" s="1"/>
  <c r="AP120" i="2"/>
  <c r="AS120" i="2" s="1"/>
  <c r="AP265" i="2"/>
  <c r="AS265" i="2" s="1"/>
  <c r="AP636" i="2"/>
  <c r="AS636" i="2" s="1"/>
  <c r="AP337" i="2"/>
  <c r="AS337" i="2" s="1"/>
  <c r="AP352" i="2"/>
  <c r="AS352" i="2" s="1"/>
  <c r="AP175" i="2"/>
  <c r="AS175" i="2" s="1"/>
  <c r="AP112" i="2"/>
  <c r="AS112" i="2" s="1"/>
  <c r="AP471" i="2"/>
  <c r="AS471" i="2" s="1"/>
  <c r="AP663" i="2"/>
  <c r="AS663" i="2" s="1"/>
  <c r="AP341" i="2"/>
  <c r="AS341" i="2" s="1"/>
  <c r="AP116" i="2"/>
  <c r="AS116" i="2" s="1"/>
  <c r="AP482" i="2"/>
  <c r="AS482" i="2" s="1"/>
  <c r="AP654" i="2"/>
  <c r="AS654" i="2" s="1"/>
  <c r="AP334" i="2"/>
  <c r="AS334" i="2" s="1"/>
  <c r="AP5" i="2"/>
  <c r="AS5" i="2" s="1"/>
  <c r="AP41" i="2"/>
  <c r="AS41" i="2" s="1"/>
  <c r="AP412" i="2"/>
  <c r="AS412" i="2" s="1"/>
  <c r="AP631" i="2"/>
  <c r="AS631" i="2" s="1"/>
  <c r="AP53" i="2"/>
  <c r="AS53" i="2" s="1"/>
  <c r="AP292" i="2"/>
  <c r="AS292" i="2" s="1"/>
  <c r="AP514" i="2"/>
  <c r="AS514" i="2" s="1"/>
  <c r="AP31" i="2"/>
  <c r="AS31" i="2" s="1"/>
  <c r="AP602" i="2"/>
  <c r="AS602" i="2" s="1"/>
  <c r="AP16" i="2"/>
  <c r="AS16" i="2" s="1"/>
  <c r="AP428" i="2"/>
  <c r="AS428" i="2" s="1"/>
  <c r="AP277" i="2"/>
  <c r="AS277" i="2" s="1"/>
  <c r="AP252" i="2"/>
  <c r="AS252" i="2" s="1"/>
  <c r="AP366" i="2"/>
  <c r="AS366" i="2" s="1"/>
  <c r="AP497" i="2"/>
  <c r="AS497" i="2" s="1"/>
  <c r="AP303" i="2"/>
  <c r="AS303" i="2" s="1"/>
  <c r="AP419" i="2"/>
  <c r="AS419" i="2" s="1"/>
  <c r="AP556" i="2"/>
  <c r="AS556" i="2" s="1"/>
  <c r="AP232" i="2"/>
  <c r="AS232" i="2" s="1"/>
  <c r="AP172" i="2"/>
  <c r="AS172" i="2" s="1"/>
  <c r="AP245" i="2"/>
  <c r="AS245" i="2" s="1"/>
  <c r="AP574" i="2"/>
  <c r="AS574" i="2" s="1"/>
  <c r="AP400" i="2"/>
  <c r="AS400" i="2" s="1"/>
  <c r="AP588" i="2"/>
  <c r="AS588" i="2" s="1"/>
  <c r="AP586" i="2"/>
  <c r="AS586" i="2" s="1"/>
  <c r="AP578" i="2"/>
  <c r="AS578" i="2" s="1"/>
  <c r="AP422" i="2"/>
  <c r="AS422" i="2" s="1"/>
  <c r="AP509" i="2"/>
  <c r="AS509" i="2" s="1"/>
  <c r="AP389" i="2"/>
  <c r="AS389" i="2" s="1"/>
  <c r="AP453" i="2"/>
  <c r="AS453" i="2" s="1"/>
  <c r="AP463" i="2"/>
  <c r="AS463" i="2" s="1"/>
  <c r="AP702" i="2"/>
  <c r="AS702" i="2" s="1"/>
  <c r="AP177" i="2"/>
  <c r="AS177" i="2" s="1"/>
  <c r="AP375" i="2"/>
  <c r="AS375" i="2" s="1"/>
  <c r="AP339" i="2"/>
  <c r="AS339" i="2" s="1"/>
  <c r="AP212" i="2"/>
  <c r="AS212" i="2" s="1"/>
  <c r="AP411" i="2"/>
  <c r="AS411" i="2" s="1"/>
  <c r="AP507" i="2"/>
  <c r="AS507" i="2" s="1"/>
  <c r="AP462" i="2"/>
  <c r="AS462" i="2" s="1"/>
  <c r="AP294" i="2"/>
  <c r="AS294" i="2" s="1"/>
  <c r="AP677" i="2"/>
  <c r="AS677" i="2" s="1"/>
  <c r="AP102" i="2"/>
  <c r="AS102" i="2" s="1"/>
  <c r="AP520" i="2"/>
  <c r="AS520" i="2" s="1"/>
  <c r="AP544" i="2"/>
  <c r="AS544" i="2" s="1"/>
  <c r="AP705" i="2"/>
  <c r="AS705" i="2" s="1"/>
  <c r="AP680" i="2"/>
  <c r="AS680" i="2" s="1"/>
  <c r="AP236" i="2"/>
  <c r="AS236" i="2" s="1"/>
  <c r="AP81" i="2"/>
  <c r="AS81" i="2" s="1"/>
  <c r="AP256" i="2"/>
  <c r="AS256" i="2" s="1"/>
  <c r="AP13" i="2"/>
  <c r="AS13" i="2" s="1"/>
  <c r="AP248" i="2"/>
  <c r="AS248" i="2" s="1"/>
  <c r="AP32" i="2"/>
  <c r="AS32" i="2" s="1"/>
  <c r="AP628" i="2"/>
  <c r="AS628" i="2" s="1"/>
  <c r="AP348" i="2"/>
  <c r="AS348" i="2" s="1"/>
  <c r="AP425" i="2"/>
  <c r="AS425" i="2" s="1"/>
  <c r="AP490" i="2"/>
  <c r="AS490" i="2" s="1"/>
  <c r="AP255" i="2"/>
  <c r="AS255" i="2" s="1"/>
  <c r="AP9" i="2"/>
  <c r="AS9" i="2" s="1"/>
  <c r="AP561" i="2"/>
  <c r="AS561" i="2" s="1"/>
  <c r="AP432" i="2"/>
  <c r="AS432" i="2" s="1"/>
  <c r="AP296" i="2"/>
  <c r="AS296" i="2" s="1"/>
  <c r="AP118" i="2"/>
  <c r="AS118" i="2" s="1"/>
  <c r="AP105" i="2"/>
  <c r="AS105" i="2" s="1"/>
  <c r="AP558" i="2"/>
  <c r="AS558" i="2" s="1"/>
  <c r="AP522" i="2"/>
  <c r="AS522" i="2" s="1"/>
  <c r="AP68" i="2"/>
  <c r="AS68" i="2" s="1"/>
  <c r="AP104" i="2"/>
  <c r="AS104" i="2" s="1"/>
  <c r="AP559" i="2"/>
  <c r="AS559" i="2" s="1"/>
  <c r="AP562" i="2"/>
  <c r="AS562" i="2" s="1"/>
  <c r="AP207" i="2"/>
  <c r="AS207" i="2" s="1"/>
  <c r="AP494" i="2"/>
  <c r="AS494" i="2" s="1"/>
  <c r="AP545" i="2"/>
  <c r="AS545" i="2" s="1"/>
  <c r="AP21" i="2"/>
  <c r="AS21" i="2" s="1"/>
  <c r="AP373" i="2"/>
  <c r="AS373" i="2" s="1"/>
  <c r="AP433" i="2"/>
  <c r="AS433" i="2" s="1"/>
  <c r="AP154" i="2"/>
  <c r="AS154" i="2" s="1"/>
  <c r="AP474" i="2"/>
  <c r="AS474" i="2" s="1"/>
  <c r="AP548" i="2"/>
  <c r="AS548" i="2" s="1"/>
  <c r="AP483" i="2"/>
  <c r="AS483" i="2" s="1"/>
  <c r="AP620" i="2"/>
  <c r="AS620" i="2" s="1"/>
  <c r="AP163" i="2"/>
  <c r="AS163" i="2" s="1"/>
  <c r="AP110" i="2"/>
  <c r="AS110" i="2" s="1"/>
  <c r="AP703" i="2"/>
  <c r="AS703" i="2" s="1"/>
  <c r="AP459" i="2"/>
  <c r="AS459" i="2" s="1"/>
  <c r="AP437" i="2"/>
  <c r="AS437" i="2" s="1"/>
  <c r="AP700" i="2"/>
  <c r="AS700" i="2" s="1"/>
  <c r="AP126" i="2"/>
  <c r="AS126" i="2" s="1"/>
  <c r="AP327" i="2"/>
  <c r="AS327" i="2" s="1"/>
  <c r="AP314" i="2"/>
  <c r="AS314" i="2" s="1"/>
  <c r="AP589" i="2"/>
  <c r="AS589" i="2" s="1"/>
  <c r="AP24" i="2"/>
  <c r="AS24" i="2" s="1"/>
  <c r="AP495" i="2"/>
  <c r="AS495" i="2" s="1"/>
  <c r="AP536" i="2"/>
  <c r="AS536" i="2" s="1"/>
  <c r="AP59" i="2"/>
  <c r="AS59" i="2" s="1"/>
  <c r="AP460" i="2"/>
  <c r="AS460" i="2" s="1"/>
  <c r="AP570" i="2"/>
  <c r="AS570" i="2" s="1"/>
  <c r="AP157" i="2"/>
  <c r="AS157" i="2" s="1"/>
  <c r="AP470" i="2"/>
  <c r="AS470" i="2" s="1"/>
  <c r="AP322" i="2"/>
  <c r="AS322" i="2" s="1"/>
  <c r="AP665" i="2"/>
  <c r="AS665" i="2" s="1"/>
  <c r="AP350" i="2"/>
  <c r="AS350" i="2" s="1"/>
  <c r="AP485" i="2"/>
  <c r="AS485" i="2" s="1"/>
  <c r="AP540" i="2"/>
  <c r="AS540" i="2" s="1"/>
  <c r="AP189" i="2"/>
  <c r="AS189" i="2" s="1"/>
  <c r="AP11" i="2"/>
  <c r="AS11" i="2" s="1"/>
  <c r="AP220" i="2"/>
  <c r="AS220" i="2" s="1"/>
  <c r="AP524" i="2"/>
  <c r="AS524" i="2" s="1"/>
  <c r="AP168" i="2"/>
  <c r="AS168" i="2" s="1"/>
  <c r="AP153" i="2"/>
  <c r="AS153" i="2" s="1"/>
  <c r="AP645" i="2"/>
  <c r="AS645" i="2" s="1"/>
  <c r="AP694" i="2"/>
  <c r="AS694" i="2" s="1"/>
  <c r="AP142" i="2"/>
  <c r="AS142" i="2" s="1"/>
  <c r="AP191" i="2"/>
  <c r="AS191" i="2" s="1"/>
  <c r="AP57" i="2"/>
  <c r="AS57" i="2" s="1"/>
  <c r="AP630" i="2"/>
  <c r="AS630" i="2" s="1"/>
  <c r="AP209" i="2"/>
  <c r="AS209" i="2" s="1"/>
  <c r="AP215" i="2"/>
  <c r="AS215" i="2" s="1"/>
  <c r="AP83" i="2"/>
  <c r="AS83" i="2" s="1"/>
  <c r="AP356" i="2"/>
  <c r="AS356" i="2" s="1"/>
  <c r="AP40" i="2"/>
  <c r="AS40" i="2" s="1"/>
  <c r="AP167" i="2"/>
  <c r="AS167" i="2" s="1"/>
  <c r="AP15" i="2"/>
  <c r="AS15" i="2" s="1"/>
  <c r="AP395" i="2"/>
  <c r="AS395" i="2" s="1"/>
  <c r="AP54" i="2"/>
  <c r="AS54" i="2" s="1"/>
  <c r="AP675" i="2"/>
  <c r="AS675" i="2" s="1"/>
  <c r="AP678" i="2"/>
  <c r="AS678" i="2" s="1"/>
  <c r="AP135" i="2"/>
  <c r="AS135" i="2" s="1"/>
  <c r="AP387" i="2"/>
  <c r="AS387" i="2" s="1"/>
  <c r="AP20" i="2"/>
  <c r="AS20" i="2" s="1"/>
  <c r="AP577" i="2"/>
  <c r="AS577" i="2" s="1"/>
  <c r="AP171" i="2"/>
  <c r="AS171" i="2" s="1"/>
  <c r="AP299" i="2"/>
  <c r="AS299" i="2" s="1"/>
  <c r="AP199" i="2"/>
  <c r="AS199" i="2" s="1"/>
  <c r="AP430" i="2"/>
  <c r="AS430" i="2" s="1"/>
  <c r="AP391" i="2"/>
  <c r="AS391" i="2" s="1"/>
  <c r="AP585" i="2"/>
  <c r="AS585" i="2" s="1"/>
  <c r="AP587" i="2"/>
  <c r="AS587" i="2" s="1"/>
  <c r="AP528" i="2"/>
  <c r="AS528" i="2" s="1"/>
  <c r="AP357" i="2"/>
  <c r="AS357" i="2" s="1"/>
  <c r="AP610" i="2"/>
  <c r="AS610" i="2" s="1"/>
  <c r="AP51" i="2"/>
  <c r="AS51" i="2" s="1"/>
  <c r="AP674" i="2"/>
  <c r="AS674" i="2" s="1"/>
  <c r="AP546" i="2"/>
  <c r="AS546" i="2" s="1"/>
  <c r="AP478" i="2"/>
  <c r="AS478" i="2" s="1"/>
  <c r="AP150" i="2"/>
  <c r="AS150" i="2" s="1"/>
  <c r="AP626" i="2"/>
  <c r="AS626" i="2" s="1"/>
  <c r="AP190" i="2"/>
  <c r="AS190" i="2" s="1"/>
  <c r="AP648" i="2"/>
  <c r="AS648" i="2" s="1"/>
  <c r="AP372" i="2"/>
  <c r="AS372" i="2" s="1"/>
  <c r="AP619" i="2"/>
  <c r="AS619" i="2" s="1"/>
  <c r="AP344" i="2"/>
  <c r="AS344" i="2" s="1"/>
  <c r="AP108" i="2"/>
  <c r="AS108" i="2" s="1"/>
  <c r="AP673" i="2"/>
  <c r="AS673" i="2" s="1"/>
  <c r="AP37" i="2"/>
  <c r="AS37" i="2" s="1"/>
  <c r="AP202" i="2"/>
  <c r="AS202" i="2" s="1"/>
  <c r="AP624" i="2"/>
  <c r="AS624" i="2" s="1"/>
  <c r="AP30" i="2"/>
  <c r="AS30" i="2" s="1"/>
  <c r="AP434" i="2"/>
  <c r="AS434" i="2" s="1"/>
  <c r="AP273" i="2"/>
  <c r="AS273" i="2" s="1"/>
  <c r="AP383" i="2"/>
  <c r="AS383" i="2" s="1"/>
  <c r="AP73" i="2"/>
  <c r="AS73" i="2" s="1"/>
  <c r="AP652" i="2"/>
  <c r="AS652" i="2" s="1"/>
  <c r="AP285" i="2"/>
  <c r="AS285" i="2" s="1"/>
  <c r="AP609" i="2"/>
  <c r="AS609" i="2" s="1"/>
  <c r="AP477" i="2"/>
  <c r="AS477" i="2" s="1"/>
  <c r="AP355" i="2"/>
  <c r="AS355" i="2" s="1"/>
  <c r="AP710" i="2"/>
  <c r="AS710" i="2" s="1"/>
  <c r="AP576" i="2"/>
  <c r="AS576" i="2" s="1"/>
  <c r="AP295" i="2"/>
  <c r="AS295" i="2" s="1"/>
  <c r="AP250" i="2"/>
  <c r="AS250" i="2" s="1"/>
  <c r="AP637" i="2"/>
  <c r="AS637" i="2" s="1"/>
  <c r="AP46" i="2"/>
  <c r="AS46" i="2" s="1"/>
  <c r="AP491" i="2"/>
  <c r="AS491" i="2" s="1"/>
  <c r="AP431" i="2"/>
  <c r="AS431" i="2" s="1"/>
  <c r="AP151" i="2"/>
  <c r="AS151" i="2" s="1"/>
  <c r="AP304" i="2"/>
  <c r="AS304" i="2" s="1"/>
  <c r="AP417" i="2"/>
  <c r="AS417" i="2" s="1"/>
  <c r="AP114" i="2"/>
  <c r="AS114" i="2" s="1"/>
  <c r="AP553" i="2"/>
  <c r="AS553" i="2" s="1"/>
  <c r="AP392" i="2"/>
  <c r="AS392" i="2" s="1"/>
  <c r="AP214" i="2"/>
  <c r="AS214" i="2" s="1"/>
  <c r="AP187" i="2"/>
  <c r="AS187" i="2" s="1"/>
  <c r="AP78" i="2"/>
  <c r="AS78" i="2" s="1"/>
  <c r="AP426" i="2"/>
  <c r="AS426" i="2" s="1"/>
  <c r="AP593" i="2"/>
  <c r="AS593" i="2" s="1"/>
  <c r="AP510" i="2"/>
  <c r="AS510" i="2" s="1"/>
  <c r="AP531" i="2"/>
  <c r="AS531" i="2" s="1"/>
  <c r="AP598" i="2"/>
  <c r="AS598" i="2" s="1"/>
  <c r="AP134" i="2"/>
  <c r="AS134" i="2" s="1"/>
  <c r="AP311" i="2"/>
  <c r="AS311" i="2" s="1"/>
  <c r="AP80" i="2"/>
  <c r="AS80" i="2" s="1"/>
  <c r="AP170" i="2"/>
  <c r="AS170" i="2" s="1"/>
  <c r="AP247" i="2"/>
  <c r="AS247" i="2" s="1"/>
  <c r="AP136" i="2"/>
  <c r="AS136" i="2" s="1"/>
  <c r="AP96" i="2"/>
  <c r="AS96" i="2" s="1"/>
  <c r="AP336" i="2"/>
  <c r="AS336" i="2" s="1"/>
  <c r="AP176" i="2"/>
  <c r="AS176" i="2" s="1"/>
  <c r="AP649" i="2"/>
  <c r="AS649" i="2" s="1"/>
  <c r="AP347" i="2"/>
  <c r="AS347" i="2" s="1"/>
  <c r="AP511" i="2"/>
  <c r="AS511" i="2" s="1"/>
  <c r="AP61" i="2"/>
  <c r="AS61" i="2" s="1"/>
  <c r="AP281" i="2"/>
  <c r="AS281" i="2" s="1"/>
  <c r="AP76" i="2"/>
  <c r="AS76" i="2" s="1"/>
  <c r="AP161" i="2"/>
  <c r="AS161" i="2" s="1"/>
  <c r="AP420" i="2"/>
  <c r="AS420" i="2" s="1"/>
  <c r="AP526" i="2"/>
  <c r="AS526" i="2" s="1"/>
  <c r="AP551" i="2"/>
  <c r="AS551" i="2" s="1"/>
  <c r="AP465" i="2"/>
  <c r="AS465" i="2" s="1"/>
  <c r="AP283" i="2"/>
  <c r="AS283" i="2" s="1"/>
  <c r="AP679" i="2"/>
  <c r="AS679" i="2" s="1"/>
  <c r="AP203" i="2"/>
  <c r="AS203" i="2" s="1"/>
  <c r="AP349" i="2"/>
  <c r="AS349" i="2" s="1"/>
  <c r="AP195" i="2"/>
  <c r="AS195" i="2" s="1"/>
  <c r="AP409" i="2"/>
  <c r="AS409" i="2" s="1"/>
  <c r="AP307" i="2"/>
  <c r="AS307" i="2" s="1"/>
  <c r="AP427" i="2"/>
  <c r="AS427" i="2" s="1"/>
  <c r="AP469" i="2"/>
  <c r="AS469" i="2" s="1"/>
  <c r="AP242" i="2"/>
  <c r="AS242" i="2" s="1"/>
  <c r="AP263" i="2"/>
  <c r="AS263" i="2" s="1"/>
  <c r="AP365" i="2"/>
  <c r="AS365" i="2" s="1"/>
  <c r="AP635" i="2"/>
  <c r="AS635" i="2" s="1"/>
  <c r="AP402" i="2"/>
  <c r="AS402" i="2" s="1"/>
  <c r="AP34" i="2"/>
  <c r="AS34" i="2" s="1"/>
  <c r="AP697" i="2"/>
  <c r="AS697" i="2" s="1"/>
  <c r="AP200" i="2"/>
  <c r="AS200" i="2" s="1"/>
  <c r="AP52" i="2"/>
  <c r="AS52" i="2" s="1"/>
  <c r="AP518" i="2"/>
  <c r="AS518" i="2" s="1"/>
  <c r="AP326" i="2"/>
  <c r="AS326" i="2" s="1"/>
  <c r="AP684" i="2"/>
  <c r="AS684" i="2" s="1"/>
  <c r="AP6" i="2"/>
  <c r="AS6" i="2" s="1"/>
  <c r="AP353" i="2"/>
  <c r="AS353" i="2" s="1"/>
  <c r="AP305" i="2"/>
  <c r="AS305" i="2" s="1"/>
  <c r="AP508" i="2"/>
  <c r="AS508" i="2" s="1"/>
  <c r="AP597" i="2"/>
  <c r="AS597" i="2" s="1"/>
  <c r="AP445" i="2"/>
  <c r="AS445" i="2" s="1"/>
  <c r="AP221" i="2"/>
  <c r="AS221" i="2" s="1"/>
  <c r="AP144" i="2"/>
  <c r="AS144" i="2" s="1"/>
  <c r="AP592" i="2"/>
  <c r="AS592" i="2" s="1"/>
  <c r="AP128" i="2"/>
  <c r="AS128" i="2" s="1"/>
  <c r="AP206" i="2"/>
  <c r="AS206" i="2" s="1"/>
  <c r="AP267" i="2"/>
  <c r="AS267" i="2" s="1"/>
  <c r="AP564" i="2"/>
  <c r="AS564" i="2" s="1"/>
  <c r="AP286" i="2"/>
  <c r="AS286" i="2" s="1"/>
  <c r="AP688" i="2"/>
  <c r="AS688" i="2" s="1"/>
  <c r="AP89" i="2"/>
  <c r="AS89" i="2" s="1"/>
  <c r="AP224" i="2"/>
  <c r="AS224" i="2" s="1"/>
  <c r="AP618" i="2"/>
  <c r="AS618" i="2" s="1"/>
  <c r="AP26" i="2"/>
  <c r="AS26" i="2" s="1"/>
  <c r="AP566" i="2"/>
  <c r="AS566" i="2" s="1"/>
  <c r="AP288" i="2"/>
  <c r="AS288" i="2" s="1"/>
  <c r="AP180" i="2"/>
  <c r="AS180" i="2" s="1"/>
  <c r="AP333" i="2"/>
  <c r="AS333" i="2" s="1"/>
  <c r="AP386" i="2"/>
  <c r="AS386" i="2" s="1"/>
  <c r="AP249" i="2"/>
  <c r="AS249" i="2" s="1"/>
  <c r="AP25" i="2"/>
  <c r="AS25" i="2" s="1"/>
  <c r="AP243" i="2"/>
  <c r="AS243" i="2" s="1"/>
  <c r="AP272" i="2"/>
  <c r="AS272" i="2" s="1"/>
  <c r="AP468" i="2"/>
  <c r="AS468" i="2" s="1"/>
  <c r="AP82" i="2"/>
  <c r="AS82" i="2" s="1"/>
  <c r="AP297" i="2"/>
  <c r="AS297" i="2" s="1"/>
  <c r="AP517" i="2"/>
  <c r="AS517" i="2" s="1"/>
  <c r="AP264" i="2"/>
  <c r="AS264" i="2" s="1"/>
  <c r="AP88" i="2"/>
  <c r="AS88" i="2" s="1"/>
  <c r="AP569" i="2"/>
  <c r="AS569" i="2" s="1"/>
  <c r="AP361" i="2"/>
  <c r="AS361" i="2" s="1"/>
  <c r="AP253" i="2"/>
  <c r="AS253" i="2" s="1"/>
  <c r="AP93" i="2"/>
  <c r="AS93" i="2" s="1"/>
  <c r="AP111" i="2"/>
  <c r="AS111" i="2" s="1"/>
  <c r="AP633" i="2"/>
  <c r="AS633" i="2" s="1"/>
  <c r="AP613" i="2"/>
  <c r="AS613" i="2" s="1"/>
  <c r="AP595" i="2"/>
  <c r="AS595" i="2" s="1"/>
  <c r="AP234" i="2"/>
  <c r="AS234" i="2" s="1"/>
  <c r="AP289" i="2"/>
  <c r="AS289" i="2" s="1"/>
  <c r="AP17" i="2"/>
  <c r="AS17" i="2" s="1"/>
  <c r="AP198" i="2"/>
  <c r="AS198" i="2" s="1"/>
  <c r="AP346" i="2"/>
  <c r="AS346" i="2" s="1"/>
  <c r="AP480" i="2"/>
  <c r="AS480" i="2" s="1"/>
  <c r="AP401" i="2"/>
  <c r="AS401" i="2" s="1"/>
  <c r="AP539" i="2"/>
  <c r="AS539" i="2" s="1"/>
  <c r="AP681" i="2"/>
  <c r="AS681" i="2" s="1"/>
  <c r="AP27" i="2"/>
  <c r="AS27" i="2" s="1"/>
  <c r="AP479" i="2"/>
  <c r="AS479" i="2" s="1"/>
  <c r="AP440" i="2"/>
  <c r="AS440" i="2" s="1"/>
  <c r="AP642" i="2"/>
  <c r="AS642" i="2" s="1"/>
  <c r="AP686" i="2"/>
  <c r="AS686" i="2" s="1"/>
  <c r="AP435" i="2"/>
  <c r="AS435" i="2" s="1"/>
  <c r="AP384" i="2"/>
  <c r="AS384" i="2" s="1"/>
  <c r="AP439" i="2"/>
  <c r="AS439" i="2" s="1"/>
  <c r="AP363" i="2"/>
  <c r="AS363" i="2" s="1"/>
  <c r="AP123" i="2"/>
  <c r="AS123" i="2" s="1"/>
  <c r="AP306" i="2"/>
  <c r="AS306" i="2" s="1"/>
  <c r="AP196" i="2"/>
  <c r="AS196" i="2" s="1"/>
  <c r="AP74" i="2"/>
  <c r="AS74" i="2" s="1"/>
  <c r="AP165" i="2"/>
  <c r="AS165" i="2" s="1"/>
  <c r="AP106" i="2"/>
  <c r="AS106" i="2" s="1"/>
  <c r="AP77" i="2"/>
  <c r="AS77" i="2" s="1"/>
  <c r="AP364" i="2"/>
  <c r="AS364" i="2" s="1"/>
  <c r="AP229" i="2"/>
  <c r="AS229" i="2" s="1"/>
  <c r="AP345" i="2"/>
  <c r="AS345" i="2" s="1"/>
  <c r="AP320" i="2"/>
  <c r="AS320" i="2" s="1"/>
  <c r="AP701" i="2"/>
  <c r="AS701" i="2" s="1"/>
  <c r="AP262" i="2"/>
  <c r="AS262" i="2" s="1"/>
  <c r="AP448" i="2"/>
  <c r="AS448" i="2" s="1"/>
  <c r="AP257" i="2"/>
  <c r="AS257" i="2" s="1"/>
  <c r="AP571" i="2"/>
  <c r="AS571" i="2" s="1"/>
  <c r="AP467" i="2"/>
  <c r="AS467" i="2" s="1"/>
  <c r="AP406" i="2"/>
  <c r="AS406" i="2" s="1"/>
  <c r="AP567" i="2"/>
  <c r="AS567" i="2" s="1"/>
  <c r="AP259" i="2"/>
  <c r="AS259" i="2" s="1"/>
  <c r="AP711" i="2"/>
  <c r="AS711" i="2" s="1"/>
  <c r="AP472" i="2"/>
  <c r="AS472" i="2" s="1"/>
  <c r="AP148" i="2"/>
  <c r="AS148" i="2" s="1"/>
  <c r="AP451" i="2"/>
  <c r="AS451" i="2" s="1"/>
  <c r="AP486" i="2"/>
  <c r="AS486" i="2" s="1"/>
  <c r="AP173" i="2"/>
  <c r="AS173" i="2" s="1"/>
  <c r="AP266" i="2"/>
  <c r="AS266" i="2" s="1"/>
  <c r="AP287" i="2"/>
  <c r="AS287" i="2" s="1"/>
  <c r="AP557" i="2"/>
  <c r="AS557" i="2" s="1"/>
  <c r="AP583" i="2"/>
  <c r="AS583" i="2" s="1"/>
  <c r="AP145" i="2"/>
  <c r="AS145" i="2" s="1"/>
  <c r="AP158" i="2"/>
  <c r="AS158" i="2" s="1"/>
  <c r="AP239" i="2"/>
  <c r="AS239" i="2" s="1"/>
  <c r="AP404" i="2"/>
  <c r="AS404" i="2" s="1"/>
  <c r="AP612" i="2"/>
  <c r="AS612" i="2" s="1"/>
  <c r="AP270" i="2"/>
  <c r="AS270" i="2" s="1"/>
  <c r="AP50" i="2"/>
  <c r="AS50" i="2" s="1"/>
  <c r="AP244" i="2"/>
  <c r="AS244" i="2" s="1"/>
  <c r="AP8" i="2"/>
  <c r="AS8" i="2" s="1"/>
  <c r="AP616" i="2"/>
  <c r="AS616" i="2" s="1"/>
  <c r="AP693" i="2"/>
  <c r="AS693" i="2" s="1"/>
  <c r="AP492" i="2"/>
  <c r="AS492" i="2" s="1"/>
  <c r="AP194" i="2"/>
  <c r="AS194" i="2" s="1"/>
  <c r="AP293" i="2"/>
  <c r="AS293" i="2" s="1"/>
  <c r="AP35" i="2"/>
  <c r="AS35" i="2" s="1"/>
  <c r="AP308" i="2"/>
  <c r="AS308" i="2" s="1"/>
  <c r="AP506" i="2"/>
  <c r="AS506" i="2" s="1"/>
  <c r="AP706" i="2"/>
  <c r="AS706" i="2" s="1"/>
  <c r="AP685" i="2"/>
  <c r="AS685" i="2" s="1"/>
  <c r="AP515" i="2"/>
  <c r="AS515" i="2" s="1"/>
  <c r="AP410" i="2"/>
  <c r="AS410" i="2" s="1"/>
  <c r="AP159" i="2"/>
  <c r="AS159" i="2" s="1"/>
  <c r="AP707" i="2"/>
  <c r="AS707" i="2" s="1"/>
  <c r="AP646" i="2"/>
  <c r="AS646" i="2" s="1"/>
  <c r="AP601" i="2"/>
  <c r="AS601" i="2" s="1"/>
  <c r="AP670" i="2"/>
  <c r="AS670" i="2" s="1"/>
  <c r="AP129" i="2"/>
  <c r="AS129" i="2" s="1"/>
  <c r="AP67" i="2"/>
  <c r="AS67" i="2" s="1"/>
  <c r="AP138" i="2"/>
  <c r="AS138" i="2" s="1"/>
  <c r="AP70" i="2"/>
  <c r="AS70" i="2" s="1"/>
  <c r="AP64" i="2"/>
  <c r="AS64" i="2" s="1"/>
  <c r="AP261" i="2"/>
  <c r="AS261" i="2" s="1"/>
  <c r="AP605" i="2"/>
  <c r="AS605" i="2" s="1"/>
  <c r="AP331" i="2"/>
  <c r="AS331" i="2" s="1"/>
  <c r="AP33" i="2"/>
  <c r="AS33" i="2" s="1"/>
  <c r="AP359" i="2"/>
  <c r="AS359" i="2" s="1"/>
  <c r="AP45" i="2"/>
  <c r="AS45" i="2" s="1"/>
  <c r="AP91" i="2"/>
  <c r="AS91" i="2" s="1"/>
  <c r="AP504" i="2"/>
  <c r="AS504" i="2" s="1"/>
  <c r="AP343" i="2"/>
  <c r="AS343" i="2" s="1"/>
  <c r="AP169" i="2"/>
  <c r="AS169" i="2" s="1"/>
  <c r="AP376" i="2"/>
  <c r="AS376" i="2" s="1"/>
  <c r="AP268" i="2"/>
  <c r="AS268" i="2" s="1"/>
  <c r="AP667" i="2"/>
  <c r="AS667" i="2" s="1"/>
  <c r="AP513" i="2"/>
  <c r="AS513" i="2" s="1"/>
  <c r="AP550" i="2"/>
  <c r="AS550" i="2" s="1"/>
  <c r="AP698" i="2"/>
  <c r="AS698" i="2" s="1"/>
  <c r="AP130" i="2"/>
  <c r="AS130" i="2" s="1"/>
  <c r="AP280" i="2"/>
  <c r="AS280" i="2" s="1"/>
  <c r="AP227" i="2"/>
  <c r="AS227" i="2" s="1"/>
  <c r="AP656" i="2"/>
  <c r="AS656" i="2" s="1"/>
  <c r="AP235" i="2"/>
  <c r="AS235" i="2" s="1"/>
  <c r="AP487" i="2"/>
  <c r="AS487" i="2" s="1"/>
  <c r="AP325" i="2"/>
  <c r="AS325" i="2" s="1"/>
  <c r="AP683" i="2"/>
  <c r="AS683" i="2" s="1"/>
  <c r="AP621" i="2"/>
  <c r="AS621" i="2" s="1"/>
  <c r="AP475" i="2"/>
  <c r="AS475" i="2" s="1"/>
  <c r="AP4" i="2"/>
  <c r="AS4" i="2" s="1"/>
  <c r="AP436" i="2"/>
  <c r="AS436" i="2" s="1"/>
  <c r="AP213" i="2"/>
  <c r="AS213" i="2" s="1"/>
  <c r="AP223" i="2"/>
  <c r="AS223" i="2" s="1"/>
  <c r="AP438" i="2"/>
  <c r="AS438" i="2" s="1"/>
  <c r="AP226" i="2"/>
  <c r="AS226" i="2" s="1"/>
  <c r="AP444" i="2"/>
  <c r="AS444" i="2" s="1"/>
  <c r="AP554" i="2"/>
  <c r="AS554" i="2" s="1"/>
  <c r="AP113" i="2"/>
  <c r="AS113" i="2" s="1"/>
  <c r="AP251" i="2"/>
  <c r="AS251" i="2" s="1"/>
  <c r="AP638" i="2"/>
  <c r="AS638" i="2" s="1"/>
  <c r="AP193" i="2"/>
  <c r="AS193" i="2" s="1"/>
  <c r="AP44" i="2"/>
  <c r="AS44" i="2" s="1"/>
  <c r="AP184" i="2"/>
  <c r="AS184" i="2" s="1"/>
  <c r="AP651" i="2"/>
  <c r="AS651" i="2" s="1"/>
  <c r="AP379" i="2"/>
  <c r="AS379" i="2" s="1"/>
  <c r="AP69" i="2"/>
  <c r="AS69" i="2" s="1"/>
  <c r="AP385" i="2"/>
  <c r="AS385" i="2" s="1"/>
  <c r="AP208" i="2"/>
  <c r="AS208" i="2" s="1"/>
  <c r="AP14" i="2"/>
  <c r="AS14" i="2" s="1"/>
  <c r="AP183" i="2"/>
  <c r="AS183" i="2" s="1"/>
  <c r="AP316" i="2"/>
  <c r="AS316" i="2" s="1"/>
  <c r="AP192" i="2"/>
  <c r="AS192" i="2" s="1"/>
  <c r="AP380" i="2"/>
  <c r="AS380" i="2" s="1"/>
  <c r="AP103" i="2"/>
  <c r="AS103" i="2" s="1"/>
  <c r="AP360" i="2"/>
  <c r="AS360" i="2" s="1"/>
  <c r="AP43" i="2"/>
  <c r="AS43" i="2" s="1"/>
  <c r="AP19" i="2"/>
  <c r="AS19" i="2" s="1"/>
  <c r="AP582" i="2"/>
  <c r="AS582" i="2" s="1"/>
  <c r="AP84" i="2"/>
  <c r="AS84" i="2" s="1"/>
  <c r="AP607" i="2"/>
  <c r="AS607" i="2" s="1"/>
  <c r="AP516" i="2"/>
  <c r="AS516" i="2" s="1"/>
  <c r="AP543" i="2"/>
  <c r="AS543" i="2" s="1"/>
  <c r="AP658" i="2"/>
  <c r="AS658" i="2" s="1"/>
  <c r="AP231" i="2"/>
  <c r="AS231" i="2" s="1"/>
  <c r="AP639" i="2"/>
  <c r="AS639" i="2" s="1"/>
  <c r="AP62" i="2"/>
  <c r="AS62" i="2" s="1"/>
  <c r="AP396" i="2"/>
  <c r="AS396" i="2" s="1"/>
  <c r="AP254" i="2"/>
  <c r="AS254" i="2" s="1"/>
  <c r="AP450" i="2"/>
  <c r="AS450" i="2" s="1"/>
  <c r="AP58" i="2"/>
  <c r="AS58" i="2" s="1"/>
  <c r="AP709" i="2"/>
  <c r="AS709" i="2" s="1"/>
  <c r="AP505" i="2"/>
  <c r="AS505" i="2" s="1"/>
  <c r="AP538" i="2"/>
  <c r="AS538" i="2" s="1"/>
  <c r="AP29" i="2"/>
  <c r="AS29" i="2" s="1"/>
  <c r="AP600" i="2"/>
  <c r="AS600" i="2" s="1"/>
  <c r="AP269" i="2"/>
  <c r="AS269" i="2" s="1"/>
  <c r="AP549" i="2"/>
  <c r="AS549" i="2" s="1"/>
  <c r="AP696" i="2"/>
  <c r="AS696" i="2" s="1"/>
  <c r="AP282" i="2"/>
  <c r="AS282" i="2" s="1"/>
  <c r="AP47" i="2"/>
  <c r="AS47" i="2" s="1"/>
  <c r="AP131" i="2"/>
  <c r="AS131" i="2" s="1"/>
  <c r="AP464" i="2"/>
  <c r="AS464" i="2" s="1"/>
  <c r="AP302" i="2"/>
  <c r="AS302" i="2" s="1"/>
  <c r="AP473" i="2"/>
  <c r="AS473" i="2" s="1"/>
  <c r="AP455" i="2"/>
  <c r="AS455" i="2" s="1"/>
  <c r="AP38" i="2"/>
  <c r="AS38" i="2" s="1"/>
  <c r="AP72" i="2"/>
  <c r="AS72" i="2" s="1"/>
  <c r="AP146" i="2"/>
  <c r="AS146" i="2" s="1"/>
  <c r="AP413" i="2"/>
  <c r="AS413" i="2" s="1"/>
  <c r="AP63" i="2"/>
  <c r="AS63" i="2" s="1"/>
  <c r="AP284" i="2"/>
  <c r="AS284" i="2" s="1"/>
  <c r="AP374" i="2"/>
  <c r="AS374" i="2" s="1"/>
  <c r="AP535" i="2"/>
  <c r="AS535" i="2" s="1"/>
  <c r="AP503" i="2"/>
  <c r="AS503" i="2" s="1"/>
  <c r="AP342" i="2"/>
  <c r="AS342" i="2" s="1"/>
  <c r="AP42" i="2"/>
  <c r="AS42" i="2" s="1"/>
  <c r="AP447" i="2"/>
  <c r="AS447" i="2" s="1"/>
  <c r="AP457" i="2"/>
  <c r="AS457" i="2" s="1"/>
  <c r="AP622" i="2"/>
  <c r="AS622" i="2" s="1"/>
  <c r="AP99" i="2"/>
  <c r="AS99" i="2" s="1"/>
  <c r="AP416" i="2"/>
  <c r="AS416" i="2" s="1"/>
  <c r="AP594" i="2"/>
  <c r="AS594" i="2" s="1"/>
  <c r="AP579" i="2"/>
  <c r="AS579" i="2" s="1"/>
  <c r="AP415" i="2"/>
  <c r="AS415" i="2" s="1"/>
  <c r="AP186" i="2"/>
  <c r="AS186" i="2" s="1"/>
  <c r="AP205" i="2"/>
  <c r="AS205" i="2" s="1"/>
  <c r="AP421" i="2"/>
  <c r="AS421" i="2" s="1"/>
  <c r="AP692" i="2"/>
  <c r="AS692" i="2" s="1"/>
  <c r="AP92" i="2"/>
  <c r="AS92" i="2" s="1"/>
  <c r="AP155" i="2"/>
  <c r="AS155" i="2" s="1"/>
  <c r="AP230" i="2"/>
  <c r="AS230" i="2" s="1"/>
  <c r="AP240" i="2"/>
  <c r="AS240" i="2" s="1"/>
  <c r="AP443" i="2"/>
  <c r="AS443" i="2" s="1"/>
  <c r="AP555" i="2"/>
  <c r="AS555" i="2" s="1"/>
  <c r="AP329" i="2"/>
  <c r="AS329" i="2" s="1"/>
  <c r="AP22" i="2"/>
  <c r="AS22" i="2" s="1"/>
  <c r="AP237" i="2"/>
  <c r="AS237" i="2" s="1"/>
  <c r="AP542" i="2"/>
  <c r="AS542" i="2" s="1"/>
  <c r="AP708" i="2"/>
  <c r="AS708" i="2" s="1"/>
  <c r="AP49" i="2"/>
  <c r="AS49" i="2" s="1"/>
  <c r="AP313" i="2"/>
  <c r="AS313" i="2" s="1"/>
  <c r="AP371" i="2"/>
  <c r="AS371" i="2" s="1"/>
  <c r="AP18" i="2"/>
  <c r="AS18" i="2" s="1"/>
  <c r="AP335" i="2"/>
  <c r="AS335" i="2" s="1"/>
  <c r="AP691" i="2"/>
  <c r="AS691" i="2" s="1"/>
  <c r="AP260" i="2"/>
  <c r="AS260" i="2" s="1"/>
  <c r="AP66" i="2"/>
  <c r="AS66" i="2" s="1"/>
  <c r="AP137" i="2"/>
  <c r="AS137" i="2" s="1"/>
  <c r="AP676" i="2"/>
  <c r="AS676" i="2" s="1"/>
  <c r="AP201" i="2"/>
  <c r="AS201" i="2" s="1"/>
  <c r="AP575" i="2"/>
  <c r="AS575" i="2" s="1"/>
  <c r="AP241" i="2"/>
  <c r="AS241" i="2" s="1"/>
  <c r="AP407" i="2"/>
  <c r="AS407" i="2" s="1"/>
  <c r="AP127" i="2"/>
  <c r="AS127" i="2" s="1"/>
  <c r="AP500" i="2"/>
  <c r="AS500" i="2" s="1"/>
  <c r="AP672" i="2"/>
  <c r="AS672" i="2" s="1"/>
  <c r="AP95" i="2"/>
  <c r="AS95" i="2" s="1"/>
  <c r="AP689" i="2"/>
  <c r="AS689" i="2" s="1"/>
  <c r="AP271" i="2"/>
  <c r="AS271" i="2" s="1"/>
  <c r="AP682" i="2"/>
  <c r="AS682" i="2" s="1"/>
  <c r="AP529" i="2"/>
  <c r="AS529" i="2" s="1"/>
  <c r="AS3" i="2"/>
  <c r="AP152" i="2"/>
  <c r="AS152" i="2" s="1"/>
  <c r="AP687" i="2"/>
  <c r="AS687" i="2" s="1"/>
  <c r="AP115" i="2"/>
  <c r="AS115" i="2" s="1"/>
  <c r="AP393" i="2"/>
  <c r="AS393" i="2" s="1"/>
  <c r="AP85" i="2"/>
  <c r="AS85" i="2" s="1"/>
  <c r="AP222" i="2"/>
  <c r="AS222" i="2" s="1"/>
  <c r="AP23" i="2"/>
  <c r="AS23" i="2" s="1"/>
  <c r="AP452" i="2"/>
  <c r="AS452" i="2" s="1"/>
  <c r="AP614" i="2"/>
  <c r="AS614" i="2" s="1"/>
  <c r="AP75" i="2"/>
  <c r="AS75" i="2" s="1"/>
  <c r="AP532" i="2"/>
  <c r="AS532" i="2" s="1"/>
  <c r="AP424" i="2"/>
  <c r="AS424" i="2" s="1"/>
  <c r="AP666" i="2"/>
  <c r="AS666" i="2" s="1"/>
  <c r="AP228" i="2"/>
  <c r="AS228" i="2" s="1"/>
  <c r="AP640" i="2"/>
  <c r="AS640" i="2" s="1"/>
  <c r="AP55" i="2"/>
  <c r="AS55" i="2" s="1"/>
  <c r="AP599" i="2"/>
  <c r="AS599" i="2" s="1"/>
  <c r="AP319" i="2"/>
  <c r="AS319" i="2" s="1"/>
  <c r="AP590" i="2"/>
  <c r="AS590" i="2" s="1"/>
  <c r="AP606" i="2"/>
  <c r="AS606" i="2" s="1"/>
  <c r="AP185" i="2"/>
  <c r="AS185" i="2" s="1"/>
  <c r="AP178" i="2"/>
  <c r="AS178" i="2" s="1"/>
  <c r="AP573" i="2"/>
  <c r="AS573" i="2" s="1"/>
  <c r="AP704" i="2"/>
  <c r="AS704" i="2" s="1"/>
  <c r="AP627" i="2"/>
  <c r="AS627" i="2" s="1"/>
  <c r="AP466" i="2"/>
  <c r="AS466" i="2" s="1"/>
  <c r="AP56" i="2"/>
  <c r="AS56" i="2" s="1"/>
  <c r="AP533" i="2"/>
  <c r="AS533" i="2" s="1"/>
  <c r="AP362" i="2"/>
  <c r="AS362" i="2" s="1"/>
  <c r="AT313" i="2" l="1"/>
  <c r="AT569" i="2"/>
  <c r="AT708" i="2"/>
  <c r="AT651" i="2"/>
  <c r="AT575" i="2"/>
  <c r="AT17" i="2"/>
  <c r="AT617" i="2"/>
  <c r="AT473" i="2"/>
  <c r="AT264" i="2"/>
  <c r="AT41" i="2"/>
  <c r="AT186" i="2"/>
  <c r="AT223" i="2"/>
  <c r="AT45" i="2"/>
  <c r="AT306" i="2"/>
  <c r="AT455" i="2"/>
  <c r="AT187" i="2"/>
  <c r="AT86" i="2"/>
  <c r="AT189" i="2"/>
  <c r="AT296" i="2"/>
  <c r="AT627" i="2"/>
  <c r="AT666" i="2"/>
  <c r="AT421" i="2"/>
  <c r="AT302" i="2"/>
  <c r="AT709" i="2"/>
  <c r="AT560" i="2"/>
  <c r="AT504" i="2"/>
  <c r="AT596" i="2"/>
  <c r="AT704" i="2"/>
  <c r="AT201" i="2"/>
  <c r="AT503" i="2"/>
  <c r="AT464" i="2"/>
  <c r="AT91" i="2"/>
  <c r="AT535" i="2"/>
  <c r="AT19" i="2"/>
  <c r="AT75" i="2"/>
  <c r="AT682" i="2"/>
  <c r="AT254" i="2"/>
  <c r="AT213" i="2"/>
  <c r="AT130" i="2"/>
  <c r="AT34" i="2"/>
  <c r="AT564" i="2"/>
  <c r="AT494" i="2"/>
  <c r="AT322" i="2"/>
  <c r="AT342" i="2"/>
  <c r="AT656" i="2"/>
  <c r="AT116" i="2"/>
  <c r="AT307" i="2"/>
  <c r="AT676" i="2"/>
  <c r="AT127" i="2"/>
  <c r="AT349" i="2"/>
  <c r="AT371" i="2"/>
  <c r="AT523" i="2"/>
  <c r="AT424" i="2"/>
  <c r="AT58" i="2"/>
  <c r="AT246" i="2"/>
  <c r="AT38" i="2"/>
  <c r="AT423" i="2"/>
  <c r="AT448" i="2"/>
  <c r="AT268" i="2"/>
  <c r="AT557" i="2"/>
  <c r="AT383" i="2"/>
  <c r="AT536" i="2"/>
  <c r="AT518" i="2"/>
  <c r="AT532" i="2"/>
  <c r="AT280" i="2"/>
  <c r="AT571" i="2"/>
  <c r="AT26" i="2"/>
  <c r="AT70" i="2"/>
  <c r="AT574" i="2"/>
  <c r="AT90" i="2"/>
  <c r="AT134" i="2"/>
  <c r="AT384" i="2"/>
  <c r="AT618" i="2"/>
  <c r="AT65" i="2"/>
  <c r="AT178" i="2"/>
  <c r="AT374" i="2"/>
  <c r="AT43" i="2"/>
  <c r="AT359" i="2"/>
  <c r="AT605" i="2"/>
  <c r="AT639" i="2"/>
  <c r="AT311" i="2"/>
  <c r="AT624" i="2"/>
  <c r="AT50" i="2"/>
  <c r="AT572" i="2"/>
  <c r="AT365" i="2"/>
  <c r="AT375" i="2"/>
  <c r="AT271" i="2"/>
  <c r="AT284" i="2"/>
  <c r="AT396" i="2"/>
  <c r="AT14" i="2"/>
  <c r="AT410" i="2"/>
  <c r="AT281" i="2"/>
  <c r="AT16" i="2"/>
  <c r="AT155" i="2"/>
  <c r="AT220" i="2"/>
  <c r="AT452" i="2"/>
  <c r="AT594" i="2"/>
  <c r="AT358" i="2"/>
  <c r="AT508" i="2"/>
  <c r="AT459" i="2"/>
  <c r="AT409" i="2"/>
  <c r="AT230" i="2"/>
  <c r="AT163" i="2"/>
  <c r="AT96" i="2"/>
  <c r="AT549" i="2"/>
  <c r="AT193" i="2"/>
  <c r="AT576" i="2"/>
  <c r="AT470" i="2"/>
  <c r="AT238" i="2"/>
  <c r="AT565" i="2"/>
  <c r="AT272" i="2"/>
  <c r="AT335" i="2"/>
  <c r="AT231" i="2"/>
  <c r="AT261" i="2"/>
  <c r="AT567" i="2"/>
  <c r="AT253" i="2"/>
  <c r="AT30" i="2"/>
  <c r="AT49" i="2"/>
  <c r="AT27" i="2"/>
  <c r="AT310" i="2"/>
  <c r="AT390" i="2"/>
  <c r="AT84" i="2"/>
  <c r="AT251" i="2"/>
  <c r="AT611" i="2"/>
  <c r="AT600" i="2"/>
  <c r="AT643" i="2"/>
  <c r="AT6" i="2"/>
  <c r="AT677" i="2"/>
  <c r="AT351" i="2"/>
  <c r="AT23" i="2"/>
  <c r="AT616" i="2"/>
  <c r="AT634" i="2"/>
  <c r="AT660" i="2"/>
  <c r="AT498" i="2"/>
  <c r="AT620" i="2"/>
  <c r="AT154" i="2"/>
  <c r="AT419" i="2"/>
  <c r="AT304" i="2"/>
  <c r="AT278" i="2"/>
  <c r="AT533" i="2"/>
  <c r="AT226" i="2"/>
  <c r="AT347" i="2"/>
  <c r="AT435" i="2"/>
  <c r="AT689" i="2"/>
  <c r="AT135" i="2"/>
  <c r="AT610" i="2"/>
  <c r="AT449" i="2"/>
  <c r="AT82" i="2"/>
  <c r="AT88" i="2"/>
  <c r="AT603" i="2"/>
  <c r="AT693" i="2"/>
  <c r="AT645" i="2"/>
  <c r="AT300" i="2"/>
  <c r="AT236" i="2"/>
  <c r="AT490" i="2"/>
  <c r="AT77" i="2"/>
  <c r="AT702" i="2"/>
  <c r="AT382" i="2"/>
  <c r="AT97" i="2"/>
  <c r="AT394" i="2"/>
  <c r="AT120" i="2"/>
  <c r="AT348" i="2"/>
  <c r="AT71" i="2"/>
  <c r="AT641" i="2"/>
  <c r="AT133" i="2"/>
  <c r="AT591" i="2"/>
  <c r="AT525" i="2"/>
  <c r="AT445" i="2"/>
  <c r="AT481" i="2"/>
  <c r="AT441" i="2"/>
  <c r="AT389" i="2"/>
  <c r="AT417" i="2"/>
  <c r="AT710" i="2"/>
  <c r="AT647" i="2"/>
  <c r="AT107" i="2"/>
  <c r="AT326" i="2"/>
  <c r="AT492" i="2"/>
  <c r="AT104" i="2"/>
  <c r="AT516" i="2"/>
  <c r="AT566" i="2"/>
  <c r="AT289" i="2"/>
  <c r="AT540" i="2"/>
  <c r="AT562" i="2"/>
  <c r="AT241" i="2"/>
  <c r="AT563" i="2"/>
  <c r="AT249" i="2"/>
  <c r="AT366" i="2"/>
  <c r="AT659" i="2"/>
  <c r="AT239" i="2"/>
  <c r="AT522" i="2"/>
  <c r="AT202" i="2"/>
  <c r="AT556" i="2"/>
  <c r="AT198" i="2"/>
  <c r="AT462" i="2"/>
  <c r="AT277" i="2"/>
  <c r="AT456" i="2"/>
  <c r="AT512" i="2"/>
  <c r="AT183" i="2"/>
  <c r="AT568" i="2"/>
  <c r="AT168" i="2"/>
  <c r="AT598" i="2"/>
  <c r="AT315" i="2"/>
  <c r="AT324" i="2"/>
  <c r="AT196" i="2"/>
  <c r="AT153" i="2"/>
  <c r="AT40" i="2"/>
  <c r="AT250" i="2"/>
  <c r="AT480" i="2"/>
  <c r="AT29" i="2"/>
  <c r="AT51" i="2"/>
  <c r="AT615" i="2"/>
  <c r="AT437" i="2"/>
  <c r="AT427" i="2"/>
  <c r="AT538" i="2"/>
  <c r="AT287" i="2"/>
  <c r="AT486" i="2"/>
  <c r="AT57" i="2"/>
  <c r="AT668" i="2"/>
  <c r="AT197" i="2"/>
  <c r="AT510" i="2"/>
  <c r="AT341" i="2"/>
  <c r="AT587" i="2"/>
  <c r="AT552" i="2"/>
  <c r="AT175" i="2"/>
  <c r="AT123" i="2"/>
  <c r="AT683" i="2"/>
  <c r="AT200" i="2"/>
  <c r="AT78" i="2"/>
  <c r="AT649" i="2"/>
  <c r="AT309" i="2"/>
  <c r="AT526" i="2"/>
  <c r="AT28" i="2"/>
  <c r="AT527" i="2"/>
  <c r="AT106" i="2"/>
  <c r="AT391" i="2"/>
  <c r="AT55" i="2"/>
  <c r="AT485" i="2"/>
  <c r="AT25" i="2"/>
  <c r="AT265" i="2"/>
  <c r="AT547" i="2"/>
  <c r="AT167" i="2"/>
  <c r="AT661" i="2"/>
  <c r="AT149" i="2"/>
  <c r="AT590" i="2"/>
  <c r="AT93" i="2"/>
  <c r="AT101" i="2"/>
  <c r="AT182" i="2"/>
  <c r="AT484" i="2"/>
  <c r="AT312" i="2"/>
  <c r="AT121" i="2"/>
  <c r="AT381" i="2"/>
  <c r="AT388" i="2"/>
  <c r="AT412" i="2"/>
  <c r="AT685" i="2"/>
  <c r="AT608" i="2"/>
  <c r="AT173" i="2"/>
  <c r="AT119" i="2"/>
  <c r="AT699" i="2"/>
  <c r="AT339" i="2"/>
  <c r="AT514" i="2"/>
  <c r="AT407" i="2"/>
  <c r="AT180" i="2"/>
  <c r="AT74" i="2"/>
  <c r="AT301" i="2"/>
  <c r="AT216" i="2"/>
  <c r="AT688" i="2"/>
  <c r="AT630" i="2"/>
  <c r="AT44" i="2"/>
  <c r="AT589" i="2"/>
  <c r="AT592" i="2"/>
  <c r="AT150" i="2"/>
  <c r="AT509" i="2"/>
  <c r="AT546" i="2"/>
  <c r="AT353" i="2"/>
  <c r="AT705" i="2"/>
  <c r="AT188" i="2"/>
  <c r="AT548" i="2"/>
  <c r="AT61" i="2"/>
  <c r="AT36" i="2"/>
  <c r="AT376" i="2"/>
  <c r="AT454" i="2"/>
  <c r="AT210" i="2"/>
  <c r="AT141" i="2"/>
  <c r="AT10" i="2"/>
  <c r="AT346" i="2"/>
  <c r="AT633" i="2"/>
  <c r="AT89" i="2"/>
  <c r="AT511" i="2"/>
  <c r="AT502" i="2"/>
  <c r="AT151" i="2"/>
  <c r="AT403" i="2"/>
  <c r="AT465" i="2"/>
  <c r="AT314" i="2"/>
  <c r="AT399" i="2"/>
  <c r="AT13" i="2"/>
  <c r="AT687" i="2"/>
  <c r="AT317" i="2"/>
  <c r="AT142" i="2"/>
  <c r="AT298" i="2"/>
  <c r="AT541" i="2"/>
  <c r="AT208" i="2"/>
  <c r="AT122" i="2"/>
  <c r="AT585" i="2"/>
  <c r="AT554" i="2"/>
  <c r="AT496" i="2"/>
  <c r="AT397" i="2"/>
  <c r="AT588" i="2"/>
  <c r="AT650" i="2"/>
  <c r="AT243" i="2"/>
  <c r="AT586" i="2"/>
  <c r="AT345" i="2"/>
  <c r="AT679" i="2"/>
  <c r="AT159" i="2"/>
  <c r="AT221" i="2"/>
  <c r="AT83" i="2"/>
  <c r="AT545" i="2"/>
  <c r="AT139" i="2"/>
  <c r="AT430" i="2"/>
  <c r="AT21" i="2"/>
  <c r="AT140" i="2"/>
  <c r="AT9" i="2"/>
  <c r="AT491" i="2"/>
  <c r="AT652" i="2"/>
  <c r="AT344" i="2"/>
  <c r="AT431" i="2"/>
  <c r="AT263" i="2"/>
  <c r="AT392" i="2"/>
  <c r="AT711" i="2"/>
  <c r="AT256" i="2"/>
  <c r="AT108" i="2"/>
  <c r="AT595" i="2"/>
  <c r="AT623" i="2"/>
  <c r="AT442" i="2"/>
  <c r="AT467" i="2"/>
  <c r="AT664" i="2"/>
  <c r="AT646" i="2"/>
  <c r="AT355" i="2"/>
  <c r="AT190" i="2"/>
  <c r="AT148" i="2"/>
  <c r="AT439" i="2"/>
  <c r="AT124" i="2"/>
  <c r="AT553" i="2"/>
  <c r="AT539" i="2"/>
  <c r="AT446" i="2"/>
  <c r="AT170" i="2"/>
  <c r="AT534" i="2"/>
  <c r="AT252" i="2"/>
  <c r="AT433" i="2"/>
  <c r="AT466" i="2"/>
  <c r="AT625" i="2"/>
  <c r="AT257" i="2"/>
  <c r="AT60" i="2"/>
  <c r="AT48" i="2"/>
  <c r="AT255" i="2"/>
  <c r="AT113" i="2"/>
  <c r="AT204" i="2"/>
  <c r="AT242" i="2"/>
  <c r="AT318" i="2"/>
  <c r="AT602" i="2"/>
  <c r="AT248" i="2"/>
  <c r="AT460" i="2"/>
  <c r="AT102" i="2"/>
  <c r="AT330" i="2"/>
  <c r="AT194" i="2"/>
  <c r="AT477" i="2"/>
  <c r="AT273" i="2"/>
  <c r="AT328" i="2"/>
  <c r="AT506" i="2"/>
  <c r="AT599" i="2"/>
  <c r="AT640" i="2"/>
  <c r="AT690" i="2"/>
  <c r="AT172" i="2"/>
  <c r="AT325" i="2"/>
  <c r="AT517" i="2"/>
  <c r="AT207" i="2"/>
  <c r="AT46" i="2"/>
  <c r="AT393" i="2"/>
  <c r="AT543" i="2"/>
  <c r="AT443" i="2"/>
  <c r="AT218" i="2"/>
  <c r="AT609" i="2"/>
  <c r="AT299" i="2"/>
  <c r="AT489" i="2"/>
  <c r="AT395" i="2"/>
  <c r="AT357" i="2"/>
  <c r="AT12" i="2"/>
  <c r="AT292" i="2"/>
  <c r="AT487" i="2"/>
  <c r="AT144" i="2"/>
  <c r="AT11" i="2"/>
  <c r="AT662" i="2"/>
  <c r="AT559" i="2"/>
  <c r="AT286" i="2"/>
  <c r="AT555" i="2"/>
  <c r="AT336" i="2"/>
  <c r="AT418" i="2"/>
  <c r="AT521" i="2"/>
  <c r="AT637" i="2"/>
  <c r="AT171" i="2"/>
  <c r="AT478" i="2"/>
  <c r="AT132" i="2"/>
  <c r="AT294" i="2"/>
  <c r="AT295" i="2"/>
  <c r="AT692" i="2"/>
  <c r="AT191" i="2"/>
  <c r="AT458" i="2"/>
  <c r="AT361" i="2"/>
  <c r="AT117" i="2"/>
  <c r="AT68" i="2"/>
  <c r="AT211" i="2"/>
  <c r="AT233" i="2"/>
  <c r="AT212" i="2"/>
  <c r="AT320" i="2"/>
  <c r="AT675" i="2"/>
  <c r="AT451" i="2"/>
  <c r="AT228" i="2"/>
  <c r="AT364" i="2"/>
  <c r="AT653" i="2"/>
  <c r="AT337" i="2"/>
  <c r="AT99" i="2"/>
  <c r="AT215" i="2"/>
  <c r="AT275" i="2"/>
  <c r="AT531" i="2"/>
  <c r="AT245" i="2"/>
  <c r="AT195" i="2"/>
  <c r="AT530" i="2"/>
  <c r="AT453" i="2"/>
  <c r="AT334" i="2"/>
  <c r="AT597" i="2"/>
  <c r="AT181" i="2"/>
  <c r="AT179" i="2"/>
  <c r="AT703" i="2"/>
  <c r="AT279" i="2"/>
  <c r="AT429" i="2"/>
  <c r="AT495" i="2"/>
  <c r="AT520" i="2"/>
  <c r="AT561" i="2"/>
  <c r="AT98" i="2"/>
  <c r="AT632" i="2"/>
  <c r="AT434" i="2"/>
  <c r="AT147" i="2"/>
  <c r="AT684" i="2"/>
  <c r="AT367" i="2"/>
  <c r="AT674" i="2"/>
  <c r="AT73" i="2"/>
  <c r="AT654" i="2"/>
  <c r="AT53" i="2"/>
  <c r="AT87" i="2"/>
  <c r="AT479" i="2"/>
  <c r="AT267" i="2"/>
  <c r="AT474" i="2"/>
  <c r="AT619" i="2"/>
  <c r="AT67" i="2"/>
  <c r="AT524" i="2"/>
  <c r="AT426" i="2"/>
  <c r="AT100" i="2"/>
  <c r="AT373" i="2"/>
  <c r="AT59" i="2"/>
  <c r="AT157" i="2"/>
  <c r="AT203" i="2"/>
  <c r="AT156" i="2"/>
  <c r="AT105" i="2"/>
  <c r="AT219" i="2"/>
  <c r="AT463" i="2"/>
  <c r="AT471" i="2"/>
  <c r="AT488" i="2"/>
  <c r="AT164" i="2"/>
  <c r="AT570" i="2"/>
  <c r="AT378" i="2"/>
  <c r="AT537" i="2"/>
  <c r="AT291" i="2"/>
  <c r="AT368" i="2"/>
  <c r="AT110" i="2"/>
  <c r="AT162" i="2"/>
  <c r="AT316" i="2"/>
  <c r="AT635" i="2"/>
  <c r="AT343" i="2"/>
  <c r="AT648" i="2"/>
  <c r="AT377" i="2"/>
  <c r="AT613" i="2"/>
  <c r="AT356" i="2"/>
  <c r="AT593" i="2"/>
  <c r="AT112" i="2"/>
  <c r="AT15" i="2"/>
  <c r="AT700" i="2"/>
  <c r="AT24" i="2"/>
  <c r="AT400" i="2"/>
  <c r="AT217" i="2"/>
  <c r="AT493" i="2"/>
  <c r="AT515" i="2"/>
  <c r="AT42" i="2"/>
  <c r="AT109" i="2"/>
  <c r="AT288" i="2"/>
  <c r="AT681" i="2"/>
  <c r="AT401" i="2"/>
  <c r="AT266" i="2"/>
  <c r="AT499" i="2"/>
  <c r="AT370" i="2"/>
  <c r="AT37" i="2"/>
  <c r="AT694" i="2"/>
  <c r="AT247" i="2"/>
  <c r="AT483" i="2"/>
  <c r="AT143" i="2"/>
  <c r="AT321" i="2"/>
  <c r="AT224" i="2"/>
  <c r="AT352" i="2"/>
  <c r="AT303" i="2"/>
  <c r="AT461" i="2"/>
  <c r="AT158" i="2"/>
  <c r="AT440" i="2"/>
  <c r="AT583" i="2"/>
  <c r="AT580" i="2"/>
  <c r="AT631" i="2"/>
  <c r="AT327" i="2"/>
  <c r="AT81" i="2"/>
  <c r="AT362" i="2"/>
  <c r="AT422" i="2"/>
  <c r="AT372" i="2"/>
  <c r="AT447" i="2"/>
  <c r="AT331" i="2"/>
  <c r="AT669" i="2"/>
  <c r="AT629" i="2"/>
  <c r="AT323" i="2"/>
  <c r="AT657" i="2"/>
  <c r="AT402" i="2"/>
  <c r="AT80" i="2"/>
  <c r="AT551" i="2"/>
  <c r="AT54" i="2"/>
  <c r="AT79" i="2"/>
  <c r="AT472" i="2"/>
  <c r="AT176" i="2"/>
  <c r="AT501" i="2"/>
  <c r="AT214" i="2"/>
  <c r="AT673" i="2"/>
  <c r="AT177" i="2"/>
  <c r="AT475" i="2"/>
  <c r="AT169" i="2"/>
  <c r="AT663" i="2"/>
  <c r="AT712" i="2"/>
  <c r="AT234" i="2"/>
  <c r="AT665" i="2"/>
  <c r="AT680" i="2"/>
  <c r="AT414" i="2"/>
  <c r="AT305" i="2"/>
  <c r="AT354" i="2"/>
  <c r="AT482" i="2"/>
  <c r="AT579" i="2"/>
  <c r="AT363" i="2"/>
  <c r="AT697" i="2"/>
  <c r="AT128" i="2"/>
  <c r="AT125" i="2"/>
  <c r="AT507" i="2"/>
  <c r="AT259" i="2"/>
  <c r="AT229" i="2"/>
  <c r="AT582" i="2"/>
  <c r="AT438" i="2"/>
  <c r="AT432" i="2"/>
  <c r="AT235" i="2"/>
  <c r="AT5" i="2"/>
  <c r="AT469" i="2"/>
  <c r="AT577" i="2"/>
  <c r="AT573" i="2"/>
  <c r="AT237" i="2"/>
  <c r="AT450" i="2"/>
  <c r="AT379" i="2"/>
  <c r="AT206" i="2"/>
  <c r="AT222" i="2"/>
  <c r="AT601" i="2"/>
  <c r="AT678" i="2"/>
  <c r="AT408" i="2"/>
  <c r="AT425" i="2"/>
  <c r="AT612" i="2"/>
  <c r="AT706" i="2"/>
  <c r="AT137" i="2"/>
  <c r="AT415" i="2"/>
  <c r="AT47" i="2"/>
  <c r="AT701" i="2"/>
  <c r="AT387" i="2"/>
  <c r="AT138" i="2"/>
  <c r="AT76" i="2"/>
  <c r="AT160" i="2"/>
  <c r="AT476" i="2"/>
  <c r="AT614" i="2"/>
  <c r="AT329" i="2"/>
  <c r="AT282" i="2"/>
  <c r="AT360" i="2"/>
  <c r="AT184" i="2"/>
  <c r="AT276" i="2"/>
  <c r="AT297" i="2"/>
  <c r="AT636" i="2"/>
  <c r="AT165" i="2"/>
  <c r="AT519" i="2"/>
  <c r="AT114" i="2"/>
  <c r="AT260" i="2"/>
  <c r="AT63" i="2"/>
  <c r="AT4" i="2"/>
  <c r="AT270" i="2"/>
  <c r="AT404" i="2"/>
  <c r="AT94" i="2"/>
  <c r="AT115" i="2"/>
  <c r="AT626" i="2"/>
  <c r="AT607" i="2"/>
  <c r="AT95" i="2"/>
  <c r="AT413" i="2"/>
  <c r="AT513" i="2"/>
  <c r="AT52" i="2"/>
  <c r="AT174" i="2"/>
  <c r="AT436" i="2"/>
  <c r="AT338" i="2"/>
  <c r="AT39" i="2"/>
  <c r="AT136" i="2"/>
  <c r="AT269" i="2"/>
  <c r="AT667" i="2"/>
  <c r="AT411" i="2"/>
  <c r="AT420" i="2"/>
  <c r="AT638" i="2"/>
  <c r="AT290" i="2"/>
  <c r="AT406" i="2"/>
  <c r="AT622" i="2"/>
  <c r="AT258" i="2"/>
  <c r="AT340" i="2"/>
  <c r="AT166" i="2"/>
  <c r="AT31" i="2"/>
  <c r="AT111" i="2"/>
  <c r="AT118" i="2"/>
  <c r="AT350" i="2"/>
  <c r="AT32" i="2"/>
  <c r="AT152" i="2"/>
  <c r="AT385" i="2"/>
  <c r="AT686" i="2"/>
  <c r="AT333" i="2"/>
  <c r="AT205" i="2"/>
  <c r="AT628" i="2"/>
  <c r="AT92" i="2"/>
  <c r="AT542" i="2"/>
  <c r="AT69" i="2"/>
  <c r="AT227" i="2"/>
  <c r="AT550" i="2"/>
  <c r="AT7" i="2"/>
  <c r="AT161" i="2"/>
  <c r="AT691" i="2"/>
  <c r="AT22" i="2"/>
  <c r="AT529" i="2"/>
  <c r="AT131" i="2"/>
  <c r="AT696" i="2"/>
  <c r="AT405" i="2"/>
  <c r="AT578" i="2"/>
  <c r="AT283" i="2"/>
  <c r="AT621" i="2"/>
  <c r="AT285" i="2"/>
  <c r="AT129" i="2"/>
  <c r="AT33" i="2"/>
  <c r="AT8" i="2"/>
  <c r="AT581" i="2"/>
  <c r="AT66" i="2"/>
  <c r="AT544" i="2"/>
  <c r="AT584" i="2"/>
  <c r="AT497" i="2"/>
  <c r="AT606" i="2"/>
  <c r="AT62" i="2"/>
  <c r="AT103" i="2"/>
  <c r="AT672" i="2"/>
  <c r="AT505" i="2"/>
  <c r="AT185" i="2"/>
  <c r="AT604" i="2"/>
  <c r="AT274" i="2"/>
  <c r="AT369" i="2"/>
  <c r="AT416" i="2"/>
  <c r="AT380" i="2"/>
  <c r="AT671" i="2"/>
  <c r="AT428" i="2"/>
  <c r="AT262" i="2"/>
  <c r="AT232" i="2"/>
  <c r="AT670" i="2"/>
  <c r="AT319" i="2"/>
  <c r="AT240" i="2"/>
  <c r="AT192" i="2"/>
  <c r="AT707" i="2"/>
  <c r="AT698" i="2"/>
  <c r="AT468" i="2"/>
  <c r="AT85" i="2"/>
  <c r="AT658" i="2"/>
  <c r="AT20" i="2"/>
  <c r="AT199" i="2"/>
  <c r="AT332" i="2"/>
  <c r="AT558" i="2"/>
  <c r="AT457" i="2"/>
  <c r="AT644" i="2"/>
  <c r="AT655" i="2"/>
  <c r="AT64" i="2"/>
  <c r="AT386" i="2"/>
  <c r="AT528" i="2"/>
  <c r="AT146" i="2"/>
  <c r="AT244" i="2"/>
  <c r="AT209" i="2"/>
  <c r="AT56" i="2"/>
  <c r="AT293" i="2"/>
  <c r="AT642" i="2"/>
  <c r="AT695" i="2"/>
  <c r="AT72" i="2"/>
  <c r="AT308" i="2"/>
  <c r="AT225" i="2"/>
  <c r="AT126" i="2"/>
  <c r="AT500" i="2"/>
  <c r="AT35" i="2"/>
  <c r="AT18" i="2"/>
  <c r="AT145" i="2"/>
  <c r="AT398" i="2"/>
  <c r="AT444" i="2"/>
</calcChain>
</file>

<file path=xl/sharedStrings.xml><?xml version="1.0" encoding="utf-8"?>
<sst xmlns="http://schemas.openxmlformats.org/spreadsheetml/2006/main" count="5782" uniqueCount="2032">
  <si>
    <t>No</t>
  </si>
  <si>
    <t>Nama Kepala Keluarga</t>
  </si>
  <si>
    <t>Jumlah Tanggungan</t>
  </si>
  <si>
    <t>Usia</t>
  </si>
  <si>
    <t>ABD AZIS</t>
  </si>
  <si>
    <t>ABD HAMID</t>
  </si>
  <si>
    <t>ABD KARIM</t>
  </si>
  <si>
    <t>ABD RAHMAN B</t>
  </si>
  <si>
    <t>ABD. SALAM</t>
  </si>
  <si>
    <t>ABDUL HAMID</t>
  </si>
  <si>
    <t>ABDUL WAHID</t>
  </si>
  <si>
    <t>AHMAD NURANDI</t>
  </si>
  <si>
    <t>AINUDDIN</t>
  </si>
  <si>
    <t>ALDI</t>
  </si>
  <si>
    <t>ALIMUDDIN</t>
  </si>
  <si>
    <t>AMINUDDIN</t>
  </si>
  <si>
    <t>AMIRUDDIN</t>
  </si>
  <si>
    <t>AMRIADI</t>
  </si>
  <si>
    <t>ANSAR</t>
  </si>
  <si>
    <t>ANSAR R</t>
  </si>
  <si>
    <t>ASRI</t>
  </si>
  <si>
    <t>ASWAR</t>
  </si>
  <si>
    <t>AWALUDDIN</t>
  </si>
  <si>
    <t>BADDU</t>
  </si>
  <si>
    <t>BAHARUDDIN</t>
  </si>
  <si>
    <t>BAHARUDDIN.K</t>
  </si>
  <si>
    <t>BAHRIAH</t>
  </si>
  <si>
    <t>BAKRIE</t>
  </si>
  <si>
    <t>BASRI</t>
  </si>
  <si>
    <t>BASRI S</t>
  </si>
  <si>
    <t>BASSE KARA</t>
  </si>
  <si>
    <t>BUSTAN</t>
  </si>
  <si>
    <t>DARWIS</t>
  </si>
  <si>
    <t>DIDIT ARDIANSYAH</t>
  </si>
  <si>
    <t>DINAR</t>
  </si>
  <si>
    <t>EDY SABARA</t>
  </si>
  <si>
    <t>FASLI RAHANSYAH</t>
  </si>
  <si>
    <t>H SYAMSUL</t>
  </si>
  <si>
    <t>H. BASIR</t>
  </si>
  <si>
    <t>H. MARING MUHAMMAD</t>
  </si>
  <si>
    <t>HAERUDDIN</t>
  </si>
  <si>
    <t>HALIYA</t>
  </si>
  <si>
    <t>HAMSAH</t>
  </si>
  <si>
    <t>HARIS</t>
  </si>
  <si>
    <t>HASAN</t>
  </si>
  <si>
    <t>HASANI</t>
  </si>
  <si>
    <t>HASMI</t>
  </si>
  <si>
    <t>HASRUL</t>
  </si>
  <si>
    <t>HAYA</t>
  </si>
  <si>
    <t>HJ HABIBA</t>
  </si>
  <si>
    <t>IBNU FAJAR</t>
  </si>
  <si>
    <t>IKHSAN ISKANDAR KASSA</t>
  </si>
  <si>
    <t>IRFAN</t>
  </si>
  <si>
    <t>IRSAN</t>
  </si>
  <si>
    <t>IRWAN</t>
  </si>
  <si>
    <t>ISHAK</t>
  </si>
  <si>
    <t>ISMAIL</t>
  </si>
  <si>
    <t>ISRAFIL</t>
  </si>
  <si>
    <t>J DG GASSING</t>
  </si>
  <si>
    <t>JAMALUDDIN</t>
  </si>
  <si>
    <t>JANI</t>
  </si>
  <si>
    <t>JAPAR</t>
  </si>
  <si>
    <t>JUFRI</t>
  </si>
  <si>
    <t xml:space="preserve">JUFRI DG SILA </t>
  </si>
  <si>
    <t>JUMADAENG</t>
  </si>
  <si>
    <t>JUMAKKING</t>
  </si>
  <si>
    <t>JUMARIA</t>
  </si>
  <si>
    <t>JUMASENG</t>
  </si>
  <si>
    <t>JUMRIYARI</t>
  </si>
  <si>
    <t>JUNAEDI</t>
  </si>
  <si>
    <t>JUSMAN</t>
  </si>
  <si>
    <t>JUSRIADI</t>
  </si>
  <si>
    <t>KADIR</t>
  </si>
  <si>
    <t>KAMARIA</t>
  </si>
  <si>
    <t>LAHAJJI</t>
  </si>
  <si>
    <t>LAHAMUDDIN</t>
  </si>
  <si>
    <t>LESSUWADY P</t>
  </si>
  <si>
    <t>LUKMAN</t>
  </si>
  <si>
    <t>M ALI M</t>
  </si>
  <si>
    <t>M RAMLI</t>
  </si>
  <si>
    <t>M. YUSUF M</t>
  </si>
  <si>
    <t>MADDO</t>
  </si>
  <si>
    <t>MAHANAI</t>
  </si>
  <si>
    <t>MAING</t>
  </si>
  <si>
    <t>MALLA</t>
  </si>
  <si>
    <t>MANSUR</t>
  </si>
  <si>
    <t>MARENG</t>
  </si>
  <si>
    <t>MASENG</t>
  </si>
  <si>
    <t>MASKUR, A.Md.Kep</t>
  </si>
  <si>
    <t>MATTO</t>
  </si>
  <si>
    <t>MINNA</t>
  </si>
  <si>
    <t>MUH BASRI</t>
  </si>
  <si>
    <t>MUH IDRUS S</t>
  </si>
  <si>
    <t>MUH.SYAHRIR</t>
  </si>
  <si>
    <t>MUING</t>
  </si>
  <si>
    <t>MURDIONO</t>
  </si>
  <si>
    <t>MUSTANI</t>
  </si>
  <si>
    <t>MUSTAPA</t>
  </si>
  <si>
    <t>MUSTARI</t>
  </si>
  <si>
    <t>NAPI</t>
  </si>
  <si>
    <t>NUHUNG</t>
  </si>
  <si>
    <t>NURAENI</t>
  </si>
  <si>
    <t>NURHADI WANAPUTRA</t>
  </si>
  <si>
    <t>NURMALA</t>
  </si>
  <si>
    <t>NURU</t>
  </si>
  <si>
    <t>NURUDDIN</t>
  </si>
  <si>
    <t>RABAI L</t>
  </si>
  <si>
    <t>RAHMAN</t>
  </si>
  <si>
    <t>RAHMATIA</t>
  </si>
  <si>
    <t>RAMLI B</t>
  </si>
  <si>
    <t>RASIA TUTU</t>
  </si>
  <si>
    <t>RASYIDO</t>
  </si>
  <si>
    <t>RAWIA</t>
  </si>
  <si>
    <t>RESKI ADITIA</t>
  </si>
  <si>
    <t>RIAN EFENDI</t>
  </si>
  <si>
    <t>RIDWAN</t>
  </si>
  <si>
    <t>RISAL</t>
  </si>
  <si>
    <t>RUSDIANTO</t>
  </si>
  <si>
    <t>RUSLAN</t>
  </si>
  <si>
    <t>RUSTAN EFENDI</t>
  </si>
  <si>
    <t>SABARIA</t>
  </si>
  <si>
    <t>SABBARA</t>
  </si>
  <si>
    <t>SABIR</t>
  </si>
  <si>
    <t>SAENUDDIN</t>
  </si>
  <si>
    <t>SAFIA</t>
  </si>
  <si>
    <t>SAHARUDDIN</t>
  </si>
  <si>
    <t>SAHRIR</t>
  </si>
  <si>
    <t>SAINTANG</t>
  </si>
  <si>
    <t>SALDI</t>
  </si>
  <si>
    <t>SALIMA</t>
  </si>
  <si>
    <t>SALMA</t>
  </si>
  <si>
    <t>SAMAUNA</t>
  </si>
  <si>
    <t>SAMPARA</t>
  </si>
  <si>
    <t>SANGING</t>
  </si>
  <si>
    <t>SANNENG</t>
  </si>
  <si>
    <t>SANRI S</t>
  </si>
  <si>
    <t>SAPA B</t>
  </si>
  <si>
    <t>SAPARUDDIN</t>
  </si>
  <si>
    <t>SARIFUDDIN</t>
  </si>
  <si>
    <t>SARIFUDDIN S</t>
  </si>
  <si>
    <t>SATRIANI</t>
  </si>
  <si>
    <t>SATUNANG</t>
  </si>
  <si>
    <t>SATURIA</t>
  </si>
  <si>
    <t>SINAR</t>
  </si>
  <si>
    <t>SIO</t>
  </si>
  <si>
    <t>SIRAJUDDIN</t>
  </si>
  <si>
    <t>SUARDI</t>
  </si>
  <si>
    <t>SUDARMIN</t>
  </si>
  <si>
    <t>SUDIRMAN</t>
  </si>
  <si>
    <t>SUHARNI</t>
  </si>
  <si>
    <t>SUKMA</t>
  </si>
  <si>
    <t>SULMI MS</t>
  </si>
  <si>
    <t>SULTAMSIR</t>
  </si>
  <si>
    <t>SUNANTA RAHMAT</t>
  </si>
  <si>
    <t>SUPRIADI</t>
  </si>
  <si>
    <t>SUWARDI</t>
  </si>
  <si>
    <t>SYAIFUL</t>
  </si>
  <si>
    <t>SYAMSUDDIN</t>
  </si>
  <si>
    <t>SYAMSUDDIN JAMA</t>
  </si>
  <si>
    <t>SYAMSUL</t>
  </si>
  <si>
    <t>SYAMSUL ALAM</t>
  </si>
  <si>
    <t>SYAMSUL. S</t>
  </si>
  <si>
    <t>SYARIPUDDIN</t>
  </si>
  <si>
    <t>TIMA</t>
  </si>
  <si>
    <t>TOMPO</t>
  </si>
  <si>
    <t>TUNI</t>
  </si>
  <si>
    <t>WIRA ADI WARDANA</t>
  </si>
  <si>
    <t>YARIS</t>
  </si>
  <si>
    <t>YUSENG</t>
  </si>
  <si>
    <t>ZAINUDDIN</t>
  </si>
  <si>
    <t>ABD ASIS</t>
  </si>
  <si>
    <t>ABD JABBAR</t>
  </si>
  <si>
    <t>ABD RASYID S</t>
  </si>
  <si>
    <t>ABD. SAMAD</t>
  </si>
  <si>
    <t>ABDUL RASYID M</t>
  </si>
  <si>
    <t>AHRIANTO</t>
  </si>
  <si>
    <t>AKBAR</t>
  </si>
  <si>
    <t>ALBAITUL DAMAIS</t>
  </si>
  <si>
    <t>AMRAN</t>
  </si>
  <si>
    <t>ANCU S</t>
  </si>
  <si>
    <t>ANDRIADI</t>
  </si>
  <si>
    <t>ANWAR</t>
  </si>
  <si>
    <t>ARDI SYAM</t>
  </si>
  <si>
    <t>ARSYAD</t>
  </si>
  <si>
    <t>ARWAN</t>
  </si>
  <si>
    <t>ASWAR AHMAD</t>
  </si>
  <si>
    <t>BAHAR</t>
  </si>
  <si>
    <t>BAHARUDDIN B</t>
  </si>
  <si>
    <t>BAKRI</t>
  </si>
  <si>
    <t>BASO</t>
  </si>
  <si>
    <t>BEBA</t>
  </si>
  <si>
    <t>BURHANUDDIN</t>
  </si>
  <si>
    <t>DAMANG</t>
  </si>
  <si>
    <t>DANA</t>
  </si>
  <si>
    <t>DARING</t>
  </si>
  <si>
    <t>EGY RIYANDI</t>
  </si>
  <si>
    <t>ERMAN</t>
  </si>
  <si>
    <t>ERWIN</t>
  </si>
  <si>
    <t>FAHRIANTO</t>
  </si>
  <si>
    <t>FATAHUDDIN</t>
  </si>
  <si>
    <t>H SAPPARA</t>
  </si>
  <si>
    <t>H. ARSYAD</t>
  </si>
  <si>
    <t>HAJRAH</t>
  </si>
  <si>
    <t>HAMZAH</t>
  </si>
  <si>
    <t>HANAFI</t>
  </si>
  <si>
    <t>HARTATI</t>
  </si>
  <si>
    <t>HASANUDDIN</t>
  </si>
  <si>
    <t>HASMIRAH</t>
  </si>
  <si>
    <t>HASNI</t>
  </si>
  <si>
    <t>HENDRI</t>
  </si>
  <si>
    <t>HJ JUMANIA</t>
  </si>
  <si>
    <t>HJ SATUNIA</t>
  </si>
  <si>
    <t>HJ. ST SAENAB</t>
  </si>
  <si>
    <t>IDUL</t>
  </si>
  <si>
    <t>IKBAL</t>
  </si>
  <si>
    <t>JAFARA</t>
  </si>
  <si>
    <t>JALANI</t>
  </si>
  <si>
    <t>JAMILUDDIN</t>
  </si>
  <si>
    <t>JAWARIA</t>
  </si>
  <si>
    <t>JOHORIA</t>
  </si>
  <si>
    <t>JUMAIN</t>
  </si>
  <si>
    <t>JUMARIAH</t>
  </si>
  <si>
    <t>JUMBA</t>
  </si>
  <si>
    <t>JUMHARIS</t>
  </si>
  <si>
    <t>JUSNI</t>
  </si>
  <si>
    <t>KAHAR</t>
  </si>
  <si>
    <t>KAMARUDDIN</t>
  </si>
  <si>
    <t>KASDI</t>
  </si>
  <si>
    <t>KHAIRIL ANWAR</t>
  </si>
  <si>
    <t>LASING</t>
  </si>
  <si>
    <t>LIMING</t>
  </si>
  <si>
    <t>M SABAR</t>
  </si>
  <si>
    <t>M. IKBAL</t>
  </si>
  <si>
    <t>MADDA</t>
  </si>
  <si>
    <t>MAHMUD</t>
  </si>
  <si>
    <t>MALAUDDIN</t>
  </si>
  <si>
    <t>MAMANG</t>
  </si>
  <si>
    <t>MARSUKI, S.Sos</t>
  </si>
  <si>
    <t>MASANG</t>
  </si>
  <si>
    <t>MASING</t>
  </si>
  <si>
    <t>MUH IDRIS</t>
  </si>
  <si>
    <t>MUH IKBAL MAKMUR, A.md.PI</t>
  </si>
  <si>
    <t>MUH. SAHAR</t>
  </si>
  <si>
    <t>MUHAMMAD AMING</t>
  </si>
  <si>
    <t>MUHAMMAD ARIFIN</t>
  </si>
  <si>
    <t>MUHAMMAD TAHIR</t>
  </si>
  <si>
    <t>MULLI</t>
  </si>
  <si>
    <t>MUSAKKIR S</t>
  </si>
  <si>
    <t>MUSTAMIN</t>
  </si>
  <si>
    <t>NASRULLAH</t>
  </si>
  <si>
    <t>NASRUN. H</t>
  </si>
  <si>
    <t>NIA</t>
  </si>
  <si>
    <t>NORMA</t>
  </si>
  <si>
    <t>NURDIANA</t>
  </si>
  <si>
    <t>NURDIN</t>
  </si>
  <si>
    <t>PABBA</t>
  </si>
  <si>
    <t>PUDDIN</t>
  </si>
  <si>
    <t>RABAI</t>
  </si>
  <si>
    <t>RABASING</t>
  </si>
  <si>
    <t>RASIDO</t>
  </si>
  <si>
    <t>RIFIN</t>
  </si>
  <si>
    <t>RISWAN</t>
  </si>
  <si>
    <t>ROSMIATI</t>
  </si>
  <si>
    <t>RUSLAN P</t>
  </si>
  <si>
    <t>RUSLAN R</t>
  </si>
  <si>
    <t>SAAD</t>
  </si>
  <si>
    <t>SABOLLA</t>
  </si>
  <si>
    <t>SAENAB</t>
  </si>
  <si>
    <t>SAENAL</t>
  </si>
  <si>
    <t>SAFRI, Amd.Kep</t>
  </si>
  <si>
    <t>SAHARIM</t>
  </si>
  <si>
    <t>SAHID</t>
  </si>
  <si>
    <t>SAINUDDIN</t>
  </si>
  <si>
    <t>SAKKA</t>
  </si>
  <si>
    <t>SALA</t>
  </si>
  <si>
    <t>SALIMUDDIN</t>
  </si>
  <si>
    <t>SALLI</t>
  </si>
  <si>
    <t>SAMSIR</t>
  </si>
  <si>
    <t>SANJAYA</t>
  </si>
  <si>
    <t>SAPODDIN</t>
  </si>
  <si>
    <t>SARADI</t>
  </si>
  <si>
    <t>SARINEM</t>
  </si>
  <si>
    <t>SARIPUDDIN</t>
  </si>
  <si>
    <t>SASO</t>
  </si>
  <si>
    <t>SATTIMA</t>
  </si>
  <si>
    <t>SATTU</t>
  </si>
  <si>
    <t>SATU</t>
  </si>
  <si>
    <t>SAYO RISWANTO</t>
  </si>
  <si>
    <t>SIMBA</t>
  </si>
  <si>
    <t>SITTI HAFSAH</t>
  </si>
  <si>
    <t>SOHRA</t>
  </si>
  <si>
    <t>SUANDI</t>
  </si>
  <si>
    <t>SUBAIR</t>
  </si>
  <si>
    <t>SUBHAN</t>
  </si>
  <si>
    <t>SUKARDI</t>
  </si>
  <si>
    <t>SUKRI</t>
  </si>
  <si>
    <t>SULHAFID</t>
  </si>
  <si>
    <t>SULTAN SYEHYUDI</t>
  </si>
  <si>
    <t>SUMANG</t>
  </si>
  <si>
    <t>SUNANDAR, S.Pdi</t>
  </si>
  <si>
    <t>SUNARDI</t>
  </si>
  <si>
    <t>SURIYANTI</t>
  </si>
  <si>
    <t>SURYANI</t>
  </si>
  <si>
    <t>SYAMSUDDIN UPA</t>
  </si>
  <si>
    <t>SYARIF</t>
  </si>
  <si>
    <t>UMAR HARIS, S.Pd</t>
  </si>
  <si>
    <t>YAHYA</t>
  </si>
  <si>
    <t>YASING</t>
  </si>
  <si>
    <t>ZAENAL ABIDIN</t>
  </si>
  <si>
    <t>ABDUL RAHMAN</t>
  </si>
  <si>
    <t>AKHMAD RUMA</t>
  </si>
  <si>
    <t>ANSAR DARMAWAN</t>
  </si>
  <si>
    <t>HABI</t>
  </si>
  <si>
    <t>LAWISA</t>
  </si>
  <si>
    <t>NUR INDAH</t>
  </si>
  <si>
    <t>PANDANG</t>
  </si>
  <si>
    <t>RABAINNA</t>
  </si>
  <si>
    <t>ABD RAHIM</t>
  </si>
  <si>
    <t>ABD. KADIR</t>
  </si>
  <si>
    <t>ABD.RAFIQ</t>
  </si>
  <si>
    <t>ABD.RAHMAN</t>
  </si>
  <si>
    <t>ABDUL SALAM</t>
  </si>
  <si>
    <t>ABIL SAPUTRA</t>
  </si>
  <si>
    <t>AHMAD TAHIR</t>
  </si>
  <si>
    <t>ALDI P</t>
  </si>
  <si>
    <t>AMISE</t>
  </si>
  <si>
    <t>AMRI</t>
  </si>
  <si>
    <t>ANDI</t>
  </si>
  <si>
    <t>ANDY R</t>
  </si>
  <si>
    <t>ARIFIN</t>
  </si>
  <si>
    <t>ARPING</t>
  </si>
  <si>
    <t>BANING</t>
  </si>
  <si>
    <t>BINTANG</t>
  </si>
  <si>
    <t>DAHLAN</t>
  </si>
  <si>
    <t>DG HAWANG</t>
  </si>
  <si>
    <t>DUNDDIN</t>
  </si>
  <si>
    <t>EKO</t>
  </si>
  <si>
    <t>FARDIANTO</t>
  </si>
  <si>
    <t>FARIDA</t>
  </si>
  <si>
    <t>GANING</t>
  </si>
  <si>
    <t>GASSING</t>
  </si>
  <si>
    <t>HABO</t>
  </si>
  <si>
    <t>HALIM</t>
  </si>
  <si>
    <t>HAMIDAH</t>
  </si>
  <si>
    <t>HASRIANTO</t>
  </si>
  <si>
    <t>HENDRA HERMAWAN</t>
  </si>
  <si>
    <t>HJ BAIYO</t>
  </si>
  <si>
    <t>ILHAM</t>
  </si>
  <si>
    <t>IMRAN</t>
  </si>
  <si>
    <t>IRWAN L</t>
  </si>
  <si>
    <t>JABAL ARFAH</t>
  </si>
  <si>
    <t>JAMALUDDIN R</t>
  </si>
  <si>
    <t>JUMA</t>
  </si>
  <si>
    <t>JUMARING</t>
  </si>
  <si>
    <t>JUMASING</t>
  </si>
  <si>
    <t>JUMATANG</t>
  </si>
  <si>
    <t>KAMAR</t>
  </si>
  <si>
    <t>KAMIL DG MAJJA</t>
  </si>
  <si>
    <t>KAMISA</t>
  </si>
  <si>
    <t>KAMMA</t>
  </si>
  <si>
    <t>KARMAN</t>
  </si>
  <si>
    <t>KASMAN</t>
  </si>
  <si>
    <t>KITUNG</t>
  </si>
  <si>
    <t>KULLE</t>
  </si>
  <si>
    <t>LATIF</t>
  </si>
  <si>
    <t>M HADRAWI</t>
  </si>
  <si>
    <t>M. BASIR HM</t>
  </si>
  <si>
    <t>M. RIDWAN</t>
  </si>
  <si>
    <t>MADDI</t>
  </si>
  <si>
    <t>MANSA</t>
  </si>
  <si>
    <t>MUH.FITRAH DARMAWAN</t>
  </si>
  <si>
    <t>MULYANI</t>
  </si>
  <si>
    <t>MURSALIM</t>
  </si>
  <si>
    <t>MUSLIMIN</t>
  </si>
  <si>
    <t>MUSTAKIM</t>
  </si>
  <si>
    <t>MUZAKKIR</t>
  </si>
  <si>
    <t>NACE</t>
  </si>
  <si>
    <t>NAING</t>
  </si>
  <si>
    <t>NASRUN</t>
  </si>
  <si>
    <t>PATO</t>
  </si>
  <si>
    <t>PODDIN</t>
  </si>
  <si>
    <t>PUDDING</t>
  </si>
  <si>
    <t>RABAIA</t>
  </si>
  <si>
    <t>RABIAH</t>
  </si>
  <si>
    <t>RAHMAWATI</t>
  </si>
  <si>
    <t>RAMASING</t>
  </si>
  <si>
    <t>RASENG</t>
  </si>
  <si>
    <t>RASYID</t>
  </si>
  <si>
    <t>RISKA</t>
  </si>
  <si>
    <t>RODDING</t>
  </si>
  <si>
    <t>RUSLI</t>
  </si>
  <si>
    <t>SADARIA</t>
  </si>
  <si>
    <t>SAGE</t>
  </si>
  <si>
    <t>SAHARING</t>
  </si>
  <si>
    <t>SAHIRI</t>
  </si>
  <si>
    <t>SAHRUL</t>
  </si>
  <si>
    <t>SAJENG</t>
  </si>
  <si>
    <t>SAKKIRI</t>
  </si>
  <si>
    <t>SALAMA</t>
  </si>
  <si>
    <t>SALAMING</t>
  </si>
  <si>
    <t>SALANI</t>
  </si>
  <si>
    <t>SAMPARA S</t>
  </si>
  <si>
    <t>SAMSIA</t>
  </si>
  <si>
    <t>SANJI</t>
  </si>
  <si>
    <t>SAPO</t>
  </si>
  <si>
    <t>SARA</t>
  </si>
  <si>
    <t>SATUNIA</t>
  </si>
  <si>
    <t>SIA</t>
  </si>
  <si>
    <t>SIARAH</t>
  </si>
  <si>
    <t>SUAIB</t>
  </si>
  <si>
    <t>SUSANTI</t>
  </si>
  <si>
    <t>SYAHRIR</t>
  </si>
  <si>
    <t>SYAMSINAR</t>
  </si>
  <si>
    <t>SYAMSUDDIN SALLAI</t>
  </si>
  <si>
    <t>SYAMSUL T</t>
  </si>
  <si>
    <t>SYARIFUDDIN</t>
  </si>
  <si>
    <t>TAMA</t>
  </si>
  <si>
    <t>WANDI</t>
  </si>
  <si>
    <t>WARDI</t>
  </si>
  <si>
    <t>YUSRAN</t>
  </si>
  <si>
    <t>ZAENAL</t>
  </si>
  <si>
    <t>ZULKIFLI</t>
  </si>
  <si>
    <t>ABD RASYID T</t>
  </si>
  <si>
    <t>ABDUL MALIK</t>
  </si>
  <si>
    <t>ABDUL RAHIM</t>
  </si>
  <si>
    <t>AGUS</t>
  </si>
  <si>
    <t>AMBO SARE</t>
  </si>
  <si>
    <t>AMIRUDDIN, S.Sos</t>
  </si>
  <si>
    <t>ASDAR</t>
  </si>
  <si>
    <t>ASIS L</t>
  </si>
  <si>
    <t>ASNAL</t>
  </si>
  <si>
    <t>BAKRI S</t>
  </si>
  <si>
    <t>BUNGA</t>
  </si>
  <si>
    <t>DARMAWATI</t>
  </si>
  <si>
    <t>DJAMALUDDIN</t>
  </si>
  <si>
    <t>DODDING</t>
  </si>
  <si>
    <t>DUDDING</t>
  </si>
  <si>
    <t>EDY SUJARYADI</t>
  </si>
  <si>
    <t>FATTA</t>
  </si>
  <si>
    <t>H IDRIS J</t>
  </si>
  <si>
    <t>H SUMENG</t>
  </si>
  <si>
    <t>H. DORA</t>
  </si>
  <si>
    <t>HABIBI</t>
  </si>
  <si>
    <t>HAJERIAH</t>
  </si>
  <si>
    <t>HALIPUDDIN</t>
  </si>
  <si>
    <t>HASAN.K</t>
  </si>
  <si>
    <t>HUSNUL HATIMA</t>
  </si>
  <si>
    <t>JOHANI</t>
  </si>
  <si>
    <t>JUMASANG</t>
  </si>
  <si>
    <t>KUSI</t>
  </si>
  <si>
    <t>LIWANG</t>
  </si>
  <si>
    <t>M AMIR</t>
  </si>
  <si>
    <t>M. YASENG</t>
  </si>
  <si>
    <t>MAFIA</t>
  </si>
  <si>
    <t>MARSUKI</t>
  </si>
  <si>
    <t>MARZUKI, SE</t>
  </si>
  <si>
    <t>MIA</t>
  </si>
  <si>
    <t>MUH AMIR H</t>
  </si>
  <si>
    <t>NAMPA</t>
  </si>
  <si>
    <t>PANAI</t>
  </si>
  <si>
    <t>PODDING</t>
  </si>
  <si>
    <t>RABALI</t>
  </si>
  <si>
    <t>RAJJA</t>
  </si>
  <si>
    <t>RAMLAH</t>
  </si>
  <si>
    <t>RAMLI</t>
  </si>
  <si>
    <t>RASI</t>
  </si>
  <si>
    <t>RISMAN</t>
  </si>
  <si>
    <t>RUMAI</t>
  </si>
  <si>
    <t>RUSLIADI</t>
  </si>
  <si>
    <t>SA'ING</t>
  </si>
  <si>
    <t>SAHARUDDIN A</t>
  </si>
  <si>
    <t>SAKING</t>
  </si>
  <si>
    <t>SAKIR</t>
  </si>
  <si>
    <t>SALIMANA</t>
  </si>
  <si>
    <t>SANDI</t>
  </si>
  <si>
    <t>SANGE</t>
  </si>
  <si>
    <t>SANI</t>
  </si>
  <si>
    <t>SAPARONG</t>
  </si>
  <si>
    <t>SASING</t>
  </si>
  <si>
    <t>SODDIN</t>
  </si>
  <si>
    <t>SUKARNO HATTA</t>
  </si>
  <si>
    <t>SULAEMAN</t>
  </si>
  <si>
    <t>SULFADLI</t>
  </si>
  <si>
    <t>SULUMING</t>
  </si>
  <si>
    <t>SUMI</t>
  </si>
  <si>
    <t>SUPRIADI A</t>
  </si>
  <si>
    <t>SYAHRUL</t>
  </si>
  <si>
    <t>SYAMSIAH</t>
  </si>
  <si>
    <t>SYARWAN EFENDI</t>
  </si>
  <si>
    <t>TAKING</t>
  </si>
  <si>
    <t>TAMSIR</t>
  </si>
  <si>
    <t>ZAINUDDIN, S.Kom</t>
  </si>
  <si>
    <t>ABD RAHMAN HR</t>
  </si>
  <si>
    <t>ABD RAHMAN, A.md.Kep</t>
  </si>
  <si>
    <t>ABD RASYID</t>
  </si>
  <si>
    <t>ABDUL KADIR</t>
  </si>
  <si>
    <t>AKHMAD YANI</t>
  </si>
  <si>
    <t>ALI</t>
  </si>
  <si>
    <t>ARIFUDDIN</t>
  </si>
  <si>
    <t>BACO</t>
  </si>
  <si>
    <t>BASRI MUHA</t>
  </si>
  <si>
    <t>DEWI</t>
  </si>
  <si>
    <t>H ABD HAMID M</t>
  </si>
  <si>
    <t>H SALAMUDDIN</t>
  </si>
  <si>
    <t>H. RABBA</t>
  </si>
  <si>
    <t>HADASING</t>
  </si>
  <si>
    <t>HADIRA</t>
  </si>
  <si>
    <t>HASDI</t>
  </si>
  <si>
    <t>HERMAN</t>
  </si>
  <si>
    <t>HERMAWAN, S.Kom</t>
  </si>
  <si>
    <t>ICAL</t>
  </si>
  <si>
    <t>JUMANIA</t>
  </si>
  <si>
    <t>M BASRI</t>
  </si>
  <si>
    <t>MADDING</t>
  </si>
  <si>
    <t>MANSYUR S</t>
  </si>
  <si>
    <t>MUHAMMAD ALI</t>
  </si>
  <si>
    <t>NAMANG</t>
  </si>
  <si>
    <t>NASIR</t>
  </si>
  <si>
    <t>NAWIA</t>
  </si>
  <si>
    <t>NURHASYIM</t>
  </si>
  <si>
    <t>RANDI</t>
  </si>
  <si>
    <t>RASID</t>
  </si>
  <si>
    <t>RESKI</t>
  </si>
  <si>
    <t>RUKIAH</t>
  </si>
  <si>
    <t>RUMA S</t>
  </si>
  <si>
    <t>SAHAMING</t>
  </si>
  <si>
    <t>SAHAR</t>
  </si>
  <si>
    <t>SAHARUDDIN DG LAPANG</t>
  </si>
  <si>
    <t>SAHRIL</t>
  </si>
  <si>
    <t>SAHRIN</t>
  </si>
  <si>
    <t>SAING</t>
  </si>
  <si>
    <t>SARIPUDDING</t>
  </si>
  <si>
    <t>SOFYAN, S.Pd</t>
  </si>
  <si>
    <t>SUNARTO</t>
  </si>
  <si>
    <t>SUNNI</t>
  </si>
  <si>
    <t>USMAN</t>
  </si>
  <si>
    <t>YULIANTI</t>
  </si>
  <si>
    <t>YUSKAR</t>
  </si>
  <si>
    <t xml:space="preserve">BAHARUDDIN </t>
  </si>
  <si>
    <t>BALENG</t>
  </si>
  <si>
    <t>CAMPA</t>
  </si>
  <si>
    <t>DG AKKO</t>
  </si>
  <si>
    <t>HALIFAH</t>
  </si>
  <si>
    <t>ILYAS</t>
  </si>
  <si>
    <t>LIMONG</t>
  </si>
  <si>
    <t>MAHDI</t>
  </si>
  <si>
    <t>MUH RIZAL</t>
  </si>
  <si>
    <t>PADA</t>
  </si>
  <si>
    <t>RABBANA</t>
  </si>
  <si>
    <t>SAENAL ABIDIN M</t>
  </si>
  <si>
    <t>SANRI</t>
  </si>
  <si>
    <t>SARIBINA</t>
  </si>
  <si>
    <t>SOFYAN S</t>
  </si>
  <si>
    <t>SULTAN KHAERUDDIN</t>
  </si>
  <si>
    <t>TODDING</t>
  </si>
  <si>
    <t>TUBO</t>
  </si>
  <si>
    <t>WAHIDA</t>
  </si>
  <si>
    <t>ACI</t>
  </si>
  <si>
    <t>ASRIANI</t>
  </si>
  <si>
    <t>SAHABUDDIN</t>
  </si>
  <si>
    <t>SUKARMIN</t>
  </si>
  <si>
    <t>SYAMSIR</t>
  </si>
  <si>
    <t>SUPU</t>
  </si>
  <si>
    <t>ICCANG</t>
  </si>
  <si>
    <t>Pekerjaan</t>
  </si>
  <si>
    <t>Status</t>
  </si>
  <si>
    <t>Menentukan Bobot dari setiap kriteria atribut</t>
  </si>
  <si>
    <t>Kriteria</t>
  </si>
  <si>
    <t>Kode</t>
  </si>
  <si>
    <t>Atribut</t>
  </si>
  <si>
    <t>Bobot</t>
  </si>
  <si>
    <t>C1</t>
  </si>
  <si>
    <t>Benefit</t>
  </si>
  <si>
    <t>C2</t>
  </si>
  <si>
    <t>C3</t>
  </si>
  <si>
    <t>Cost</t>
  </si>
  <si>
    <t>C4</t>
  </si>
  <si>
    <t>Total</t>
  </si>
  <si>
    <t>Data Penilaian Awal Kriteria</t>
  </si>
  <si>
    <t>Hasil Normalisasi Kriteria ( SAW )</t>
  </si>
  <si>
    <t>Normalisasi Ternormalisasi dengan Bobot</t>
  </si>
  <si>
    <t>Membentuk Matrix V (normalisasi × bobot)</t>
  </si>
  <si>
    <t>Menentukan solusi ideal Positif(A+) dan Negatif(A-) ( TOPSIS )</t>
  </si>
  <si>
    <t>Jumlah Tanggungan Y1</t>
  </si>
  <si>
    <t>Usia Y2</t>
  </si>
  <si>
    <t>Pekerjaan Y3</t>
  </si>
  <si>
    <t>Status Y4</t>
  </si>
  <si>
    <t>A+</t>
  </si>
  <si>
    <t>A-</t>
  </si>
  <si>
    <t>Mengitung Distance ( TOPSIS )</t>
  </si>
  <si>
    <t>D+</t>
  </si>
  <si>
    <t>D-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</si>
  <si>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</si>
  <si>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</si>
  <si>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</si>
  <si>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</si>
  <si>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</si>
  <si>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</si>
  <si>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</si>
  <si>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</si>
  <si>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</si>
  <si>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</si>
  <si>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</si>
  <si>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</si>
  <si>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</si>
  <si>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</si>
  <si>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</si>
  <si>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</si>
  <si>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</si>
  <si>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</si>
  <si>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</si>
  <si>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</si>
  <si>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</si>
  <si>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</si>
  <si>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</si>
  <si>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</si>
  <si>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</si>
  <si>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</si>
  <si>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</si>
  <si>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</si>
  <si>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</si>
  <si>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</si>
  <si>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</si>
  <si>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</si>
  <si>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</si>
  <si>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</si>
  <si>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</si>
  <si>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</si>
  <si>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</si>
  <si>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</si>
  <si>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</si>
  <si>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</si>
  <si>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</si>
  <si>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</si>
  <si>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</si>
  <si>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</si>
  <si>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</si>
  <si>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</si>
  <si>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</si>
  <si>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</si>
  <si>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</si>
  <si>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</si>
  <si>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</si>
  <si>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</si>
  <si>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</si>
  <si>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</si>
  <si>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</si>
  <si>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</si>
  <si>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</si>
  <si>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</si>
  <si>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</si>
  <si>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</si>
  <si>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</si>
  <si>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</si>
  <si>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</si>
  <si>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</si>
  <si>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</si>
  <si>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</si>
  <si>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</si>
  <si>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</si>
  <si>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</si>
  <si>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</si>
  <si>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</si>
  <si>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</si>
  <si>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</si>
  <si>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</si>
  <si>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</si>
  <si>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</si>
  <si>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</si>
  <si>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</si>
  <si>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</si>
  <si>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</si>
  <si>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</si>
  <si>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</si>
  <si>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</si>
  <si>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</si>
  <si>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</si>
  <si>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</si>
  <si>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</si>
  <si>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</si>
  <si>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</si>
  <si>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</si>
  <si>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</si>
  <si>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</si>
  <si>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</si>
  <si>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</si>
  <si>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</si>
  <si>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</si>
  <si>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</si>
  <si>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</si>
  <si>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</si>
  <si>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</si>
  <si>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</si>
  <si>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</si>
  <si>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</si>
  <si>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</si>
  <si>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</si>
  <si>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</si>
  <si>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</si>
  <si>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</si>
  <si>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</si>
  <si>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</si>
  <si>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</si>
  <si>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</si>
  <si>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</si>
  <si>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</si>
  <si>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</si>
  <si>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</si>
  <si>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</si>
  <si>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</si>
  <si>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</si>
  <si>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</si>
  <si>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</si>
  <si>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</si>
  <si>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</si>
  <si>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</si>
  <si>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</si>
  <si>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</si>
  <si>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</si>
  <si>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</si>
  <si>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</si>
  <si>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</si>
  <si>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</si>
  <si>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</si>
  <si>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</si>
  <si>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</si>
  <si>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</si>
  <si>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</si>
  <si>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</si>
  <si>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</si>
  <si>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</si>
  <si>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</si>
  <si>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</si>
  <si>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</si>
  <si>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</si>
  <si>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</si>
  <si>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</si>
  <si>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</si>
  <si>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</si>
  <si>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</si>
  <si>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</si>
  <si>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</si>
  <si>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</si>
  <si>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</si>
  <si>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</si>
  <si>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</si>
  <si>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</si>
  <si>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</si>
  <si>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</si>
  <si>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</si>
  <si>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</si>
  <si>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</si>
  <si>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</si>
  <si>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</si>
  <si>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</si>
  <si>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</si>
  <si>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</si>
  <si>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</si>
  <si>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</si>
  <si>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</si>
  <si>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</si>
  <si>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</si>
  <si>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</si>
  <si>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</si>
  <si>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</si>
  <si>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</si>
  <si>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</si>
  <si>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</si>
  <si>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</si>
  <si>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</si>
  <si>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</si>
  <si>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</si>
  <si>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</si>
  <si>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</si>
  <si>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</si>
  <si>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</si>
  <si>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</si>
  <si>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</si>
  <si>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</si>
  <si>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</si>
  <si>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</si>
  <si>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</si>
  <si>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</si>
  <si>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</si>
  <si>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</si>
  <si>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</si>
  <si>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</si>
  <si>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</si>
  <si>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</si>
  <si>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</si>
  <si>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</si>
  <si>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</si>
  <si>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</si>
  <si>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</si>
  <si>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</si>
  <si>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</si>
  <si>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</si>
  <si>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</si>
  <si>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</si>
  <si>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</si>
  <si>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</si>
  <si>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</si>
  <si>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</si>
  <si>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</si>
  <si>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</si>
  <si>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</si>
  <si>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</si>
  <si>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</si>
  <si>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</si>
  <si>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</si>
  <si>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</si>
  <si>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</si>
  <si>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</si>
  <si>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</si>
  <si>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</si>
  <si>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</si>
  <si>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</si>
  <si>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</si>
  <si>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</si>
  <si>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</si>
  <si>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</si>
  <si>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</si>
  <si>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</si>
  <si>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</si>
  <si>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</si>
  <si>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</si>
  <si>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</si>
  <si>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</si>
  <si>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</si>
  <si>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</si>
  <si>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</si>
  <si>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</si>
  <si>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</si>
  <si>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</si>
  <si>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</si>
  <si>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</si>
  <si>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</si>
  <si>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</si>
  <si>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</si>
  <si>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</si>
  <si>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</si>
  <si>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</si>
  <si>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</si>
  <si>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</si>
  <si>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</si>
  <si>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</si>
  <si>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</si>
  <si>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</si>
  <si>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</si>
  <si>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</si>
  <si>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</si>
  <si>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</si>
  <si>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</si>
  <si>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</si>
  <si>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</si>
  <si>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</si>
  <si>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</si>
  <si>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</si>
  <si>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</si>
  <si>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</si>
  <si>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</si>
  <si>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</si>
  <si>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</si>
  <si>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</si>
  <si>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</si>
  <si>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</si>
  <si>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</si>
  <si>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</si>
  <si>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</si>
  <si>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</si>
  <si>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</si>
  <si>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</si>
  <si>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</si>
  <si>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</si>
  <si>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</si>
  <si>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</si>
  <si>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</si>
  <si>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</si>
  <si>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</si>
  <si>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</si>
  <si>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</si>
  <si>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</si>
  <si>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</si>
  <si>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</si>
  <si>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</si>
  <si>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</si>
  <si>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</si>
  <si>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</si>
  <si>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</si>
  <si>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</si>
  <si>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</si>
  <si>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</si>
  <si>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</si>
  <si>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</si>
  <si>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</si>
  <si>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</si>
  <si>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</si>
  <si>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</si>
  <si>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</si>
  <si>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</si>
  <si>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</si>
  <si>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</si>
  <si>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</si>
  <si>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</si>
  <si>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</si>
  <si>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</si>
  <si>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</si>
  <si>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</si>
  <si>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</si>
  <si>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</si>
  <si>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</si>
  <si>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</si>
  <si>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</si>
  <si>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</si>
  <si>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</si>
  <si>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</si>
  <si>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</si>
  <si>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</si>
  <si>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</si>
  <si>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</si>
  <si>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</si>
  <si>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</si>
  <si>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</si>
  <si>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</si>
  <si>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</si>
  <si>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</si>
  <si>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</si>
  <si>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</si>
  <si>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</si>
  <si>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</si>
  <si>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</si>
  <si>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</si>
  <si>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</si>
  <si>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</si>
  <si>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</si>
  <si>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</si>
  <si>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</si>
  <si>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</si>
  <si>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</si>
  <si>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</si>
  <si>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</si>
  <si>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</si>
  <si>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</si>
  <si>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</si>
  <si>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</si>
  <si>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</si>
  <si>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</si>
  <si>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</si>
  <si>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</si>
  <si>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</si>
  <si>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</si>
  <si>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</si>
  <si>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</si>
  <si>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</si>
  <si>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</si>
  <si>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</si>
  <si>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</si>
  <si>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</si>
  <si>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</si>
  <si>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</si>
  <si>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</si>
  <si>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</si>
  <si>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</si>
  <si>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</si>
  <si>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</si>
  <si>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</si>
  <si>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</si>
  <si>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</si>
  <si>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</si>
  <si>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</si>
  <si>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</si>
  <si>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</si>
  <si>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</si>
  <si>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</si>
  <si>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</si>
  <si>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</si>
  <si>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</si>
  <si>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</si>
  <si>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</si>
  <si>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</si>
  <si>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</si>
  <si>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</si>
  <si>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</si>
  <si>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</si>
  <si>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</si>
  <si>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</si>
  <si>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</si>
  <si>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</si>
  <si>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</si>
  <si>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</si>
  <si>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</si>
  <si>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</si>
  <si>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</si>
  <si>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</si>
  <si>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</si>
  <si>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</si>
  <si>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</si>
  <si>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</si>
  <si>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</si>
  <si>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</si>
  <si>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</si>
  <si>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</si>
  <si>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</si>
  <si>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</si>
  <si>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</si>
  <si>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</si>
  <si>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</si>
  <si>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</si>
  <si>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</si>
  <si>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</si>
  <si>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</si>
  <si>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</si>
  <si>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</si>
  <si>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</si>
  <si>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</si>
  <si>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</si>
  <si>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</si>
  <si>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</si>
  <si>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</si>
  <si>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</si>
  <si>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</si>
  <si>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</si>
  <si>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</si>
  <si>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</si>
  <si>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</si>
  <si>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</si>
  <si>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</si>
  <si>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</si>
  <si>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</si>
  <si>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</si>
  <si>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</si>
  <si>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</si>
  <si>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</si>
  <si>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</si>
  <si>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</si>
  <si>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</si>
  <si>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</si>
  <si>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</si>
  <si>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</si>
  <si>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</si>
  <si>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</si>
  <si>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</si>
  <si>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</si>
  <si>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</si>
  <si>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</si>
  <si>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</si>
  <si>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</si>
  <si>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</si>
  <si>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</si>
  <si>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</si>
  <si>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</si>
  <si>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</si>
  <si>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</si>
  <si>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</si>
  <si>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</si>
  <si>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</si>
  <si>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</si>
  <si>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</si>
  <si>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</si>
  <si>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</si>
  <si>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</si>
  <si>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</si>
  <si>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</si>
  <si>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</si>
  <si>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</si>
  <si>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</si>
  <si>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</si>
  <si>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</si>
  <si>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</si>
  <si>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</si>
  <si>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</si>
  <si>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</si>
  <si>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</si>
  <si>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</si>
  <si>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</si>
  <si>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</si>
  <si>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</si>
  <si>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</si>
  <si>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</si>
  <si>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</si>
  <si>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</si>
  <si>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</si>
  <si>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</si>
  <si>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</si>
  <si>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</si>
  <si>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</si>
  <si>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</si>
  <si>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</si>
  <si>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</si>
  <si>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</si>
  <si>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</si>
  <si>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</si>
  <si>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</si>
  <si>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</si>
  <si>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</si>
  <si>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</si>
  <si>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</si>
  <si>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</si>
  <si>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</si>
  <si>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</si>
  <si>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</si>
  <si>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</si>
  <si>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</si>
  <si>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</si>
  <si>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</si>
  <si>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</si>
  <si>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</si>
  <si>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</si>
  <si>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</si>
  <si>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</si>
  <si>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</si>
  <si>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</si>
  <si>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</si>
  <si>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</si>
  <si>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</si>
  <si>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</si>
  <si>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</si>
  <si>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</si>
  <si>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</si>
  <si>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</si>
  <si>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</si>
  <si>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</si>
  <si>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</si>
  <si>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</si>
  <si>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</si>
  <si>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</si>
  <si>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</si>
  <si>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</si>
  <si>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</si>
  <si>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</si>
  <si>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</si>
  <si>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</si>
  <si>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</si>
  <si>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</si>
  <si>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</si>
  <si>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</si>
  <si>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</si>
  <si>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</si>
  <si>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</si>
  <si>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</si>
  <si>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</si>
  <si>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</si>
  <si>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</si>
  <si>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</si>
  <si>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</si>
  <si>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</si>
  <si>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</si>
  <si>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</si>
  <si>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</si>
  <si>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</si>
  <si>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</si>
  <si>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</si>
  <si>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</si>
  <si>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</si>
  <si>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</si>
  <si>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</si>
  <si>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</si>
  <si>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</si>
  <si>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</si>
  <si>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</si>
  <si>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</si>
  <si>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</si>
  <si>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</si>
  <si>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</si>
  <si>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</si>
  <si>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</si>
  <si>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</si>
  <si>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</si>
  <si>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</si>
  <si>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</si>
  <si>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</si>
  <si>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</si>
  <si>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</si>
  <si>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</si>
  <si>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</si>
  <si>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</si>
  <si>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</si>
  <si>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</si>
  <si>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</si>
  <si>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</si>
  <si>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</si>
  <si>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</si>
  <si>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</si>
  <si>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</si>
  <si>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</si>
  <si>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</si>
  <si>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</si>
  <si>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</si>
  <si>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</si>
  <si>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</si>
  <si>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</si>
  <si>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</si>
  <si>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</si>
  <si>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</si>
  <si>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</si>
  <si>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</si>
  <si>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</si>
  <si>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</si>
  <si>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</si>
  <si>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</si>
  <si>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</si>
  <si>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</si>
  <si>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</si>
  <si>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</si>
  <si>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</si>
  <si>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</si>
  <si>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</si>
  <si>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</si>
  <si>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</si>
  <si>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</si>
  <si>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</si>
  <si>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</si>
  <si>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</si>
  <si>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</si>
  <si>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</si>
  <si>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</si>
  <si>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</si>
  <si>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</si>
  <si>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</si>
  <si>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</si>
  <si>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</si>
  <si>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</si>
  <si>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</si>
  <si>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</si>
  <si>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</si>
  <si>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</si>
  <si>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</si>
  <si>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</si>
  <si>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</si>
  <si>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</si>
  <si>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</si>
  <si>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</si>
  <si>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</si>
  <si>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</si>
  <si>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</si>
  <si>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</si>
  <si>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</si>
  <si>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</si>
  <si>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</si>
  <si>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</si>
  <si>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</si>
  <si>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</si>
  <si>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</si>
  <si>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</si>
  <si>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</si>
  <si>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</si>
  <si>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</si>
  <si>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</si>
  <si>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</si>
  <si>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</si>
  <si>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</si>
  <si>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</si>
  <si>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</si>
  <si>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</si>
  <si>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</si>
  <si>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</si>
  <si>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</si>
  <si>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</si>
  <si>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</si>
  <si>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</si>
  <si>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</si>
  <si>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</si>
  <si>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</si>
  <si>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</si>
  <si>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</si>
  <si>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</si>
  <si>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</si>
  <si>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</si>
  <si>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</si>
  <si>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</si>
  <si>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</si>
  <si>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</si>
  <si>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</si>
  <si>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</si>
  <si>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</si>
  <si>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</si>
  <si>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</si>
  <si>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</si>
  <si>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</si>
  <si>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</si>
  <si>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</si>
  <si>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</si>
  <si>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</si>
  <si>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</si>
  <si>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</si>
  <si>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</si>
  <si>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</si>
  <si>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</si>
  <si>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</si>
  <si>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</si>
  <si>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</si>
  <si>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</si>
  <si>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</si>
  <si>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</si>
  <si>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</si>
  <si>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</si>
  <si>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</si>
  <si>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</si>
  <si>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</si>
  <si>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</si>
  <si>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</si>
  <si>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</si>
  <si>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Mencari Preferensi ( TOPSIS )</t>
  </si>
  <si>
    <t>V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</si>
  <si>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</si>
  <si>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</si>
  <si>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</si>
  <si>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</si>
  <si>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</si>
  <si>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</si>
  <si>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</si>
  <si>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</si>
  <si>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</si>
  <si>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</si>
  <si>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</si>
  <si>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</si>
  <si>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</si>
  <si>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</si>
  <si>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</si>
  <si>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</si>
  <si>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</si>
  <si>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</si>
  <si>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</si>
  <si>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</si>
  <si>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</si>
  <si>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</si>
  <si>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</si>
  <si>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</si>
  <si>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</si>
  <si>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</si>
  <si>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</si>
  <si>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</si>
  <si>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</si>
  <si>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</si>
  <si>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</si>
  <si>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</si>
  <si>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</si>
  <si>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</si>
  <si>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</si>
  <si>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</si>
  <si>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</si>
  <si>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</si>
  <si>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</si>
  <si>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</si>
  <si>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</si>
  <si>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</si>
  <si>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</si>
  <si>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</si>
  <si>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</si>
  <si>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</si>
  <si>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</si>
  <si>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</si>
  <si>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</si>
  <si>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</si>
  <si>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</si>
  <si>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</si>
  <si>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</si>
  <si>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</si>
  <si>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</si>
  <si>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</si>
  <si>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</si>
  <si>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</si>
  <si>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</si>
  <si>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</si>
  <si>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</si>
  <si>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</si>
  <si>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</si>
  <si>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</si>
  <si>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</si>
  <si>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</si>
  <si>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</si>
  <si>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</si>
  <si>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</si>
  <si>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</si>
  <si>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</si>
  <si>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</si>
  <si>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</si>
  <si>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</si>
  <si>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</si>
  <si>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</si>
  <si>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</si>
  <si>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</si>
  <si>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</si>
  <si>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</si>
  <si>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</si>
  <si>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</si>
  <si>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</si>
  <si>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</si>
  <si>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</si>
  <si>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</si>
  <si>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</si>
  <si>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</si>
  <si>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</si>
  <si>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</si>
  <si>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</si>
  <si>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</si>
  <si>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</si>
  <si>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</si>
  <si>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</si>
  <si>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</si>
  <si>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</si>
  <si>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</si>
  <si>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</si>
  <si>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</si>
  <si>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</si>
  <si>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</si>
  <si>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</si>
  <si>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</si>
  <si>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</si>
  <si>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</si>
  <si>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</si>
  <si>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</si>
  <si>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</si>
  <si>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</si>
  <si>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</si>
  <si>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</si>
  <si>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</si>
  <si>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</si>
  <si>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</si>
  <si>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</si>
  <si>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</si>
  <si>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</si>
  <si>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</si>
  <si>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</si>
  <si>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</si>
  <si>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</si>
  <si>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</si>
  <si>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</si>
  <si>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</si>
  <si>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</si>
  <si>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</si>
  <si>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</si>
  <si>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</si>
  <si>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</si>
  <si>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</si>
  <si>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</si>
  <si>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</si>
  <si>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</si>
  <si>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</si>
  <si>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</si>
  <si>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</si>
  <si>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</si>
  <si>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</si>
  <si>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</si>
  <si>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</si>
  <si>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</si>
  <si>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</si>
  <si>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</si>
  <si>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</si>
  <si>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</si>
  <si>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</si>
  <si>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</si>
  <si>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</si>
  <si>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</si>
  <si>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</si>
  <si>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</si>
  <si>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</si>
  <si>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</si>
  <si>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</si>
  <si>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</si>
  <si>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</si>
  <si>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</si>
  <si>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</si>
  <si>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</si>
  <si>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</si>
  <si>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</si>
  <si>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</si>
  <si>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</si>
  <si>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</si>
  <si>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</si>
  <si>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</si>
  <si>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</si>
  <si>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</si>
  <si>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</si>
  <si>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</si>
  <si>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</si>
  <si>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</si>
  <si>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</si>
  <si>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</si>
  <si>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</si>
  <si>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</si>
  <si>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</si>
  <si>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</si>
  <si>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</si>
  <si>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</si>
  <si>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</si>
  <si>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</si>
  <si>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</si>
  <si>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</si>
  <si>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</si>
  <si>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</si>
  <si>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</si>
  <si>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</si>
  <si>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</si>
  <si>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</si>
  <si>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</si>
  <si>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</si>
  <si>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</si>
  <si>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</si>
  <si>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</si>
  <si>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</si>
  <si>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</si>
  <si>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</si>
  <si>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</si>
  <si>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</si>
  <si>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</si>
  <si>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</si>
  <si>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</si>
  <si>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</si>
  <si>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</si>
  <si>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</si>
  <si>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</si>
  <si>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</si>
  <si>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</si>
  <si>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</si>
  <si>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</si>
  <si>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</si>
  <si>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</si>
  <si>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</si>
  <si>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</si>
  <si>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</si>
  <si>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</si>
  <si>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</si>
  <si>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</si>
  <si>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</si>
  <si>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</si>
  <si>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</si>
  <si>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</si>
  <si>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</si>
  <si>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</si>
  <si>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</si>
  <si>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</si>
  <si>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</si>
  <si>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</si>
  <si>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</si>
  <si>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</si>
  <si>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</si>
  <si>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</si>
  <si>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</si>
  <si>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</si>
  <si>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</si>
  <si>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</si>
  <si>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</si>
  <si>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</si>
  <si>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</si>
  <si>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</si>
  <si>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</si>
  <si>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</si>
  <si>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</si>
  <si>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</si>
  <si>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</si>
  <si>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</si>
  <si>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</si>
  <si>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</si>
  <si>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</si>
  <si>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</si>
  <si>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</si>
  <si>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</si>
  <si>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</si>
  <si>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</si>
  <si>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</si>
  <si>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</si>
  <si>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</si>
  <si>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</si>
  <si>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</si>
  <si>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</si>
  <si>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</si>
  <si>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</si>
  <si>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</si>
  <si>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</si>
  <si>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</si>
  <si>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</si>
  <si>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</si>
  <si>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</si>
  <si>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</si>
  <si>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</si>
  <si>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</si>
  <si>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</si>
  <si>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</si>
  <si>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</si>
  <si>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</si>
  <si>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</si>
  <si>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</si>
  <si>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</si>
  <si>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</si>
  <si>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</si>
  <si>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</si>
  <si>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</si>
  <si>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</si>
  <si>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</si>
  <si>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</si>
  <si>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</si>
  <si>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</si>
  <si>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</si>
  <si>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</si>
  <si>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</si>
  <si>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</si>
  <si>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</si>
  <si>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</si>
  <si>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</si>
  <si>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</si>
  <si>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</si>
  <si>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</si>
  <si>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</si>
  <si>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</si>
  <si>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</si>
  <si>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</si>
  <si>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</si>
  <si>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</si>
  <si>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</si>
  <si>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</si>
  <si>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</si>
  <si>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</si>
  <si>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</si>
  <si>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</si>
  <si>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</si>
  <si>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</si>
  <si>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</si>
  <si>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</si>
  <si>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</si>
  <si>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</si>
  <si>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</si>
  <si>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</si>
  <si>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</si>
  <si>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</si>
  <si>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</si>
  <si>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</si>
  <si>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</si>
  <si>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</si>
  <si>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</si>
  <si>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</si>
  <si>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</si>
  <si>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</si>
  <si>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</si>
  <si>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</si>
  <si>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</si>
  <si>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</si>
  <si>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</si>
  <si>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</si>
  <si>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</si>
  <si>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</si>
  <si>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</si>
  <si>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</si>
  <si>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</si>
  <si>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</si>
  <si>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</si>
  <si>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</si>
  <si>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</si>
  <si>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</si>
  <si>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</si>
  <si>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</si>
  <si>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</si>
  <si>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</si>
  <si>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</si>
  <si>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</si>
  <si>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</si>
  <si>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</si>
  <si>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</si>
  <si>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</si>
  <si>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</si>
  <si>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</si>
  <si>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</si>
  <si>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</si>
  <si>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</si>
  <si>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</si>
  <si>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</si>
  <si>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</si>
  <si>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</si>
  <si>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</si>
  <si>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</si>
  <si>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</si>
  <si>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</si>
  <si>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</si>
  <si>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</si>
  <si>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</si>
  <si>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</si>
  <si>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</si>
  <si>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</si>
  <si>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</si>
  <si>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</si>
  <si>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</si>
  <si>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</si>
  <si>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</si>
  <si>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</si>
  <si>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</si>
  <si>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</si>
  <si>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</si>
  <si>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</si>
  <si>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</si>
  <si>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</si>
  <si>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</si>
  <si>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</si>
  <si>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</si>
  <si>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</si>
  <si>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</si>
  <si>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</si>
  <si>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</si>
  <si>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</si>
  <si>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</si>
  <si>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</si>
  <si>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</si>
  <si>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</si>
  <si>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</si>
  <si>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</si>
  <si>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</si>
  <si>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</si>
  <si>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</si>
  <si>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</si>
  <si>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</si>
  <si>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</si>
  <si>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</si>
  <si>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</si>
  <si>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</si>
  <si>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</si>
  <si>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</si>
  <si>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</si>
  <si>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</si>
  <si>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</si>
  <si>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</si>
  <si>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</si>
  <si>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</si>
  <si>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</si>
  <si>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</si>
  <si>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</si>
  <si>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</si>
  <si>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</si>
  <si>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</si>
  <si>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</si>
  <si>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</si>
  <si>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</si>
  <si>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</si>
  <si>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</si>
  <si>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</si>
  <si>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</si>
  <si>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</si>
  <si>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</si>
  <si>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</si>
  <si>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</si>
  <si>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</si>
  <si>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</si>
  <si>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</si>
  <si>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</si>
  <si>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</si>
  <si>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</si>
  <si>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</si>
  <si>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</si>
  <si>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</si>
  <si>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</si>
  <si>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</si>
  <si>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</si>
  <si>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</si>
  <si>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</si>
  <si>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</si>
  <si>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</si>
  <si>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</si>
  <si>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</si>
  <si>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</si>
  <si>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</si>
  <si>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</si>
  <si>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</si>
  <si>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</si>
  <si>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</si>
  <si>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</si>
  <si>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</si>
  <si>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</si>
  <si>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</si>
  <si>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</si>
  <si>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</si>
  <si>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</si>
  <si>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</si>
  <si>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</si>
  <si>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</si>
  <si>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</si>
  <si>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</si>
  <si>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</si>
  <si>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</si>
  <si>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</si>
  <si>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</si>
  <si>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</si>
  <si>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</si>
  <si>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</si>
  <si>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</si>
  <si>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</si>
  <si>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</si>
  <si>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</si>
  <si>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</si>
  <si>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</si>
  <si>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</si>
  <si>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</si>
  <si>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</si>
  <si>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</si>
  <si>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</si>
  <si>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</si>
  <si>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</si>
  <si>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</si>
  <si>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</si>
  <si>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</si>
  <si>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</si>
  <si>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</si>
  <si>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</si>
  <si>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</si>
  <si>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</si>
  <si>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</si>
  <si>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</si>
  <si>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</si>
  <si>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</si>
  <si>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</si>
  <si>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</si>
  <si>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</si>
  <si>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</si>
  <si>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</si>
  <si>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</si>
  <si>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</si>
  <si>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</si>
  <si>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</si>
  <si>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</si>
  <si>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</si>
  <si>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</si>
  <si>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</si>
  <si>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</si>
  <si>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</si>
  <si>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</si>
  <si>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</si>
  <si>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</si>
  <si>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</si>
  <si>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</si>
  <si>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</si>
  <si>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</si>
  <si>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</si>
  <si>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</si>
  <si>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</si>
  <si>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</si>
  <si>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</si>
  <si>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</si>
  <si>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</si>
  <si>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</si>
  <si>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</si>
  <si>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</si>
  <si>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</si>
  <si>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</si>
  <si>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</si>
  <si>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</si>
  <si>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</si>
  <si>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</si>
  <si>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</si>
  <si>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</si>
  <si>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</si>
  <si>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</si>
  <si>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</si>
  <si>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</si>
  <si>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</si>
  <si>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</si>
  <si>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</si>
  <si>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</si>
  <si>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</si>
  <si>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</si>
  <si>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</si>
  <si>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</si>
  <si>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</si>
  <si>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</si>
  <si>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</si>
  <si>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</si>
  <si>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</si>
  <si>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</si>
  <si>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</si>
  <si>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</si>
  <si>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</si>
  <si>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</si>
  <si>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</si>
  <si>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</si>
  <si>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</si>
  <si>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</si>
  <si>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</si>
  <si>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</si>
  <si>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</si>
  <si>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</si>
  <si>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</si>
  <si>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</si>
  <si>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</si>
  <si>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</si>
  <si>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</si>
  <si>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</si>
  <si>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</si>
  <si>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</si>
  <si>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</si>
  <si>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</si>
  <si>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</si>
  <si>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</si>
  <si>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</si>
  <si>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</si>
  <si>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</si>
  <si>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</si>
  <si>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</si>
  <si>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</si>
  <si>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</si>
  <si>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</si>
  <si>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</si>
  <si>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</si>
  <si>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</si>
  <si>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</si>
  <si>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</si>
  <si>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</si>
  <si>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</si>
  <si>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</si>
  <si>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</si>
  <si>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</si>
  <si>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</si>
  <si>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</si>
  <si>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</si>
  <si>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</si>
  <si>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</si>
  <si>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</si>
  <si>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</si>
  <si>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</si>
  <si>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</si>
  <si>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</si>
  <si>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</si>
  <si>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</si>
  <si>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</si>
  <si>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</si>
  <si>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</si>
  <si>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</si>
  <si>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</si>
  <si>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</si>
  <si>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</si>
  <si>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</si>
  <si>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</si>
  <si>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</si>
  <si>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</si>
  <si>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</si>
  <si>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</si>
  <si>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</si>
  <si>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</si>
  <si>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</si>
  <si>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</si>
  <si>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</si>
  <si>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</si>
  <si>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</si>
  <si>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</si>
  <si>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</si>
  <si>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</si>
  <si>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</si>
  <si>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</si>
  <si>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</si>
  <si>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</si>
  <si>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</si>
  <si>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</si>
  <si>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</si>
  <si>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</si>
  <si>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</si>
  <si>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</si>
  <si>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</si>
  <si>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</si>
  <si>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</si>
  <si>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</si>
  <si>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</si>
  <si>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</si>
  <si>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</si>
  <si>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</si>
  <si>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</si>
  <si>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</si>
  <si>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</si>
  <si>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</si>
  <si>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</si>
  <si>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</si>
  <si>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</si>
  <si>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</si>
  <si>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</si>
  <si>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</si>
  <si>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</si>
  <si>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</si>
  <si>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</si>
  <si>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</si>
  <si>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</si>
  <si>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</si>
  <si>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</si>
  <si>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</si>
  <si>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</si>
  <si>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</si>
  <si>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</si>
  <si>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</si>
  <si>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</si>
  <si>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</si>
  <si>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</si>
  <si>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</si>
  <si>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</si>
  <si>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</si>
  <si>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</si>
  <si>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</si>
  <si>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</si>
  <si>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</si>
  <si>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</si>
  <si>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</si>
  <si>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</si>
  <si>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</si>
  <si>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</si>
  <si>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</si>
  <si>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</si>
  <si>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</si>
  <si>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</si>
  <si>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</si>
  <si>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</si>
  <si>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</si>
  <si>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</si>
  <si>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</si>
  <si>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</si>
  <si>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</si>
  <si>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</si>
  <si>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</si>
  <si>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</si>
  <si>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</si>
  <si>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</si>
  <si>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</si>
  <si>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</si>
  <si>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HASIL PERANGKINGAN TOPSIS</t>
  </si>
  <si>
    <t>Alternatif</t>
  </si>
  <si>
    <t>Nilai</t>
  </si>
  <si>
    <t>Rangking</t>
  </si>
  <si>
    <t>Kawin</t>
  </si>
  <si>
    <t>Belum Kawin</t>
  </si>
  <si>
    <t>Janda/Duda</t>
  </si>
  <si>
    <t>Petani</t>
  </si>
  <si>
    <t>Ibu Rumah Tangga</t>
  </si>
  <si>
    <t>Tukang Batu</t>
  </si>
  <si>
    <t>Belum Bekerja</t>
  </si>
  <si>
    <t>Tidak Mempunyai Pekerjaan Tetap</t>
  </si>
  <si>
    <t>Wiraswasta</t>
  </si>
  <si>
    <t>nama alternatif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</si>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</sst>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sz val="11"/>
      <color theme="6" tint="0.3999755851924192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11" fillId="3" borderId="0" xfId="0" applyFont="1" applyFill="1"/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13" fillId="0" borderId="2" xfId="0" applyFont="1" applyBorder="1" applyAlignment="1">
      <alignment horizontal="center" wrapText="1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373380</xdr:colOff>
      <xdr:row>0</xdr:row>
      <xdr:rowOff>30480</xdr:rowOff>
    </xdr:from>
    <xdr:to>
      <xdr:col>11</xdr:col>
      <xdr:colOff>91924</xdr:colOff>
      <xdr:row>7</xdr:row>
      <xdr:rowOff>112585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8D2E7-7650-43F0-E89F-CA767F7F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3160" y="30480"/>
          <a:ext cx="3467584" cy="1362265"/>
        </a:xfrm>
        <a:prstGeom prst="rect">
          <a:avLst/>
        </a:prstGeom>
      </xdr:spPr>
    </xdr:pic>
    <xdr:clientData/>
  </xdr:twoCellAnchor>
  <xdr:twoCellAnchor editAs="oneCell">
    <xdr:from>
      <xdr:col>6</xdr:col>
      <xdr:colOff>360948</xdr:colOff>
      <xdr:row>7</xdr:row>
      <xdr:rowOff>173789</xdr:rowOff>
    </xdr:from>
    <xdr:to>
      <xdr:col>11</xdr:col>
      <xdr:colOff>556767</xdr:colOff>
      <xdr:row>17</xdr:row>
      <xdr:rowOff>75259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88E643-1B3F-CA55-2E42-BD6EBC115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2355" y="1424974"/>
          <a:ext cx="3949375" cy="1688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1"/>
  <sheetViews>
    <sheetView zoomScale="54" zoomScaleNormal="60" workbookViewId="0">
      <selection activeCell="R29" sqref="R29"/>
    </sheetView>
  </sheetViews>
  <sheetFormatPr defaultRowHeight="14.4" x14ac:dyDescent="0.3"/>
  <cols>
    <col min="1" max="1" width="4" bestFit="1" customWidth="1"/>
    <col min="2" max="2" width="26.33203125" bestFit="1" customWidth="1"/>
    <col min="3" max="3" width="18.109375" bestFit="1" customWidth="1"/>
    <col min="4" max="4" width="4.5546875" bestFit="1" customWidth="1"/>
    <col min="5" max="5" width="17.88671875" bestFit="1" customWidth="1"/>
    <col min="6" max="6" width="14.5546875" bestFit="1" customWidth="1"/>
    <col min="7" max="7" width="15.6640625" bestFit="1" customWidth="1"/>
    <col min="8" max="8" width="12.33203125" bestFit="1" customWidth="1"/>
    <col min="16" max="16" width="4.5546875" bestFit="1" customWidth="1"/>
    <col min="17" max="17" width="27.88671875" bestFit="1" customWidth="1"/>
    <col min="18" max="18" width="25.88671875" bestFit="1" customWidth="1"/>
    <col min="19" max="19" width="6.5546875" bestFit="1" customWidth="1"/>
    <col min="20" max="20" width="36" bestFit="1" customWidth="1"/>
    <col min="21" max="21" width="14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564</v>
      </c>
      <c r="F1" s="2" t="s">
        <v>565</v>
      </c>
      <c r="P1" s="2" t="s">
        <v>0</v>
      </c>
      <c r="Q1" s="28" t="s">
        <v>2027</v>
      </c>
      <c r="R1" s="28" t="s">
        <v>2028</v>
      </c>
      <c r="S1" s="28" t="s">
        <v>2029</v>
      </c>
      <c r="T1" s="25" t="s">
        <v>2030</v>
      </c>
      <c r="U1" s="25" t="s">
        <v>2031</v>
      </c>
    </row>
    <row r="2" spans="1:21" x14ac:dyDescent="0.3">
      <c r="A2" s="1">
        <v>1</v>
      </c>
      <c r="B2" s="1" t="s">
        <v>4</v>
      </c>
      <c r="C2" s="1">
        <v>2</v>
      </c>
      <c r="D2" s="1">
        <v>78</v>
      </c>
      <c r="E2" s="1">
        <v>2</v>
      </c>
      <c r="F2" s="1">
        <v>3</v>
      </c>
      <c r="P2" s="1">
        <v>1</v>
      </c>
      <c r="Q2" s="1" t="s">
        <v>4</v>
      </c>
      <c r="R2" s="1">
        <v>2</v>
      </c>
      <c r="S2" s="1">
        <v>78</v>
      </c>
      <c r="T2" s="26" t="s">
        <v>2021</v>
      </c>
      <c r="U2" s="27" t="s">
        <v>2018</v>
      </c>
    </row>
    <row r="3" spans="1:21" x14ac:dyDescent="0.3">
      <c r="A3" s="1">
        <v>2</v>
      </c>
      <c r="B3" s="1" t="s">
        <v>5</v>
      </c>
      <c r="C3" s="1">
        <v>2</v>
      </c>
      <c r="D3" s="1">
        <v>77</v>
      </c>
      <c r="E3" s="1">
        <v>2</v>
      </c>
      <c r="F3" s="1">
        <v>2</v>
      </c>
      <c r="P3" s="1">
        <v>2</v>
      </c>
      <c r="Q3" s="1" t="s">
        <v>5</v>
      </c>
      <c r="R3" s="1">
        <v>2</v>
      </c>
      <c r="S3" s="1">
        <v>77</v>
      </c>
      <c r="T3" s="26" t="s">
        <v>2022</v>
      </c>
      <c r="U3" s="27" t="s">
        <v>2018</v>
      </c>
    </row>
    <row r="4" spans="1:21" x14ac:dyDescent="0.3">
      <c r="A4" s="1">
        <v>3</v>
      </c>
      <c r="B4" s="1" t="s">
        <v>6</v>
      </c>
      <c r="C4" s="1">
        <v>2</v>
      </c>
      <c r="D4" s="1">
        <v>65</v>
      </c>
      <c r="E4" s="1">
        <v>2</v>
      </c>
      <c r="F4" s="1">
        <v>3</v>
      </c>
      <c r="P4" s="1">
        <v>3</v>
      </c>
      <c r="Q4" s="1" t="s">
        <v>6</v>
      </c>
      <c r="R4" s="1">
        <v>2</v>
      </c>
      <c r="S4" s="1">
        <v>65</v>
      </c>
      <c r="T4" s="26" t="s">
        <v>2022</v>
      </c>
      <c r="U4" s="27" t="s">
        <v>2019</v>
      </c>
    </row>
    <row r="5" spans="1:21" x14ac:dyDescent="0.3">
      <c r="A5" s="1">
        <v>4</v>
      </c>
      <c r="B5" s="1" t="s">
        <v>7</v>
      </c>
      <c r="C5" s="1">
        <v>4</v>
      </c>
      <c r="D5" s="1">
        <v>41</v>
      </c>
      <c r="E5" s="1">
        <v>5</v>
      </c>
      <c r="F5" s="1">
        <v>3</v>
      </c>
      <c r="P5" s="1">
        <v>4</v>
      </c>
      <c r="Q5" s="1" t="s">
        <v>7</v>
      </c>
      <c r="R5" s="1">
        <v>4</v>
      </c>
      <c r="S5" s="1">
        <v>41</v>
      </c>
      <c r="T5" s="26" t="s">
        <v>2021</v>
      </c>
      <c r="U5" s="27" t="s">
        <v>2020</v>
      </c>
    </row>
    <row r="6" spans="1:21" x14ac:dyDescent="0.3">
      <c r="A6" s="1">
        <v>5</v>
      </c>
      <c r="B6" s="1" t="s">
        <v>8</v>
      </c>
      <c r="C6" s="1">
        <v>1</v>
      </c>
      <c r="D6" s="1">
        <v>52</v>
      </c>
      <c r="E6" s="1">
        <v>2</v>
      </c>
      <c r="F6" s="1">
        <v>3</v>
      </c>
      <c r="P6" s="1">
        <v>5</v>
      </c>
      <c r="Q6" s="1" t="s">
        <v>8</v>
      </c>
      <c r="R6" s="1">
        <v>1</v>
      </c>
      <c r="S6" s="1">
        <v>52</v>
      </c>
      <c r="T6" s="26" t="s">
        <v>2023</v>
      </c>
      <c r="U6" s="27" t="s">
        <v>2019</v>
      </c>
    </row>
    <row r="7" spans="1:21" x14ac:dyDescent="0.3">
      <c r="A7" s="1">
        <v>6</v>
      </c>
      <c r="B7" s="1" t="s">
        <v>9</v>
      </c>
      <c r="C7" s="1">
        <v>3</v>
      </c>
      <c r="D7" s="1">
        <v>65</v>
      </c>
      <c r="E7" s="1">
        <v>1</v>
      </c>
      <c r="F7" s="1">
        <v>3</v>
      </c>
      <c r="P7" s="1">
        <v>6</v>
      </c>
      <c r="Q7" s="1" t="s">
        <v>9</v>
      </c>
      <c r="R7" s="1">
        <v>3</v>
      </c>
      <c r="S7" s="1">
        <v>65</v>
      </c>
      <c r="T7" s="26" t="s">
        <v>2024</v>
      </c>
      <c r="U7" s="27" t="s">
        <v>2019</v>
      </c>
    </row>
    <row r="8" spans="1:21" x14ac:dyDescent="0.3">
      <c r="A8" s="1">
        <v>7</v>
      </c>
      <c r="B8" s="1" t="s">
        <v>10</v>
      </c>
      <c r="C8" s="1">
        <v>0</v>
      </c>
      <c r="D8" s="1">
        <v>75</v>
      </c>
      <c r="E8" s="1">
        <v>2</v>
      </c>
      <c r="F8" s="1">
        <v>2</v>
      </c>
      <c r="P8" s="1">
        <v>7</v>
      </c>
      <c r="Q8" s="1" t="s">
        <v>10</v>
      </c>
      <c r="R8" s="1">
        <v>0</v>
      </c>
      <c r="S8" s="1">
        <v>75</v>
      </c>
      <c r="T8" s="26" t="s">
        <v>2021</v>
      </c>
      <c r="U8" s="27" t="s">
        <v>2018</v>
      </c>
    </row>
    <row r="9" spans="1:21" x14ac:dyDescent="0.3">
      <c r="A9" s="1">
        <v>8</v>
      </c>
      <c r="B9" s="1" t="s">
        <v>11</v>
      </c>
      <c r="C9" s="1">
        <v>2</v>
      </c>
      <c r="D9" s="1">
        <v>25</v>
      </c>
      <c r="E9" s="1">
        <v>5</v>
      </c>
      <c r="F9" s="1">
        <v>3</v>
      </c>
      <c r="P9" s="1">
        <v>8</v>
      </c>
      <c r="Q9" s="1" t="s">
        <v>11</v>
      </c>
      <c r="R9" s="1">
        <v>2</v>
      </c>
      <c r="S9" s="1">
        <v>25</v>
      </c>
      <c r="T9" s="26" t="s">
        <v>2022</v>
      </c>
      <c r="U9" s="27" t="s">
        <v>2018</v>
      </c>
    </row>
    <row r="10" spans="1:21" x14ac:dyDescent="0.3">
      <c r="A10" s="1">
        <v>9</v>
      </c>
      <c r="B10" s="1" t="s">
        <v>12</v>
      </c>
      <c r="C10" s="1">
        <v>0</v>
      </c>
      <c r="D10" s="1">
        <v>41</v>
      </c>
      <c r="E10" s="1">
        <v>2</v>
      </c>
      <c r="F10" s="1">
        <v>1</v>
      </c>
      <c r="P10" s="1">
        <v>9</v>
      </c>
      <c r="Q10" s="1" t="s">
        <v>12</v>
      </c>
      <c r="R10" s="1">
        <v>0</v>
      </c>
      <c r="S10" s="1">
        <v>41</v>
      </c>
      <c r="T10" s="26" t="s">
        <v>2025</v>
      </c>
      <c r="U10" s="27" t="s">
        <v>2019</v>
      </c>
    </row>
    <row r="11" spans="1:21" x14ac:dyDescent="0.3">
      <c r="A11" s="1">
        <v>10</v>
      </c>
      <c r="B11" s="1" t="s">
        <v>13</v>
      </c>
      <c r="C11" s="1">
        <v>3</v>
      </c>
      <c r="D11" s="1">
        <v>33</v>
      </c>
      <c r="E11" s="1">
        <v>5</v>
      </c>
      <c r="F11" s="1">
        <v>3</v>
      </c>
      <c r="P11" s="1">
        <v>10</v>
      </c>
      <c r="Q11" s="1" t="s">
        <v>13</v>
      </c>
      <c r="R11" s="1">
        <v>3</v>
      </c>
      <c r="S11" s="1">
        <v>33</v>
      </c>
      <c r="T11" s="26" t="s">
        <v>2026</v>
      </c>
      <c r="U11" s="27" t="s">
        <v>2018</v>
      </c>
    </row>
    <row r="12" spans="1:21" x14ac:dyDescent="0.3">
      <c r="A12" s="1">
        <v>11</v>
      </c>
      <c r="B12" s="1" t="s">
        <v>14</v>
      </c>
      <c r="C12" s="1">
        <v>4</v>
      </c>
      <c r="D12" s="1">
        <v>50</v>
      </c>
      <c r="E12" s="1">
        <v>2</v>
      </c>
      <c r="F12" s="1">
        <v>3</v>
      </c>
    </row>
    <row r="13" spans="1:21" x14ac:dyDescent="0.3">
      <c r="A13" s="1">
        <v>12</v>
      </c>
      <c r="B13" s="1" t="s">
        <v>15</v>
      </c>
      <c r="C13" s="1">
        <v>3</v>
      </c>
      <c r="D13" s="1">
        <v>65</v>
      </c>
      <c r="E13" s="1">
        <v>2</v>
      </c>
      <c r="F13" s="1">
        <v>3</v>
      </c>
    </row>
    <row r="14" spans="1:21" x14ac:dyDescent="0.3">
      <c r="A14" s="1">
        <v>13</v>
      </c>
      <c r="B14" s="1" t="s">
        <v>16</v>
      </c>
      <c r="C14" s="1">
        <v>3</v>
      </c>
      <c r="D14" s="1">
        <v>36</v>
      </c>
      <c r="E14" s="1">
        <v>2</v>
      </c>
      <c r="F14" s="1">
        <v>3</v>
      </c>
    </row>
    <row r="15" spans="1:21" x14ac:dyDescent="0.3">
      <c r="A15" s="1">
        <v>14</v>
      </c>
      <c r="B15" s="1" t="s">
        <v>16</v>
      </c>
      <c r="C15" s="1">
        <v>1</v>
      </c>
      <c r="D15" s="1">
        <v>32</v>
      </c>
      <c r="E15" s="1">
        <v>2</v>
      </c>
      <c r="F15" s="1">
        <v>3</v>
      </c>
    </row>
    <row r="16" spans="1:21" x14ac:dyDescent="0.3">
      <c r="A16" s="1">
        <v>15</v>
      </c>
      <c r="B16" s="1" t="s">
        <v>16</v>
      </c>
      <c r="C16" s="1">
        <v>3</v>
      </c>
      <c r="D16" s="1">
        <v>37</v>
      </c>
      <c r="E16" s="1">
        <v>1</v>
      </c>
      <c r="F16" s="1">
        <v>3</v>
      </c>
    </row>
    <row r="17" spans="1:6" x14ac:dyDescent="0.3">
      <c r="A17" s="1">
        <v>16</v>
      </c>
      <c r="B17" s="1" t="s">
        <v>17</v>
      </c>
      <c r="C17" s="1">
        <v>2</v>
      </c>
      <c r="D17" s="1">
        <v>25</v>
      </c>
      <c r="E17" s="1">
        <v>2</v>
      </c>
      <c r="F17" s="1">
        <v>3</v>
      </c>
    </row>
    <row r="18" spans="1:6" x14ac:dyDescent="0.3">
      <c r="A18" s="1">
        <v>17</v>
      </c>
      <c r="B18" s="1" t="s">
        <v>18</v>
      </c>
      <c r="C18" s="1">
        <v>2</v>
      </c>
      <c r="D18" s="1">
        <v>32</v>
      </c>
      <c r="E18" s="1">
        <v>1</v>
      </c>
      <c r="F18" s="1">
        <v>3</v>
      </c>
    </row>
    <row r="19" spans="1:6" x14ac:dyDescent="0.3">
      <c r="A19" s="1">
        <v>18</v>
      </c>
      <c r="B19" s="1" t="s">
        <v>19</v>
      </c>
      <c r="C19" s="1">
        <v>3</v>
      </c>
      <c r="D19" s="1">
        <v>45</v>
      </c>
      <c r="E19" s="1">
        <v>2</v>
      </c>
      <c r="F19" s="1">
        <v>3</v>
      </c>
    </row>
    <row r="20" spans="1:6" x14ac:dyDescent="0.3">
      <c r="A20" s="1">
        <v>19</v>
      </c>
      <c r="B20" s="1" t="s">
        <v>20</v>
      </c>
      <c r="C20" s="1">
        <v>3</v>
      </c>
      <c r="D20" s="1">
        <v>35</v>
      </c>
      <c r="E20" s="1">
        <v>1</v>
      </c>
      <c r="F20" s="1">
        <v>3</v>
      </c>
    </row>
    <row r="21" spans="1:6" x14ac:dyDescent="0.3">
      <c r="A21" s="1">
        <v>20</v>
      </c>
      <c r="B21" s="1" t="s">
        <v>21</v>
      </c>
      <c r="C21" s="1">
        <v>2</v>
      </c>
      <c r="D21" s="1">
        <v>24</v>
      </c>
      <c r="E21" s="1">
        <v>5</v>
      </c>
      <c r="F21" s="1">
        <v>3</v>
      </c>
    </row>
    <row r="22" spans="1:6" x14ac:dyDescent="0.3">
      <c r="A22" s="1">
        <v>21</v>
      </c>
      <c r="B22" s="1" t="s">
        <v>22</v>
      </c>
      <c r="C22" s="1">
        <v>1</v>
      </c>
      <c r="D22" s="1">
        <v>52</v>
      </c>
      <c r="E22" s="1">
        <v>4</v>
      </c>
      <c r="F22" s="1">
        <v>3</v>
      </c>
    </row>
    <row r="23" spans="1:6" x14ac:dyDescent="0.3">
      <c r="A23" s="1">
        <v>22</v>
      </c>
      <c r="B23" s="1" t="s">
        <v>23</v>
      </c>
      <c r="C23" s="1">
        <v>2</v>
      </c>
      <c r="D23" s="1">
        <v>69</v>
      </c>
      <c r="E23" s="1">
        <v>2</v>
      </c>
      <c r="F23" s="1">
        <v>3</v>
      </c>
    </row>
    <row r="24" spans="1:6" x14ac:dyDescent="0.3">
      <c r="A24" s="1">
        <v>23</v>
      </c>
      <c r="B24" s="1" t="s">
        <v>24</v>
      </c>
      <c r="C24" s="1">
        <v>4</v>
      </c>
      <c r="D24" s="1">
        <v>49</v>
      </c>
      <c r="E24" s="1">
        <v>1</v>
      </c>
      <c r="F24" s="1">
        <v>3</v>
      </c>
    </row>
    <row r="25" spans="1:6" x14ac:dyDescent="0.3">
      <c r="A25" s="1">
        <v>24</v>
      </c>
      <c r="B25" s="1" t="s">
        <v>24</v>
      </c>
      <c r="C25" s="1">
        <v>4</v>
      </c>
      <c r="D25" s="1">
        <v>52</v>
      </c>
      <c r="E25" s="1">
        <v>4</v>
      </c>
      <c r="F25" s="1">
        <v>3</v>
      </c>
    </row>
    <row r="26" spans="1:6" x14ac:dyDescent="0.3">
      <c r="A26" s="1">
        <v>25</v>
      </c>
      <c r="B26" s="1" t="s">
        <v>24</v>
      </c>
      <c r="C26" s="1">
        <v>2</v>
      </c>
      <c r="D26" s="1">
        <v>47</v>
      </c>
      <c r="E26" s="1">
        <v>2</v>
      </c>
      <c r="F26" s="1">
        <v>3</v>
      </c>
    </row>
    <row r="27" spans="1:6" x14ac:dyDescent="0.3">
      <c r="A27" s="1">
        <v>26</v>
      </c>
      <c r="B27" s="1" t="s">
        <v>24</v>
      </c>
      <c r="C27" s="1">
        <v>2</v>
      </c>
      <c r="D27" s="1">
        <v>51</v>
      </c>
      <c r="E27" s="1">
        <v>2</v>
      </c>
      <c r="F27" s="1">
        <v>3</v>
      </c>
    </row>
    <row r="28" spans="1:6" x14ac:dyDescent="0.3">
      <c r="A28" s="1">
        <v>27</v>
      </c>
      <c r="B28" s="1" t="s">
        <v>24</v>
      </c>
      <c r="C28" s="1">
        <v>4</v>
      </c>
      <c r="D28" s="1">
        <v>46</v>
      </c>
      <c r="E28" s="1">
        <v>1</v>
      </c>
      <c r="F28" s="1">
        <v>3</v>
      </c>
    </row>
    <row r="29" spans="1:6" x14ac:dyDescent="0.3">
      <c r="A29" s="1">
        <v>28</v>
      </c>
      <c r="B29" s="1" t="s">
        <v>25</v>
      </c>
      <c r="C29" s="1">
        <v>2</v>
      </c>
      <c r="D29" s="1">
        <v>55</v>
      </c>
      <c r="E29" s="1">
        <v>2</v>
      </c>
      <c r="F29" s="1">
        <v>3</v>
      </c>
    </row>
    <row r="30" spans="1:6" x14ac:dyDescent="0.3">
      <c r="A30" s="1">
        <v>29</v>
      </c>
      <c r="B30" s="1" t="s">
        <v>26</v>
      </c>
      <c r="C30" s="1">
        <v>1</v>
      </c>
      <c r="D30" s="1">
        <v>56</v>
      </c>
      <c r="E30" s="1">
        <v>4</v>
      </c>
      <c r="F30" s="1">
        <v>2</v>
      </c>
    </row>
    <row r="31" spans="1:6" x14ac:dyDescent="0.3">
      <c r="A31" s="1">
        <v>30</v>
      </c>
      <c r="B31" s="1" t="s">
        <v>27</v>
      </c>
      <c r="C31" s="1">
        <v>3</v>
      </c>
      <c r="D31" s="1">
        <v>44</v>
      </c>
      <c r="E31" s="1">
        <v>2</v>
      </c>
      <c r="F31" s="1">
        <v>3</v>
      </c>
    </row>
    <row r="32" spans="1:6" x14ac:dyDescent="0.3">
      <c r="A32" s="1">
        <v>31</v>
      </c>
      <c r="B32" s="1" t="s">
        <v>28</v>
      </c>
      <c r="C32" s="1">
        <v>4</v>
      </c>
      <c r="D32" s="1">
        <v>35</v>
      </c>
      <c r="E32" s="1">
        <v>3</v>
      </c>
      <c r="F32" s="1">
        <v>3</v>
      </c>
    </row>
    <row r="33" spans="1:6" x14ac:dyDescent="0.3">
      <c r="A33" s="1">
        <v>32</v>
      </c>
      <c r="B33" s="1" t="s">
        <v>29</v>
      </c>
      <c r="C33" s="1">
        <v>1</v>
      </c>
      <c r="D33" s="1">
        <v>60</v>
      </c>
      <c r="E33" s="1">
        <v>2</v>
      </c>
      <c r="F33" s="1">
        <v>2</v>
      </c>
    </row>
    <row r="34" spans="1:6" x14ac:dyDescent="0.3">
      <c r="A34" s="1">
        <v>33</v>
      </c>
      <c r="B34" s="1" t="s">
        <v>30</v>
      </c>
      <c r="C34" s="1">
        <v>0</v>
      </c>
      <c r="D34" s="1">
        <v>55</v>
      </c>
      <c r="E34" s="1">
        <v>2</v>
      </c>
      <c r="F34" s="1">
        <v>1</v>
      </c>
    </row>
    <row r="35" spans="1:6" x14ac:dyDescent="0.3">
      <c r="A35" s="1">
        <v>34</v>
      </c>
      <c r="B35" s="1" t="s">
        <v>31</v>
      </c>
      <c r="C35" s="1">
        <v>3</v>
      </c>
      <c r="D35" s="1">
        <v>43</v>
      </c>
      <c r="E35" s="1">
        <v>2</v>
      </c>
      <c r="F35" s="1">
        <v>3</v>
      </c>
    </row>
    <row r="36" spans="1:6" x14ac:dyDescent="0.3">
      <c r="A36" s="1">
        <v>35</v>
      </c>
      <c r="B36" s="1" t="s">
        <v>32</v>
      </c>
      <c r="C36" s="1">
        <v>2</v>
      </c>
      <c r="D36" s="1">
        <v>30</v>
      </c>
      <c r="E36" s="1">
        <v>3</v>
      </c>
      <c r="F36" s="1">
        <v>3</v>
      </c>
    </row>
    <row r="37" spans="1:6" x14ac:dyDescent="0.3">
      <c r="A37" s="1">
        <v>36</v>
      </c>
      <c r="B37" s="1" t="s">
        <v>33</v>
      </c>
      <c r="C37" s="1">
        <v>0</v>
      </c>
      <c r="D37" s="1">
        <v>28</v>
      </c>
      <c r="E37" s="1">
        <v>1</v>
      </c>
      <c r="F37" s="1">
        <v>1</v>
      </c>
    </row>
    <row r="38" spans="1:6" x14ac:dyDescent="0.3">
      <c r="A38" s="1">
        <v>37</v>
      </c>
      <c r="B38" s="1" t="s">
        <v>34</v>
      </c>
      <c r="C38" s="1">
        <v>1</v>
      </c>
      <c r="D38" s="1">
        <v>64</v>
      </c>
      <c r="E38" s="1">
        <v>2</v>
      </c>
      <c r="F38" s="1">
        <v>2</v>
      </c>
    </row>
    <row r="39" spans="1:6" x14ac:dyDescent="0.3">
      <c r="A39" s="1">
        <v>38</v>
      </c>
      <c r="B39" s="1" t="s">
        <v>35</v>
      </c>
      <c r="C39" s="1">
        <v>3</v>
      </c>
      <c r="D39" s="1">
        <v>61</v>
      </c>
      <c r="E39" s="1">
        <v>2</v>
      </c>
      <c r="F39" s="1">
        <v>3</v>
      </c>
    </row>
    <row r="40" spans="1:6" x14ac:dyDescent="0.3">
      <c r="A40" s="1">
        <v>39</v>
      </c>
      <c r="B40" s="1" t="s">
        <v>36</v>
      </c>
      <c r="C40" s="1">
        <v>1</v>
      </c>
      <c r="D40" s="1">
        <v>25</v>
      </c>
      <c r="E40" s="1">
        <v>2</v>
      </c>
      <c r="F40" s="1">
        <v>3</v>
      </c>
    </row>
    <row r="41" spans="1:6" x14ac:dyDescent="0.3">
      <c r="A41" s="1">
        <v>40</v>
      </c>
      <c r="B41" s="1" t="s">
        <v>37</v>
      </c>
      <c r="C41" s="1">
        <v>4</v>
      </c>
      <c r="D41" s="1">
        <v>56</v>
      </c>
      <c r="E41" s="1">
        <v>2</v>
      </c>
      <c r="F41" s="1">
        <v>3</v>
      </c>
    </row>
    <row r="42" spans="1:6" x14ac:dyDescent="0.3">
      <c r="A42" s="1">
        <v>41</v>
      </c>
      <c r="B42" s="1" t="s">
        <v>38</v>
      </c>
      <c r="C42" s="1">
        <v>3</v>
      </c>
      <c r="D42" s="1">
        <v>51</v>
      </c>
      <c r="E42" s="1">
        <v>5</v>
      </c>
      <c r="F42" s="1">
        <v>3</v>
      </c>
    </row>
    <row r="43" spans="1:6" x14ac:dyDescent="0.3">
      <c r="A43" s="1">
        <v>42</v>
      </c>
      <c r="B43" s="1" t="s">
        <v>39</v>
      </c>
      <c r="C43" s="1">
        <v>5</v>
      </c>
      <c r="D43" s="1">
        <v>37</v>
      </c>
      <c r="E43" s="1">
        <v>2</v>
      </c>
      <c r="F43" s="1">
        <v>3</v>
      </c>
    </row>
    <row r="44" spans="1:6" x14ac:dyDescent="0.3">
      <c r="A44" s="1">
        <v>43</v>
      </c>
      <c r="B44" s="1" t="s">
        <v>40</v>
      </c>
      <c r="C44" s="1">
        <v>3</v>
      </c>
      <c r="D44" s="1">
        <v>33</v>
      </c>
      <c r="E44" s="1">
        <v>2</v>
      </c>
      <c r="F44" s="1">
        <v>3</v>
      </c>
    </row>
    <row r="45" spans="1:6" x14ac:dyDescent="0.3">
      <c r="A45" s="1">
        <v>44</v>
      </c>
      <c r="B45" s="1" t="s">
        <v>41</v>
      </c>
      <c r="C45" s="1">
        <v>3</v>
      </c>
      <c r="D45" s="1">
        <v>90</v>
      </c>
      <c r="E45" s="1">
        <v>1</v>
      </c>
      <c r="F45" s="1">
        <v>2</v>
      </c>
    </row>
    <row r="46" spans="1:6" x14ac:dyDescent="0.3">
      <c r="A46" s="1">
        <v>45</v>
      </c>
      <c r="B46" s="1" t="s">
        <v>42</v>
      </c>
      <c r="C46" s="1">
        <v>3</v>
      </c>
      <c r="D46" s="1">
        <v>40</v>
      </c>
      <c r="E46" s="1">
        <v>2</v>
      </c>
      <c r="F46" s="1">
        <v>3</v>
      </c>
    </row>
    <row r="47" spans="1:6" x14ac:dyDescent="0.3">
      <c r="A47" s="1">
        <v>46</v>
      </c>
      <c r="B47" s="1" t="s">
        <v>43</v>
      </c>
      <c r="C47" s="1">
        <v>1</v>
      </c>
      <c r="D47" s="1">
        <v>62</v>
      </c>
      <c r="E47" s="1">
        <v>2</v>
      </c>
      <c r="F47" s="1">
        <v>3</v>
      </c>
    </row>
    <row r="48" spans="1:6" x14ac:dyDescent="0.3">
      <c r="A48" s="1">
        <v>47</v>
      </c>
      <c r="B48" s="1" t="s">
        <v>44</v>
      </c>
      <c r="C48" s="1">
        <v>2</v>
      </c>
      <c r="D48" s="1">
        <v>74</v>
      </c>
      <c r="E48" s="1">
        <v>2</v>
      </c>
      <c r="F48" s="1">
        <v>3</v>
      </c>
    </row>
    <row r="49" spans="1:6" x14ac:dyDescent="0.3">
      <c r="A49" s="1">
        <v>48</v>
      </c>
      <c r="B49" s="1" t="s">
        <v>45</v>
      </c>
      <c r="C49" s="1">
        <v>3</v>
      </c>
      <c r="D49" s="1">
        <v>39</v>
      </c>
      <c r="E49" s="1">
        <v>2</v>
      </c>
      <c r="F49" s="1">
        <v>3</v>
      </c>
    </row>
    <row r="50" spans="1:6" x14ac:dyDescent="0.3">
      <c r="A50" s="1">
        <v>49</v>
      </c>
      <c r="B50" s="1" t="s">
        <v>46</v>
      </c>
      <c r="C50" s="1">
        <v>1</v>
      </c>
      <c r="D50" s="1">
        <v>42</v>
      </c>
      <c r="E50" s="1">
        <v>2</v>
      </c>
      <c r="F50" s="1">
        <v>1</v>
      </c>
    </row>
    <row r="51" spans="1:6" x14ac:dyDescent="0.3">
      <c r="A51" s="1">
        <v>50</v>
      </c>
      <c r="B51" s="1" t="s">
        <v>47</v>
      </c>
      <c r="C51" s="1">
        <v>2</v>
      </c>
      <c r="D51" s="1">
        <v>33</v>
      </c>
      <c r="E51" s="1">
        <v>2</v>
      </c>
      <c r="F51" s="1">
        <v>3</v>
      </c>
    </row>
    <row r="52" spans="1:6" x14ac:dyDescent="0.3">
      <c r="A52" s="1">
        <v>51</v>
      </c>
      <c r="B52" s="1" t="s">
        <v>48</v>
      </c>
      <c r="C52" s="1">
        <v>2</v>
      </c>
      <c r="D52" s="1">
        <v>70</v>
      </c>
      <c r="E52" s="1">
        <v>2</v>
      </c>
      <c r="F52" s="1">
        <v>3</v>
      </c>
    </row>
    <row r="53" spans="1:6" x14ac:dyDescent="0.3">
      <c r="A53" s="1">
        <v>52</v>
      </c>
      <c r="B53" s="1" t="s">
        <v>49</v>
      </c>
      <c r="C53" s="1">
        <v>0</v>
      </c>
      <c r="D53" s="1">
        <v>66</v>
      </c>
      <c r="E53" s="1">
        <v>1</v>
      </c>
      <c r="F53" s="1">
        <v>1</v>
      </c>
    </row>
    <row r="54" spans="1:6" x14ac:dyDescent="0.3">
      <c r="A54" s="1">
        <v>53</v>
      </c>
      <c r="B54" s="1" t="s">
        <v>50</v>
      </c>
      <c r="C54" s="1">
        <v>2</v>
      </c>
      <c r="D54" s="1">
        <v>28</v>
      </c>
      <c r="E54" s="1">
        <v>2</v>
      </c>
      <c r="F54" s="1">
        <v>3</v>
      </c>
    </row>
    <row r="55" spans="1:6" x14ac:dyDescent="0.3">
      <c r="A55" s="1">
        <v>54</v>
      </c>
      <c r="B55" s="1" t="s">
        <v>51</v>
      </c>
      <c r="C55" s="1">
        <v>1</v>
      </c>
      <c r="D55" s="1">
        <v>52</v>
      </c>
      <c r="E55" s="1">
        <v>2</v>
      </c>
      <c r="F55" s="1">
        <v>3</v>
      </c>
    </row>
    <row r="56" spans="1:6" x14ac:dyDescent="0.3">
      <c r="A56" s="1">
        <v>55</v>
      </c>
      <c r="B56" s="1" t="s">
        <v>52</v>
      </c>
      <c r="C56" s="1">
        <v>2</v>
      </c>
      <c r="D56" s="1">
        <v>46</v>
      </c>
      <c r="E56" s="1">
        <v>3</v>
      </c>
      <c r="F56" s="1">
        <v>3</v>
      </c>
    </row>
    <row r="57" spans="1:6" x14ac:dyDescent="0.3">
      <c r="A57" s="1">
        <v>56</v>
      </c>
      <c r="B57" s="1" t="s">
        <v>53</v>
      </c>
      <c r="C57" s="1">
        <v>2</v>
      </c>
      <c r="D57" s="1">
        <v>34</v>
      </c>
      <c r="E57" s="1">
        <v>3</v>
      </c>
      <c r="F57" s="1">
        <v>3</v>
      </c>
    </row>
    <row r="58" spans="1:6" x14ac:dyDescent="0.3">
      <c r="A58" s="1">
        <v>57</v>
      </c>
      <c r="B58" s="1" t="s">
        <v>54</v>
      </c>
      <c r="C58" s="1">
        <v>2</v>
      </c>
      <c r="D58" s="1">
        <v>37</v>
      </c>
      <c r="E58" s="1">
        <v>2</v>
      </c>
      <c r="F58" s="1">
        <v>3</v>
      </c>
    </row>
    <row r="59" spans="1:6" x14ac:dyDescent="0.3">
      <c r="A59" s="1">
        <v>58</v>
      </c>
      <c r="B59" s="1" t="s">
        <v>54</v>
      </c>
      <c r="C59" s="1">
        <v>2</v>
      </c>
      <c r="D59" s="1">
        <v>39</v>
      </c>
      <c r="E59" s="1">
        <v>2</v>
      </c>
      <c r="F59" s="1">
        <v>3</v>
      </c>
    </row>
    <row r="60" spans="1:6" x14ac:dyDescent="0.3">
      <c r="A60" s="1">
        <v>59</v>
      </c>
      <c r="B60" s="1" t="s">
        <v>55</v>
      </c>
      <c r="C60" s="1">
        <v>2</v>
      </c>
      <c r="D60" s="1">
        <v>39</v>
      </c>
      <c r="E60" s="1">
        <v>3</v>
      </c>
      <c r="F60" s="1">
        <v>3</v>
      </c>
    </row>
    <row r="61" spans="1:6" x14ac:dyDescent="0.3">
      <c r="A61" s="1">
        <v>60</v>
      </c>
      <c r="B61" s="1" t="s">
        <v>56</v>
      </c>
      <c r="C61" s="1">
        <v>3</v>
      </c>
      <c r="D61" s="1">
        <v>49</v>
      </c>
      <c r="E61" s="1">
        <v>2</v>
      </c>
      <c r="F61" s="1">
        <v>3</v>
      </c>
    </row>
    <row r="62" spans="1:6" x14ac:dyDescent="0.3">
      <c r="A62" s="1">
        <v>61</v>
      </c>
      <c r="B62" s="1" t="s">
        <v>57</v>
      </c>
      <c r="C62" s="1">
        <v>2</v>
      </c>
      <c r="D62" s="1">
        <v>26</v>
      </c>
      <c r="E62" s="1">
        <v>5</v>
      </c>
      <c r="F62" s="1">
        <v>3</v>
      </c>
    </row>
    <row r="63" spans="1:6" x14ac:dyDescent="0.3">
      <c r="A63" s="1">
        <v>62</v>
      </c>
      <c r="B63" s="1" t="s">
        <v>58</v>
      </c>
      <c r="C63" s="1">
        <v>3</v>
      </c>
      <c r="D63" s="1">
        <v>41</v>
      </c>
      <c r="E63" s="1">
        <v>2</v>
      </c>
      <c r="F63" s="1">
        <v>3</v>
      </c>
    </row>
    <row r="64" spans="1:6" x14ac:dyDescent="0.3">
      <c r="A64" s="1">
        <v>63</v>
      </c>
      <c r="B64" s="1" t="s">
        <v>59</v>
      </c>
      <c r="C64" s="1">
        <v>3</v>
      </c>
      <c r="D64" s="1">
        <v>45</v>
      </c>
      <c r="E64" s="1">
        <v>3</v>
      </c>
      <c r="F64" s="1">
        <v>3</v>
      </c>
    </row>
    <row r="65" spans="1:6" x14ac:dyDescent="0.3">
      <c r="A65" s="1">
        <v>64</v>
      </c>
      <c r="B65" s="1" t="s">
        <v>59</v>
      </c>
      <c r="C65" s="1">
        <v>2</v>
      </c>
      <c r="D65" s="1">
        <v>28</v>
      </c>
      <c r="E65" s="1">
        <v>2</v>
      </c>
      <c r="F65" s="1">
        <v>3</v>
      </c>
    </row>
    <row r="66" spans="1:6" x14ac:dyDescent="0.3">
      <c r="A66" s="1">
        <v>65</v>
      </c>
      <c r="B66" s="1" t="s">
        <v>59</v>
      </c>
      <c r="C66" s="1">
        <v>3</v>
      </c>
      <c r="D66" s="1">
        <v>62</v>
      </c>
      <c r="E66" s="1">
        <v>2</v>
      </c>
      <c r="F66" s="1">
        <v>3</v>
      </c>
    </row>
    <row r="67" spans="1:6" x14ac:dyDescent="0.3">
      <c r="A67" s="1">
        <v>66</v>
      </c>
      <c r="B67" s="1" t="s">
        <v>59</v>
      </c>
      <c r="C67" s="1">
        <v>2</v>
      </c>
      <c r="D67" s="1">
        <v>55</v>
      </c>
      <c r="E67" s="1">
        <v>2</v>
      </c>
      <c r="F67" s="1">
        <v>3</v>
      </c>
    </row>
    <row r="68" spans="1:6" x14ac:dyDescent="0.3">
      <c r="A68" s="1">
        <v>67</v>
      </c>
      <c r="B68" s="1" t="s">
        <v>60</v>
      </c>
      <c r="C68" s="1">
        <v>0</v>
      </c>
      <c r="D68" s="1">
        <v>67</v>
      </c>
      <c r="E68" s="1">
        <v>2</v>
      </c>
      <c r="F68" s="1">
        <v>2</v>
      </c>
    </row>
    <row r="69" spans="1:6" x14ac:dyDescent="0.3">
      <c r="A69" s="1">
        <v>68</v>
      </c>
      <c r="B69" s="1" t="s">
        <v>61</v>
      </c>
      <c r="C69" s="1">
        <v>3</v>
      </c>
      <c r="D69" s="1">
        <v>29</v>
      </c>
      <c r="E69" s="1">
        <v>2</v>
      </c>
      <c r="F69" s="1">
        <v>3</v>
      </c>
    </row>
    <row r="70" spans="1:6" x14ac:dyDescent="0.3">
      <c r="A70" s="1">
        <v>69</v>
      </c>
      <c r="B70" s="1" t="s">
        <v>62</v>
      </c>
      <c r="C70" s="1">
        <v>4</v>
      </c>
      <c r="D70" s="1">
        <v>54</v>
      </c>
      <c r="E70" s="1">
        <v>1</v>
      </c>
      <c r="F70" s="1">
        <v>3</v>
      </c>
    </row>
    <row r="71" spans="1:6" x14ac:dyDescent="0.3">
      <c r="A71" s="1">
        <v>70</v>
      </c>
      <c r="B71" s="1" t="s">
        <v>63</v>
      </c>
      <c r="C71" s="1">
        <v>3</v>
      </c>
      <c r="D71" s="1">
        <v>52</v>
      </c>
      <c r="E71" s="1">
        <v>1</v>
      </c>
      <c r="F71" s="1">
        <v>3</v>
      </c>
    </row>
    <row r="72" spans="1:6" x14ac:dyDescent="0.3">
      <c r="A72" s="1">
        <v>71</v>
      </c>
      <c r="B72" s="1" t="s">
        <v>64</v>
      </c>
      <c r="C72" s="1">
        <v>0</v>
      </c>
      <c r="D72" s="1">
        <v>70</v>
      </c>
      <c r="E72" s="1">
        <v>1</v>
      </c>
      <c r="F72" s="1">
        <v>2</v>
      </c>
    </row>
    <row r="73" spans="1:6" x14ac:dyDescent="0.3">
      <c r="A73" s="1">
        <v>72</v>
      </c>
      <c r="B73" s="1" t="s">
        <v>65</v>
      </c>
      <c r="C73" s="1">
        <v>0</v>
      </c>
      <c r="D73" s="1">
        <v>70</v>
      </c>
      <c r="E73" s="1">
        <v>2</v>
      </c>
      <c r="F73" s="1">
        <v>2</v>
      </c>
    </row>
    <row r="74" spans="1:6" x14ac:dyDescent="0.3">
      <c r="A74" s="1">
        <v>73</v>
      </c>
      <c r="B74" s="1" t="s">
        <v>66</v>
      </c>
      <c r="C74" s="1">
        <v>1</v>
      </c>
      <c r="D74" s="1">
        <v>67</v>
      </c>
      <c r="E74" s="1">
        <v>1</v>
      </c>
      <c r="F74" s="1">
        <v>2</v>
      </c>
    </row>
    <row r="75" spans="1:6" x14ac:dyDescent="0.3">
      <c r="A75" s="1">
        <v>74</v>
      </c>
      <c r="B75" s="1" t="s">
        <v>67</v>
      </c>
      <c r="C75" s="1">
        <v>2</v>
      </c>
      <c r="D75" s="1">
        <v>62</v>
      </c>
      <c r="E75" s="1">
        <v>2</v>
      </c>
      <c r="F75" s="1">
        <v>3</v>
      </c>
    </row>
    <row r="76" spans="1:6" x14ac:dyDescent="0.3">
      <c r="A76" s="1">
        <v>75</v>
      </c>
      <c r="B76" s="1" t="s">
        <v>68</v>
      </c>
      <c r="C76" s="1">
        <v>3</v>
      </c>
      <c r="D76" s="1">
        <v>34</v>
      </c>
      <c r="E76" s="1">
        <v>3</v>
      </c>
      <c r="F76" s="1">
        <v>3</v>
      </c>
    </row>
    <row r="77" spans="1:6" x14ac:dyDescent="0.3">
      <c r="A77" s="1">
        <v>76</v>
      </c>
      <c r="B77" s="1" t="s">
        <v>69</v>
      </c>
      <c r="C77" s="1">
        <v>3</v>
      </c>
      <c r="D77" s="1">
        <v>34</v>
      </c>
      <c r="E77" s="1">
        <v>2</v>
      </c>
      <c r="F77" s="1">
        <v>3</v>
      </c>
    </row>
    <row r="78" spans="1:6" x14ac:dyDescent="0.3">
      <c r="A78" s="1">
        <v>77</v>
      </c>
      <c r="B78" s="1" t="s">
        <v>70</v>
      </c>
      <c r="C78" s="1">
        <v>2</v>
      </c>
      <c r="D78" s="1">
        <v>42</v>
      </c>
      <c r="E78" s="1">
        <v>2</v>
      </c>
      <c r="F78" s="1">
        <v>3</v>
      </c>
    </row>
    <row r="79" spans="1:6" x14ac:dyDescent="0.3">
      <c r="A79" s="1">
        <v>78</v>
      </c>
      <c r="B79" s="1" t="s">
        <v>71</v>
      </c>
      <c r="C79" s="1">
        <v>3</v>
      </c>
      <c r="D79" s="1">
        <v>45</v>
      </c>
      <c r="E79" s="1">
        <v>2</v>
      </c>
      <c r="F79" s="1">
        <v>3</v>
      </c>
    </row>
    <row r="80" spans="1:6" x14ac:dyDescent="0.3">
      <c r="A80" s="1">
        <v>79</v>
      </c>
      <c r="B80" s="1" t="s">
        <v>72</v>
      </c>
      <c r="C80" s="1">
        <v>2</v>
      </c>
      <c r="D80" s="1">
        <v>55</v>
      </c>
      <c r="E80" s="1">
        <v>2</v>
      </c>
      <c r="F80" s="1">
        <v>3</v>
      </c>
    </row>
    <row r="81" spans="1:6" x14ac:dyDescent="0.3">
      <c r="A81" s="1">
        <v>80</v>
      </c>
      <c r="B81" s="1" t="s">
        <v>73</v>
      </c>
      <c r="C81" s="1">
        <v>2</v>
      </c>
      <c r="D81" s="1">
        <v>56</v>
      </c>
      <c r="E81" s="1">
        <v>1</v>
      </c>
      <c r="F81" s="1">
        <v>2</v>
      </c>
    </row>
    <row r="82" spans="1:6" x14ac:dyDescent="0.3">
      <c r="A82" s="1">
        <v>81</v>
      </c>
      <c r="B82" s="1" t="s">
        <v>74</v>
      </c>
      <c r="C82" s="1">
        <v>1</v>
      </c>
      <c r="D82" s="1">
        <v>61</v>
      </c>
      <c r="E82" s="1">
        <v>1</v>
      </c>
      <c r="F82" s="1">
        <v>3</v>
      </c>
    </row>
    <row r="83" spans="1:6" x14ac:dyDescent="0.3">
      <c r="A83" s="1">
        <v>82</v>
      </c>
      <c r="B83" s="1" t="s">
        <v>75</v>
      </c>
      <c r="C83" s="1">
        <v>1</v>
      </c>
      <c r="D83" s="1">
        <v>42</v>
      </c>
      <c r="E83" s="1">
        <v>3</v>
      </c>
      <c r="F83" s="1">
        <v>3</v>
      </c>
    </row>
    <row r="84" spans="1:6" x14ac:dyDescent="0.3">
      <c r="A84" s="1">
        <v>83</v>
      </c>
      <c r="B84" s="1" t="s">
        <v>76</v>
      </c>
      <c r="C84" s="1">
        <v>4</v>
      </c>
      <c r="D84" s="1">
        <v>56</v>
      </c>
      <c r="E84" s="1">
        <v>4</v>
      </c>
      <c r="F84" s="1">
        <v>3</v>
      </c>
    </row>
    <row r="85" spans="1:6" x14ac:dyDescent="0.3">
      <c r="A85" s="1">
        <v>84</v>
      </c>
      <c r="B85" s="1" t="s">
        <v>77</v>
      </c>
      <c r="C85" s="1">
        <v>3</v>
      </c>
      <c r="D85" s="1">
        <v>39</v>
      </c>
      <c r="E85" s="1">
        <v>2</v>
      </c>
      <c r="F85" s="1">
        <v>3</v>
      </c>
    </row>
    <row r="86" spans="1:6" x14ac:dyDescent="0.3">
      <c r="A86" s="1">
        <v>85</v>
      </c>
      <c r="B86" s="1" t="s">
        <v>78</v>
      </c>
      <c r="C86" s="1">
        <v>3</v>
      </c>
      <c r="D86" s="1">
        <v>49</v>
      </c>
      <c r="E86" s="1">
        <v>2</v>
      </c>
      <c r="F86" s="1">
        <v>3</v>
      </c>
    </row>
    <row r="87" spans="1:6" x14ac:dyDescent="0.3">
      <c r="A87" s="1">
        <v>86</v>
      </c>
      <c r="B87" s="1" t="s">
        <v>79</v>
      </c>
      <c r="C87" s="1">
        <v>3</v>
      </c>
      <c r="D87" s="1">
        <v>48</v>
      </c>
      <c r="E87" s="1">
        <v>2</v>
      </c>
      <c r="F87" s="1">
        <v>3</v>
      </c>
    </row>
    <row r="88" spans="1:6" x14ac:dyDescent="0.3">
      <c r="A88" s="1">
        <v>87</v>
      </c>
      <c r="B88" s="1" t="s">
        <v>80</v>
      </c>
      <c r="C88" s="1">
        <v>4</v>
      </c>
      <c r="D88" s="1">
        <v>43</v>
      </c>
      <c r="E88" s="1">
        <v>4</v>
      </c>
      <c r="F88" s="1">
        <v>3</v>
      </c>
    </row>
    <row r="89" spans="1:6" x14ac:dyDescent="0.3">
      <c r="A89" s="1">
        <v>88</v>
      </c>
      <c r="B89" s="1" t="s">
        <v>81</v>
      </c>
      <c r="C89" s="1">
        <v>2</v>
      </c>
      <c r="D89" s="1">
        <v>70</v>
      </c>
      <c r="E89" s="1">
        <v>4</v>
      </c>
      <c r="F89" s="1">
        <v>3</v>
      </c>
    </row>
    <row r="90" spans="1:6" x14ac:dyDescent="0.3">
      <c r="A90" s="1">
        <v>89</v>
      </c>
      <c r="B90" s="1" t="s">
        <v>82</v>
      </c>
      <c r="C90" s="1">
        <v>2</v>
      </c>
      <c r="D90" s="1">
        <v>46</v>
      </c>
      <c r="E90" s="1">
        <v>2</v>
      </c>
      <c r="F90" s="1">
        <v>3</v>
      </c>
    </row>
    <row r="91" spans="1:6" x14ac:dyDescent="0.3">
      <c r="A91" s="1">
        <v>90</v>
      </c>
      <c r="B91" s="1" t="s">
        <v>83</v>
      </c>
      <c r="C91" s="1">
        <v>4</v>
      </c>
      <c r="D91" s="1">
        <v>50</v>
      </c>
      <c r="E91" s="1">
        <v>2</v>
      </c>
      <c r="F91" s="1">
        <v>3</v>
      </c>
    </row>
    <row r="92" spans="1:6" x14ac:dyDescent="0.3">
      <c r="A92" s="1">
        <v>91</v>
      </c>
      <c r="B92" s="1" t="s">
        <v>84</v>
      </c>
      <c r="C92" s="1">
        <v>2</v>
      </c>
      <c r="D92" s="1">
        <v>58</v>
      </c>
      <c r="E92" s="1">
        <v>1</v>
      </c>
      <c r="F92" s="1">
        <v>3</v>
      </c>
    </row>
    <row r="93" spans="1:6" x14ac:dyDescent="0.3">
      <c r="A93" s="1">
        <v>92</v>
      </c>
      <c r="B93" s="1" t="s">
        <v>85</v>
      </c>
      <c r="C93" s="1">
        <v>2</v>
      </c>
      <c r="D93" s="1">
        <v>50</v>
      </c>
      <c r="E93" s="1">
        <v>2</v>
      </c>
      <c r="F93" s="1">
        <v>2</v>
      </c>
    </row>
    <row r="94" spans="1:6" x14ac:dyDescent="0.3">
      <c r="A94" s="1">
        <v>93</v>
      </c>
      <c r="B94" s="1" t="s">
        <v>85</v>
      </c>
      <c r="C94" s="1">
        <v>3</v>
      </c>
      <c r="D94" s="1">
        <v>29</v>
      </c>
      <c r="E94" s="1">
        <v>3</v>
      </c>
      <c r="F94" s="1">
        <v>3</v>
      </c>
    </row>
    <row r="95" spans="1:6" x14ac:dyDescent="0.3">
      <c r="A95" s="1">
        <v>94</v>
      </c>
      <c r="B95" s="1" t="s">
        <v>86</v>
      </c>
      <c r="C95" s="1">
        <v>3</v>
      </c>
      <c r="D95" s="1">
        <v>55</v>
      </c>
      <c r="E95" s="1">
        <v>2</v>
      </c>
      <c r="F95" s="1">
        <v>3</v>
      </c>
    </row>
    <row r="96" spans="1:6" x14ac:dyDescent="0.3">
      <c r="A96" s="1">
        <v>95</v>
      </c>
      <c r="B96" s="1" t="s">
        <v>86</v>
      </c>
      <c r="C96" s="1">
        <v>0</v>
      </c>
      <c r="D96" s="1">
        <v>58</v>
      </c>
      <c r="E96" s="1">
        <v>3</v>
      </c>
      <c r="F96" s="1">
        <v>2</v>
      </c>
    </row>
    <row r="97" spans="1:6" x14ac:dyDescent="0.3">
      <c r="A97" s="1">
        <v>96</v>
      </c>
      <c r="B97" s="1" t="s">
        <v>87</v>
      </c>
      <c r="C97" s="1">
        <v>4</v>
      </c>
      <c r="D97" s="1">
        <v>46</v>
      </c>
      <c r="E97" s="1">
        <v>3</v>
      </c>
      <c r="F97" s="1">
        <v>3</v>
      </c>
    </row>
    <row r="98" spans="1:6" x14ac:dyDescent="0.3">
      <c r="A98" s="1">
        <v>97</v>
      </c>
      <c r="B98" s="1" t="s">
        <v>88</v>
      </c>
      <c r="C98" s="1">
        <v>2</v>
      </c>
      <c r="D98" s="1">
        <v>34</v>
      </c>
      <c r="E98" s="1">
        <v>3</v>
      </c>
      <c r="F98" s="1">
        <v>3</v>
      </c>
    </row>
    <row r="99" spans="1:6" x14ac:dyDescent="0.3">
      <c r="A99" s="1">
        <v>98</v>
      </c>
      <c r="B99" s="1" t="s">
        <v>89</v>
      </c>
      <c r="C99" s="1">
        <v>0</v>
      </c>
      <c r="D99" s="1">
        <v>73</v>
      </c>
      <c r="E99" s="1">
        <v>2</v>
      </c>
      <c r="F99" s="1">
        <v>2</v>
      </c>
    </row>
    <row r="100" spans="1:6" x14ac:dyDescent="0.3">
      <c r="A100" s="1">
        <v>99</v>
      </c>
      <c r="B100" s="1" t="s">
        <v>90</v>
      </c>
      <c r="C100" s="1">
        <v>0</v>
      </c>
      <c r="D100" s="1">
        <v>67</v>
      </c>
      <c r="E100" s="1">
        <v>1</v>
      </c>
      <c r="F100" s="1">
        <v>2</v>
      </c>
    </row>
    <row r="101" spans="1:6" x14ac:dyDescent="0.3">
      <c r="A101" s="1">
        <v>100</v>
      </c>
      <c r="B101" s="1" t="s">
        <v>91</v>
      </c>
      <c r="C101" s="1">
        <v>3</v>
      </c>
      <c r="D101" s="1">
        <v>43</v>
      </c>
      <c r="E101" s="1">
        <v>2</v>
      </c>
      <c r="F101" s="1">
        <v>3</v>
      </c>
    </row>
    <row r="102" spans="1:6" x14ac:dyDescent="0.3">
      <c r="A102" s="1">
        <v>101</v>
      </c>
      <c r="B102" s="1" t="s">
        <v>92</v>
      </c>
      <c r="C102" s="1">
        <v>2</v>
      </c>
      <c r="D102" s="1">
        <v>32</v>
      </c>
      <c r="E102" s="1">
        <v>3</v>
      </c>
      <c r="F102" s="1">
        <v>3</v>
      </c>
    </row>
    <row r="103" spans="1:6" x14ac:dyDescent="0.3">
      <c r="A103" s="1">
        <v>102</v>
      </c>
      <c r="B103" s="1" t="s">
        <v>93</v>
      </c>
      <c r="C103" s="1">
        <v>2</v>
      </c>
      <c r="D103" s="1">
        <v>41</v>
      </c>
      <c r="E103" s="1">
        <v>2</v>
      </c>
      <c r="F103" s="1">
        <v>3</v>
      </c>
    </row>
    <row r="104" spans="1:6" x14ac:dyDescent="0.3">
      <c r="A104" s="1">
        <v>103</v>
      </c>
      <c r="B104" s="1" t="s">
        <v>94</v>
      </c>
      <c r="C104" s="1">
        <v>1</v>
      </c>
      <c r="D104" s="1">
        <v>65</v>
      </c>
      <c r="E104" s="1">
        <v>1</v>
      </c>
      <c r="F104" s="1">
        <v>3</v>
      </c>
    </row>
    <row r="105" spans="1:6" x14ac:dyDescent="0.3">
      <c r="A105" s="1">
        <v>104</v>
      </c>
      <c r="B105" s="1" t="s">
        <v>95</v>
      </c>
      <c r="C105" s="1">
        <v>2</v>
      </c>
      <c r="D105" s="1">
        <v>35</v>
      </c>
      <c r="E105" s="1">
        <v>3</v>
      </c>
      <c r="F105" s="1">
        <v>3</v>
      </c>
    </row>
    <row r="106" spans="1:6" x14ac:dyDescent="0.3">
      <c r="A106" s="1">
        <v>105</v>
      </c>
      <c r="B106" s="1" t="s">
        <v>96</v>
      </c>
      <c r="C106" s="1">
        <v>2</v>
      </c>
      <c r="D106" s="1">
        <v>48</v>
      </c>
      <c r="E106" s="1">
        <v>2</v>
      </c>
      <c r="F106" s="1">
        <v>3</v>
      </c>
    </row>
    <row r="107" spans="1:6" x14ac:dyDescent="0.3">
      <c r="A107" s="1">
        <v>106</v>
      </c>
      <c r="B107" s="1" t="s">
        <v>97</v>
      </c>
      <c r="C107" s="1">
        <v>1</v>
      </c>
      <c r="D107" s="1">
        <v>58</v>
      </c>
      <c r="E107" s="1">
        <v>2</v>
      </c>
      <c r="F107" s="1">
        <v>3</v>
      </c>
    </row>
    <row r="108" spans="1:6" x14ac:dyDescent="0.3">
      <c r="A108" s="1">
        <v>107</v>
      </c>
      <c r="B108" s="1" t="s">
        <v>97</v>
      </c>
      <c r="C108" s="1">
        <v>3</v>
      </c>
      <c r="D108" s="1">
        <v>53</v>
      </c>
      <c r="E108" s="1">
        <v>1</v>
      </c>
      <c r="F108" s="1">
        <v>3</v>
      </c>
    </row>
    <row r="109" spans="1:6" x14ac:dyDescent="0.3">
      <c r="A109" s="1">
        <v>108</v>
      </c>
      <c r="B109" s="1" t="s">
        <v>98</v>
      </c>
      <c r="C109" s="1">
        <v>2</v>
      </c>
      <c r="D109" s="1">
        <v>60</v>
      </c>
      <c r="E109" s="1">
        <v>2</v>
      </c>
      <c r="F109" s="1">
        <v>3</v>
      </c>
    </row>
    <row r="110" spans="1:6" x14ac:dyDescent="0.3">
      <c r="A110" s="1">
        <v>109</v>
      </c>
      <c r="B110" s="1" t="s">
        <v>99</v>
      </c>
      <c r="C110" s="1">
        <v>0</v>
      </c>
      <c r="D110" s="1">
        <v>76</v>
      </c>
      <c r="E110" s="1">
        <v>2</v>
      </c>
      <c r="F110" s="1">
        <v>2</v>
      </c>
    </row>
    <row r="111" spans="1:6" x14ac:dyDescent="0.3">
      <c r="A111" s="1">
        <v>110</v>
      </c>
      <c r="B111" s="1" t="s">
        <v>100</v>
      </c>
      <c r="C111" s="1">
        <v>2</v>
      </c>
      <c r="D111" s="1">
        <v>54</v>
      </c>
      <c r="E111" s="1">
        <v>2</v>
      </c>
      <c r="F111" s="1">
        <v>3</v>
      </c>
    </row>
    <row r="112" spans="1:6" x14ac:dyDescent="0.3">
      <c r="A112" s="1">
        <v>111</v>
      </c>
      <c r="B112" s="1" t="s">
        <v>101</v>
      </c>
      <c r="C112" s="1">
        <v>2</v>
      </c>
      <c r="D112" s="1">
        <v>45</v>
      </c>
      <c r="E112" s="1">
        <v>1</v>
      </c>
      <c r="F112" s="1">
        <v>2</v>
      </c>
    </row>
    <row r="113" spans="1:6" x14ac:dyDescent="0.3">
      <c r="A113" s="1">
        <v>112</v>
      </c>
      <c r="B113" s="1" t="s">
        <v>102</v>
      </c>
      <c r="C113" s="1">
        <v>2</v>
      </c>
      <c r="D113" s="1">
        <v>27</v>
      </c>
      <c r="E113" s="1">
        <v>1</v>
      </c>
      <c r="F113" s="1">
        <v>3</v>
      </c>
    </row>
    <row r="114" spans="1:6" x14ac:dyDescent="0.3">
      <c r="A114" s="1">
        <v>113</v>
      </c>
      <c r="B114" s="1" t="s">
        <v>103</v>
      </c>
      <c r="C114" s="1">
        <v>0</v>
      </c>
      <c r="D114" s="1">
        <v>47</v>
      </c>
      <c r="E114" s="1">
        <v>1</v>
      </c>
      <c r="F114" s="1">
        <v>2</v>
      </c>
    </row>
    <row r="115" spans="1:6" x14ac:dyDescent="0.3">
      <c r="A115" s="1">
        <v>114</v>
      </c>
      <c r="B115" s="1" t="s">
        <v>104</v>
      </c>
      <c r="C115" s="1">
        <v>0</v>
      </c>
      <c r="D115" s="1">
        <v>69</v>
      </c>
      <c r="E115" s="1">
        <v>2</v>
      </c>
      <c r="F115" s="1">
        <v>2</v>
      </c>
    </row>
    <row r="116" spans="1:6" x14ac:dyDescent="0.3">
      <c r="A116" s="1">
        <v>115</v>
      </c>
      <c r="B116" s="1" t="s">
        <v>105</v>
      </c>
      <c r="C116" s="1">
        <v>4</v>
      </c>
      <c r="D116" s="1">
        <v>50</v>
      </c>
      <c r="E116" s="1">
        <v>2</v>
      </c>
      <c r="F116" s="1">
        <v>3</v>
      </c>
    </row>
    <row r="117" spans="1:6" x14ac:dyDescent="0.3">
      <c r="A117" s="1">
        <v>116</v>
      </c>
      <c r="B117" s="1" t="s">
        <v>106</v>
      </c>
      <c r="C117" s="1">
        <v>1</v>
      </c>
      <c r="D117" s="1">
        <v>62</v>
      </c>
      <c r="E117" s="1">
        <v>2</v>
      </c>
      <c r="F117" s="1">
        <v>3</v>
      </c>
    </row>
    <row r="118" spans="1:6" x14ac:dyDescent="0.3">
      <c r="A118" s="1">
        <v>117</v>
      </c>
      <c r="B118" s="1" t="s">
        <v>107</v>
      </c>
      <c r="C118" s="1">
        <v>3</v>
      </c>
      <c r="D118" s="1">
        <v>55</v>
      </c>
      <c r="E118" s="1">
        <v>2</v>
      </c>
      <c r="F118" s="1">
        <v>3</v>
      </c>
    </row>
    <row r="119" spans="1:6" x14ac:dyDescent="0.3">
      <c r="A119" s="1">
        <v>118</v>
      </c>
      <c r="B119" s="1" t="s">
        <v>108</v>
      </c>
      <c r="C119" s="1">
        <v>3</v>
      </c>
      <c r="D119" s="1">
        <v>43</v>
      </c>
      <c r="E119" s="1">
        <v>3</v>
      </c>
      <c r="F119" s="1">
        <v>2</v>
      </c>
    </row>
    <row r="120" spans="1:6" x14ac:dyDescent="0.3">
      <c r="A120" s="1">
        <v>119</v>
      </c>
      <c r="B120" s="1" t="s">
        <v>108</v>
      </c>
      <c r="C120" s="1">
        <v>1</v>
      </c>
      <c r="D120" s="1">
        <v>56</v>
      </c>
      <c r="E120" s="1">
        <v>2</v>
      </c>
      <c r="F120" s="1">
        <v>2</v>
      </c>
    </row>
    <row r="121" spans="1:6" x14ac:dyDescent="0.3">
      <c r="A121" s="1">
        <v>120</v>
      </c>
      <c r="B121" s="1" t="s">
        <v>109</v>
      </c>
      <c r="C121" s="1">
        <v>1</v>
      </c>
      <c r="D121" s="1">
        <v>65</v>
      </c>
      <c r="E121" s="1">
        <v>2</v>
      </c>
      <c r="F121" s="1">
        <v>3</v>
      </c>
    </row>
    <row r="122" spans="1:6" x14ac:dyDescent="0.3">
      <c r="A122" s="1">
        <v>121</v>
      </c>
      <c r="B122" s="1" t="s">
        <v>110</v>
      </c>
      <c r="C122" s="1">
        <v>0</v>
      </c>
      <c r="D122" s="1">
        <v>77</v>
      </c>
      <c r="E122" s="1">
        <v>5</v>
      </c>
      <c r="F122" s="1">
        <v>2</v>
      </c>
    </row>
    <row r="123" spans="1:6" x14ac:dyDescent="0.3">
      <c r="A123" s="1">
        <v>122</v>
      </c>
      <c r="B123" s="1" t="s">
        <v>111</v>
      </c>
      <c r="C123" s="1">
        <v>1</v>
      </c>
      <c r="D123" s="1">
        <v>60</v>
      </c>
      <c r="E123" s="1">
        <v>2</v>
      </c>
      <c r="F123" s="1">
        <v>3</v>
      </c>
    </row>
    <row r="124" spans="1:6" x14ac:dyDescent="0.3">
      <c r="A124" s="1">
        <v>123</v>
      </c>
      <c r="B124" s="1" t="s">
        <v>112</v>
      </c>
      <c r="C124" s="1">
        <v>0</v>
      </c>
      <c r="D124" s="1">
        <v>62</v>
      </c>
      <c r="E124" s="1">
        <v>2</v>
      </c>
      <c r="F124" s="1">
        <v>2</v>
      </c>
    </row>
    <row r="125" spans="1:6" x14ac:dyDescent="0.3">
      <c r="A125" s="1">
        <v>124</v>
      </c>
      <c r="B125" s="1" t="s">
        <v>113</v>
      </c>
      <c r="C125" s="1">
        <v>3</v>
      </c>
      <c r="D125" s="1">
        <v>37</v>
      </c>
      <c r="E125" s="1">
        <v>2</v>
      </c>
      <c r="F125" s="1">
        <v>3</v>
      </c>
    </row>
    <row r="126" spans="1:6" x14ac:dyDescent="0.3">
      <c r="A126" s="1">
        <v>125</v>
      </c>
      <c r="B126" s="1" t="s">
        <v>114</v>
      </c>
      <c r="C126" s="1">
        <v>3</v>
      </c>
      <c r="D126" s="1">
        <v>42</v>
      </c>
      <c r="E126" s="1">
        <v>5</v>
      </c>
      <c r="F126" s="1">
        <v>3</v>
      </c>
    </row>
    <row r="127" spans="1:6" x14ac:dyDescent="0.3">
      <c r="A127" s="1">
        <v>126</v>
      </c>
      <c r="B127" s="1" t="s">
        <v>115</v>
      </c>
      <c r="C127" s="1">
        <v>2</v>
      </c>
      <c r="D127" s="1">
        <v>45</v>
      </c>
      <c r="E127" s="1">
        <v>1</v>
      </c>
      <c r="F127" s="1">
        <v>3</v>
      </c>
    </row>
    <row r="128" spans="1:6" x14ac:dyDescent="0.3">
      <c r="A128" s="1">
        <v>127</v>
      </c>
      <c r="B128" s="1" t="s">
        <v>116</v>
      </c>
      <c r="C128" s="1">
        <v>3</v>
      </c>
      <c r="D128" s="1">
        <v>40</v>
      </c>
      <c r="E128" s="1">
        <v>2</v>
      </c>
      <c r="F128" s="1">
        <v>3</v>
      </c>
    </row>
    <row r="129" spans="1:6" x14ac:dyDescent="0.3">
      <c r="A129" s="1">
        <v>128</v>
      </c>
      <c r="B129" s="1" t="s">
        <v>117</v>
      </c>
      <c r="C129" s="1">
        <v>4</v>
      </c>
      <c r="D129" s="1">
        <v>50</v>
      </c>
      <c r="E129" s="1">
        <v>5</v>
      </c>
      <c r="F129" s="1">
        <v>3</v>
      </c>
    </row>
    <row r="130" spans="1:6" x14ac:dyDescent="0.3">
      <c r="A130" s="1">
        <v>129</v>
      </c>
      <c r="B130" s="1" t="s">
        <v>118</v>
      </c>
      <c r="C130" s="1">
        <v>4</v>
      </c>
      <c r="D130" s="1">
        <v>37</v>
      </c>
      <c r="E130" s="1">
        <v>1</v>
      </c>
      <c r="F130" s="1">
        <v>3</v>
      </c>
    </row>
    <row r="131" spans="1:6" x14ac:dyDescent="0.3">
      <c r="A131" s="1">
        <v>130</v>
      </c>
      <c r="B131" s="1" t="s">
        <v>118</v>
      </c>
      <c r="C131" s="1">
        <v>2</v>
      </c>
      <c r="D131" s="1">
        <v>27</v>
      </c>
      <c r="E131" s="1">
        <v>2</v>
      </c>
      <c r="F131" s="1">
        <v>3</v>
      </c>
    </row>
    <row r="132" spans="1:6" x14ac:dyDescent="0.3">
      <c r="A132" s="1">
        <v>131</v>
      </c>
      <c r="B132" s="1" t="s">
        <v>119</v>
      </c>
      <c r="C132" s="1">
        <v>2</v>
      </c>
      <c r="D132" s="1">
        <v>30</v>
      </c>
      <c r="E132" s="1">
        <v>5</v>
      </c>
      <c r="F132" s="1">
        <v>3</v>
      </c>
    </row>
    <row r="133" spans="1:6" x14ac:dyDescent="0.3">
      <c r="A133" s="1">
        <v>132</v>
      </c>
      <c r="B133" s="1" t="s">
        <v>120</v>
      </c>
      <c r="C133" s="1">
        <v>2</v>
      </c>
      <c r="D133" s="1">
        <v>72</v>
      </c>
      <c r="E133" s="1">
        <v>2</v>
      </c>
      <c r="F133" s="1">
        <v>2</v>
      </c>
    </row>
    <row r="134" spans="1:6" x14ac:dyDescent="0.3">
      <c r="A134" s="1">
        <v>133</v>
      </c>
      <c r="B134" s="1" t="s">
        <v>121</v>
      </c>
      <c r="C134" s="1">
        <v>0</v>
      </c>
      <c r="D134" s="1">
        <v>72</v>
      </c>
      <c r="E134" s="1">
        <v>2</v>
      </c>
      <c r="F134" s="1">
        <v>2</v>
      </c>
    </row>
    <row r="135" spans="1:6" x14ac:dyDescent="0.3">
      <c r="A135" s="1">
        <v>134</v>
      </c>
      <c r="B135" s="1" t="s">
        <v>122</v>
      </c>
      <c r="C135" s="1">
        <v>2</v>
      </c>
      <c r="D135" s="1">
        <v>41</v>
      </c>
      <c r="E135" s="1">
        <v>2</v>
      </c>
      <c r="F135" s="1">
        <v>3</v>
      </c>
    </row>
    <row r="136" spans="1:6" x14ac:dyDescent="0.3">
      <c r="A136" s="1">
        <v>135</v>
      </c>
      <c r="B136" s="1" t="s">
        <v>123</v>
      </c>
      <c r="C136" s="1">
        <v>4</v>
      </c>
      <c r="D136" s="1">
        <v>46</v>
      </c>
      <c r="E136" s="1">
        <v>5</v>
      </c>
      <c r="F136" s="1">
        <v>3</v>
      </c>
    </row>
    <row r="137" spans="1:6" x14ac:dyDescent="0.3">
      <c r="A137" s="1">
        <v>136</v>
      </c>
      <c r="B137" s="1" t="s">
        <v>124</v>
      </c>
      <c r="C137" s="1">
        <v>0</v>
      </c>
      <c r="D137" s="1">
        <v>73</v>
      </c>
      <c r="E137" s="1">
        <v>1</v>
      </c>
      <c r="F137" s="1">
        <v>2</v>
      </c>
    </row>
    <row r="138" spans="1:6" x14ac:dyDescent="0.3">
      <c r="A138" s="1">
        <v>137</v>
      </c>
      <c r="B138" s="1" t="s">
        <v>125</v>
      </c>
      <c r="C138" s="1">
        <v>3</v>
      </c>
      <c r="D138" s="1">
        <v>42</v>
      </c>
      <c r="E138" s="1">
        <v>2</v>
      </c>
      <c r="F138" s="1">
        <v>3</v>
      </c>
    </row>
    <row r="139" spans="1:6" x14ac:dyDescent="0.3">
      <c r="A139" s="1">
        <v>138</v>
      </c>
      <c r="B139" s="1" t="s">
        <v>126</v>
      </c>
      <c r="C139" s="1">
        <v>3</v>
      </c>
      <c r="D139" s="1">
        <v>35</v>
      </c>
      <c r="E139" s="1">
        <v>2</v>
      </c>
      <c r="F139" s="1">
        <v>3</v>
      </c>
    </row>
    <row r="140" spans="1:6" x14ac:dyDescent="0.3">
      <c r="A140" s="1">
        <v>139</v>
      </c>
      <c r="B140" s="1" t="s">
        <v>127</v>
      </c>
      <c r="C140" s="1">
        <v>3</v>
      </c>
      <c r="D140" s="1">
        <v>88</v>
      </c>
      <c r="E140" s="1">
        <v>1</v>
      </c>
      <c r="F140" s="1">
        <v>2</v>
      </c>
    </row>
    <row r="141" spans="1:6" x14ac:dyDescent="0.3">
      <c r="A141" s="1">
        <v>140</v>
      </c>
      <c r="B141" s="1" t="s">
        <v>127</v>
      </c>
      <c r="C141" s="1">
        <v>1</v>
      </c>
      <c r="D141" s="1">
        <v>85</v>
      </c>
      <c r="E141" s="1">
        <v>1</v>
      </c>
      <c r="F141" s="1">
        <v>2</v>
      </c>
    </row>
    <row r="142" spans="1:6" x14ac:dyDescent="0.3">
      <c r="A142" s="1">
        <v>141</v>
      </c>
      <c r="B142" s="1" t="s">
        <v>128</v>
      </c>
      <c r="C142" s="1">
        <v>2</v>
      </c>
      <c r="D142" s="1">
        <v>43</v>
      </c>
      <c r="E142" s="1">
        <v>5</v>
      </c>
      <c r="F142" s="1">
        <v>3</v>
      </c>
    </row>
    <row r="143" spans="1:6" x14ac:dyDescent="0.3">
      <c r="A143" s="1">
        <v>142</v>
      </c>
      <c r="B143" s="1" t="s">
        <v>129</v>
      </c>
      <c r="C143" s="1">
        <v>0</v>
      </c>
      <c r="D143" s="1">
        <v>74</v>
      </c>
      <c r="E143" s="1">
        <v>1</v>
      </c>
      <c r="F143" s="1">
        <v>1</v>
      </c>
    </row>
    <row r="144" spans="1:6" x14ac:dyDescent="0.3">
      <c r="A144" s="1">
        <v>143</v>
      </c>
      <c r="B144" s="1" t="s">
        <v>130</v>
      </c>
      <c r="C144" s="1">
        <v>2</v>
      </c>
      <c r="D144" s="1">
        <v>36</v>
      </c>
      <c r="E144" s="1">
        <v>1</v>
      </c>
      <c r="F144" s="1">
        <v>2</v>
      </c>
    </row>
    <row r="145" spans="1:6" x14ac:dyDescent="0.3">
      <c r="A145" s="1">
        <v>144</v>
      </c>
      <c r="B145" s="1" t="s">
        <v>131</v>
      </c>
      <c r="C145" s="1">
        <v>3</v>
      </c>
      <c r="D145" s="1">
        <v>56</v>
      </c>
      <c r="E145" s="1">
        <v>1</v>
      </c>
      <c r="F145" s="1">
        <v>3</v>
      </c>
    </row>
    <row r="146" spans="1:6" x14ac:dyDescent="0.3">
      <c r="A146" s="1">
        <v>145</v>
      </c>
      <c r="B146" s="1" t="s">
        <v>132</v>
      </c>
      <c r="C146" s="1">
        <v>1</v>
      </c>
      <c r="D146" s="1">
        <v>60</v>
      </c>
      <c r="E146" s="1">
        <v>1</v>
      </c>
      <c r="F146" s="1">
        <v>1</v>
      </c>
    </row>
    <row r="147" spans="1:6" x14ac:dyDescent="0.3">
      <c r="A147" s="1">
        <v>146</v>
      </c>
      <c r="B147" s="1" t="s">
        <v>133</v>
      </c>
      <c r="C147" s="1">
        <v>1</v>
      </c>
      <c r="D147" s="1">
        <v>54</v>
      </c>
      <c r="E147" s="1">
        <v>1</v>
      </c>
      <c r="F147" s="1">
        <v>2</v>
      </c>
    </row>
    <row r="148" spans="1:6" x14ac:dyDescent="0.3">
      <c r="A148" s="1">
        <v>147</v>
      </c>
      <c r="B148" s="1" t="s">
        <v>134</v>
      </c>
      <c r="C148" s="1">
        <v>0</v>
      </c>
      <c r="D148" s="1">
        <v>67</v>
      </c>
      <c r="E148" s="1">
        <v>2</v>
      </c>
      <c r="F148" s="1">
        <v>2</v>
      </c>
    </row>
    <row r="149" spans="1:6" x14ac:dyDescent="0.3">
      <c r="A149" s="1">
        <v>148</v>
      </c>
      <c r="B149" s="1" t="s">
        <v>135</v>
      </c>
      <c r="C149" s="1">
        <v>3</v>
      </c>
      <c r="D149" s="1">
        <v>59</v>
      </c>
      <c r="E149" s="1">
        <v>2</v>
      </c>
      <c r="F149" s="1">
        <v>3</v>
      </c>
    </row>
    <row r="150" spans="1:6" x14ac:dyDescent="0.3">
      <c r="A150" s="1">
        <v>149</v>
      </c>
      <c r="B150" s="1" t="s">
        <v>136</v>
      </c>
      <c r="C150" s="1">
        <v>3</v>
      </c>
      <c r="D150" s="1">
        <v>53</v>
      </c>
      <c r="E150" s="1">
        <v>2</v>
      </c>
      <c r="F150" s="1">
        <v>3</v>
      </c>
    </row>
    <row r="151" spans="1:6" x14ac:dyDescent="0.3">
      <c r="A151" s="1">
        <v>150</v>
      </c>
      <c r="B151" s="1" t="s">
        <v>137</v>
      </c>
      <c r="C151" s="1">
        <v>5</v>
      </c>
      <c r="D151" s="1">
        <v>50</v>
      </c>
      <c r="E151" s="1">
        <v>2</v>
      </c>
      <c r="F151" s="1">
        <v>3</v>
      </c>
    </row>
    <row r="152" spans="1:6" x14ac:dyDescent="0.3">
      <c r="A152" s="1">
        <v>151</v>
      </c>
      <c r="B152" s="1" t="s">
        <v>138</v>
      </c>
      <c r="C152" s="1">
        <v>5</v>
      </c>
      <c r="D152" s="1">
        <v>51</v>
      </c>
      <c r="E152" s="1">
        <v>3</v>
      </c>
      <c r="F152" s="1">
        <v>3</v>
      </c>
    </row>
    <row r="153" spans="1:6" x14ac:dyDescent="0.3">
      <c r="A153" s="1">
        <v>152</v>
      </c>
      <c r="B153" s="1" t="s">
        <v>139</v>
      </c>
      <c r="C153" s="1">
        <v>0</v>
      </c>
      <c r="D153" s="1">
        <v>54</v>
      </c>
      <c r="E153" s="1">
        <v>2</v>
      </c>
      <c r="F153" s="1">
        <v>2</v>
      </c>
    </row>
    <row r="154" spans="1:6" x14ac:dyDescent="0.3">
      <c r="A154" s="1">
        <v>153</v>
      </c>
      <c r="B154" s="1" t="s">
        <v>140</v>
      </c>
      <c r="C154" s="1">
        <v>1</v>
      </c>
      <c r="D154" s="1">
        <v>49</v>
      </c>
      <c r="E154" s="1">
        <v>1</v>
      </c>
      <c r="F154" s="1">
        <v>3</v>
      </c>
    </row>
    <row r="155" spans="1:6" x14ac:dyDescent="0.3">
      <c r="A155" s="1">
        <v>154</v>
      </c>
      <c r="B155" s="1" t="s">
        <v>141</v>
      </c>
      <c r="C155" s="1">
        <v>2</v>
      </c>
      <c r="D155" s="1">
        <v>71</v>
      </c>
      <c r="E155" s="1">
        <v>2</v>
      </c>
      <c r="F155" s="1">
        <v>2</v>
      </c>
    </row>
    <row r="156" spans="1:6" x14ac:dyDescent="0.3">
      <c r="A156" s="1">
        <v>155</v>
      </c>
      <c r="B156" s="1" t="s">
        <v>142</v>
      </c>
      <c r="C156" s="1">
        <v>2</v>
      </c>
      <c r="D156" s="1">
        <v>53</v>
      </c>
      <c r="E156" s="1">
        <v>2</v>
      </c>
      <c r="F156" s="1">
        <v>2</v>
      </c>
    </row>
    <row r="157" spans="1:6" x14ac:dyDescent="0.3">
      <c r="A157" s="1">
        <v>156</v>
      </c>
      <c r="B157" s="1" t="s">
        <v>143</v>
      </c>
      <c r="C157" s="1">
        <v>1</v>
      </c>
      <c r="D157" s="1">
        <v>40</v>
      </c>
      <c r="E157" s="1">
        <v>1</v>
      </c>
      <c r="F157" s="1">
        <v>2</v>
      </c>
    </row>
    <row r="158" spans="1:6" x14ac:dyDescent="0.3">
      <c r="A158" s="1">
        <v>157</v>
      </c>
      <c r="B158" s="1" t="s">
        <v>144</v>
      </c>
      <c r="C158" s="1">
        <v>1</v>
      </c>
      <c r="D158" s="1">
        <v>46</v>
      </c>
      <c r="E158" s="1">
        <v>1</v>
      </c>
      <c r="F158" s="1">
        <v>2</v>
      </c>
    </row>
    <row r="159" spans="1:6" x14ac:dyDescent="0.3">
      <c r="A159" s="1">
        <v>158</v>
      </c>
      <c r="B159" s="1" t="s">
        <v>145</v>
      </c>
      <c r="C159" s="1">
        <v>2</v>
      </c>
      <c r="D159" s="1">
        <v>50</v>
      </c>
      <c r="E159" s="1">
        <v>2</v>
      </c>
      <c r="F159" s="1">
        <v>3</v>
      </c>
    </row>
    <row r="160" spans="1:6" x14ac:dyDescent="0.3">
      <c r="A160" s="1">
        <v>159</v>
      </c>
      <c r="B160" s="1" t="s">
        <v>146</v>
      </c>
      <c r="C160" s="1">
        <v>2</v>
      </c>
      <c r="D160" s="1">
        <v>46</v>
      </c>
      <c r="E160" s="1">
        <v>2</v>
      </c>
      <c r="F160" s="1">
        <v>2</v>
      </c>
    </row>
    <row r="161" spans="1:6" x14ac:dyDescent="0.3">
      <c r="A161" s="1">
        <v>160</v>
      </c>
      <c r="B161" s="1" t="s">
        <v>146</v>
      </c>
      <c r="C161" s="1">
        <v>3</v>
      </c>
      <c r="D161" s="1">
        <v>47</v>
      </c>
      <c r="E161" s="1">
        <v>2</v>
      </c>
      <c r="F161" s="1">
        <v>3</v>
      </c>
    </row>
    <row r="162" spans="1:6" x14ac:dyDescent="0.3">
      <c r="A162" s="1">
        <v>161</v>
      </c>
      <c r="B162" s="1" t="s">
        <v>147</v>
      </c>
      <c r="C162" s="1">
        <v>3</v>
      </c>
      <c r="D162" s="1">
        <v>45</v>
      </c>
      <c r="E162" s="1">
        <v>3</v>
      </c>
      <c r="F162" s="1">
        <v>3</v>
      </c>
    </row>
    <row r="163" spans="1:6" x14ac:dyDescent="0.3">
      <c r="A163" s="1">
        <v>162</v>
      </c>
      <c r="B163" s="1" t="s">
        <v>148</v>
      </c>
      <c r="C163" s="1">
        <v>4</v>
      </c>
      <c r="D163" s="1">
        <v>46</v>
      </c>
      <c r="E163" s="1">
        <v>5</v>
      </c>
      <c r="F163" s="1">
        <v>3</v>
      </c>
    </row>
    <row r="164" spans="1:6" x14ac:dyDescent="0.3">
      <c r="A164" s="1">
        <v>163</v>
      </c>
      <c r="B164" s="1" t="s">
        <v>148</v>
      </c>
      <c r="C164" s="1">
        <v>4</v>
      </c>
      <c r="D164" s="1">
        <v>53</v>
      </c>
      <c r="E164" s="1">
        <v>2</v>
      </c>
      <c r="F164" s="1">
        <v>3</v>
      </c>
    </row>
    <row r="165" spans="1:6" x14ac:dyDescent="0.3">
      <c r="A165" s="1">
        <v>164</v>
      </c>
      <c r="B165" s="1" t="s">
        <v>149</v>
      </c>
      <c r="C165" s="1">
        <v>2</v>
      </c>
      <c r="D165" s="1">
        <v>42</v>
      </c>
      <c r="E165" s="1">
        <v>1</v>
      </c>
      <c r="F165" s="1">
        <v>2</v>
      </c>
    </row>
    <row r="166" spans="1:6" x14ac:dyDescent="0.3">
      <c r="A166" s="1">
        <v>165</v>
      </c>
      <c r="B166" s="1" t="s">
        <v>150</v>
      </c>
      <c r="C166" s="1">
        <v>3</v>
      </c>
      <c r="D166" s="1">
        <v>57</v>
      </c>
      <c r="E166" s="1">
        <v>2</v>
      </c>
      <c r="F166" s="1">
        <v>3</v>
      </c>
    </row>
    <row r="167" spans="1:6" x14ac:dyDescent="0.3">
      <c r="A167" s="1">
        <v>166</v>
      </c>
      <c r="B167" s="1" t="s">
        <v>151</v>
      </c>
      <c r="C167" s="1">
        <v>0</v>
      </c>
      <c r="D167" s="1">
        <v>31</v>
      </c>
      <c r="E167" s="1">
        <v>5</v>
      </c>
      <c r="F167" s="1">
        <v>2</v>
      </c>
    </row>
    <row r="168" spans="1:6" x14ac:dyDescent="0.3">
      <c r="A168" s="1">
        <v>167</v>
      </c>
      <c r="B168" s="1" t="s">
        <v>152</v>
      </c>
      <c r="C168" s="1">
        <v>3</v>
      </c>
      <c r="D168" s="1">
        <v>41</v>
      </c>
      <c r="E168" s="1">
        <v>4</v>
      </c>
      <c r="F168" s="1">
        <v>3</v>
      </c>
    </row>
    <row r="169" spans="1:6" x14ac:dyDescent="0.3">
      <c r="A169" s="1">
        <v>168</v>
      </c>
      <c r="B169" s="1" t="s">
        <v>153</v>
      </c>
      <c r="C169" s="1">
        <v>3</v>
      </c>
      <c r="D169" s="1">
        <v>34</v>
      </c>
      <c r="E169" s="1">
        <v>5</v>
      </c>
      <c r="F169" s="1">
        <v>3</v>
      </c>
    </row>
    <row r="170" spans="1:6" x14ac:dyDescent="0.3">
      <c r="A170" s="1">
        <v>169</v>
      </c>
      <c r="B170" s="1" t="s">
        <v>154</v>
      </c>
      <c r="C170" s="1">
        <v>3</v>
      </c>
      <c r="D170" s="1">
        <v>39</v>
      </c>
      <c r="E170" s="1">
        <v>2</v>
      </c>
      <c r="F170" s="1">
        <v>3</v>
      </c>
    </row>
    <row r="171" spans="1:6" x14ac:dyDescent="0.3">
      <c r="A171" s="1">
        <v>170</v>
      </c>
      <c r="B171" s="1" t="s">
        <v>154</v>
      </c>
      <c r="C171" s="1">
        <v>2</v>
      </c>
      <c r="D171" s="1">
        <v>46</v>
      </c>
      <c r="E171" s="1">
        <v>2</v>
      </c>
      <c r="F171" s="1">
        <v>3</v>
      </c>
    </row>
    <row r="172" spans="1:6" x14ac:dyDescent="0.3">
      <c r="A172" s="1">
        <v>171</v>
      </c>
      <c r="B172" s="1" t="s">
        <v>155</v>
      </c>
      <c r="C172" s="1">
        <v>2</v>
      </c>
      <c r="D172" s="1">
        <v>33</v>
      </c>
      <c r="E172" s="1">
        <v>1</v>
      </c>
      <c r="F172" s="1">
        <v>3</v>
      </c>
    </row>
    <row r="173" spans="1:6" x14ac:dyDescent="0.3">
      <c r="A173" s="1">
        <v>172</v>
      </c>
      <c r="B173" s="1" t="s">
        <v>156</v>
      </c>
      <c r="C173" s="1">
        <v>2</v>
      </c>
      <c r="D173" s="1">
        <v>37</v>
      </c>
      <c r="E173" s="1">
        <v>1</v>
      </c>
      <c r="F173" s="1">
        <v>3</v>
      </c>
    </row>
    <row r="174" spans="1:6" x14ac:dyDescent="0.3">
      <c r="A174" s="1">
        <v>173</v>
      </c>
      <c r="B174" s="1" t="s">
        <v>157</v>
      </c>
      <c r="C174" s="1">
        <v>2</v>
      </c>
      <c r="D174" s="1">
        <v>41</v>
      </c>
      <c r="E174" s="1">
        <v>2</v>
      </c>
      <c r="F174" s="1">
        <v>3</v>
      </c>
    </row>
    <row r="175" spans="1:6" x14ac:dyDescent="0.3">
      <c r="A175" s="1">
        <v>174</v>
      </c>
      <c r="B175" s="1" t="s">
        <v>157</v>
      </c>
      <c r="C175" s="1">
        <v>4</v>
      </c>
      <c r="D175" s="1">
        <v>52</v>
      </c>
      <c r="E175" s="1">
        <v>2</v>
      </c>
      <c r="F175" s="1">
        <v>3</v>
      </c>
    </row>
    <row r="176" spans="1:6" x14ac:dyDescent="0.3">
      <c r="A176" s="1">
        <v>175</v>
      </c>
      <c r="B176" s="1" t="s">
        <v>158</v>
      </c>
      <c r="C176" s="1">
        <v>4</v>
      </c>
      <c r="D176" s="1">
        <v>66</v>
      </c>
      <c r="E176" s="1">
        <v>4</v>
      </c>
      <c r="F176" s="1">
        <v>3</v>
      </c>
    </row>
    <row r="177" spans="1:6" x14ac:dyDescent="0.3">
      <c r="A177" s="1">
        <v>176</v>
      </c>
      <c r="B177" s="1" t="s">
        <v>159</v>
      </c>
      <c r="C177" s="1">
        <v>4</v>
      </c>
      <c r="D177" s="1">
        <v>55</v>
      </c>
      <c r="E177" s="1">
        <v>2</v>
      </c>
      <c r="F177" s="1">
        <v>3</v>
      </c>
    </row>
    <row r="178" spans="1:6" x14ac:dyDescent="0.3">
      <c r="A178" s="1">
        <v>177</v>
      </c>
      <c r="B178" s="1" t="s">
        <v>160</v>
      </c>
      <c r="C178" s="1">
        <v>3</v>
      </c>
      <c r="D178" s="1">
        <v>38</v>
      </c>
      <c r="E178" s="1">
        <v>4</v>
      </c>
      <c r="F178" s="1">
        <v>3</v>
      </c>
    </row>
    <row r="179" spans="1:6" x14ac:dyDescent="0.3">
      <c r="A179" s="1">
        <v>178</v>
      </c>
      <c r="B179" s="1" t="s">
        <v>160</v>
      </c>
      <c r="C179" s="1">
        <v>3</v>
      </c>
      <c r="D179" s="1">
        <v>41</v>
      </c>
      <c r="E179" s="1">
        <v>2</v>
      </c>
      <c r="F179" s="1">
        <v>3</v>
      </c>
    </row>
    <row r="180" spans="1:6" x14ac:dyDescent="0.3">
      <c r="A180" s="1">
        <v>179</v>
      </c>
      <c r="B180" s="1" t="s">
        <v>160</v>
      </c>
      <c r="C180" s="1">
        <v>3</v>
      </c>
      <c r="D180" s="1">
        <v>51</v>
      </c>
      <c r="E180" s="1">
        <v>2</v>
      </c>
      <c r="F180" s="1">
        <v>3</v>
      </c>
    </row>
    <row r="181" spans="1:6" x14ac:dyDescent="0.3">
      <c r="A181" s="1">
        <v>180</v>
      </c>
      <c r="B181" s="1" t="s">
        <v>160</v>
      </c>
      <c r="C181" s="1">
        <v>3</v>
      </c>
      <c r="D181" s="1">
        <v>41</v>
      </c>
      <c r="E181" s="1">
        <v>1</v>
      </c>
      <c r="F181" s="1">
        <v>3</v>
      </c>
    </row>
    <row r="182" spans="1:6" x14ac:dyDescent="0.3">
      <c r="A182" s="1">
        <v>181</v>
      </c>
      <c r="B182" s="1" t="s">
        <v>161</v>
      </c>
      <c r="C182" s="1">
        <v>2</v>
      </c>
      <c r="D182" s="1">
        <v>26</v>
      </c>
      <c r="E182" s="1">
        <v>2</v>
      </c>
      <c r="F182" s="1">
        <v>3</v>
      </c>
    </row>
    <row r="183" spans="1:6" x14ac:dyDescent="0.3">
      <c r="A183" s="1">
        <v>182</v>
      </c>
      <c r="B183" s="1" t="s">
        <v>162</v>
      </c>
      <c r="C183" s="1">
        <v>4</v>
      </c>
      <c r="D183" s="1">
        <v>34</v>
      </c>
      <c r="E183" s="1">
        <v>2</v>
      </c>
      <c r="F183" s="1">
        <v>3</v>
      </c>
    </row>
    <row r="184" spans="1:6" x14ac:dyDescent="0.3">
      <c r="A184" s="1">
        <v>183</v>
      </c>
      <c r="B184" s="1" t="s">
        <v>163</v>
      </c>
      <c r="C184" s="1">
        <v>1</v>
      </c>
      <c r="D184" s="1">
        <v>56</v>
      </c>
      <c r="E184" s="1">
        <v>1</v>
      </c>
      <c r="F184" s="1">
        <v>2</v>
      </c>
    </row>
    <row r="185" spans="1:6" x14ac:dyDescent="0.3">
      <c r="A185" s="1">
        <v>184</v>
      </c>
      <c r="B185" s="1" t="s">
        <v>164</v>
      </c>
      <c r="C185" s="1">
        <v>1</v>
      </c>
      <c r="D185" s="1">
        <v>82</v>
      </c>
      <c r="E185" s="1">
        <v>2</v>
      </c>
      <c r="F185" s="1">
        <v>3</v>
      </c>
    </row>
    <row r="186" spans="1:6" x14ac:dyDescent="0.3">
      <c r="A186" s="1">
        <v>185</v>
      </c>
      <c r="B186" s="1" t="s">
        <v>165</v>
      </c>
      <c r="C186" s="1">
        <v>0</v>
      </c>
      <c r="D186" s="1">
        <v>51</v>
      </c>
      <c r="E186" s="1">
        <v>1</v>
      </c>
      <c r="F186" s="1">
        <v>1</v>
      </c>
    </row>
    <row r="187" spans="1:6" x14ac:dyDescent="0.3">
      <c r="A187" s="1">
        <v>186</v>
      </c>
      <c r="B187" s="1" t="s">
        <v>166</v>
      </c>
      <c r="C187" s="1">
        <v>2</v>
      </c>
      <c r="D187" s="1">
        <v>38</v>
      </c>
      <c r="E187" s="1">
        <v>5</v>
      </c>
      <c r="F187" s="1">
        <v>3</v>
      </c>
    </row>
    <row r="188" spans="1:6" x14ac:dyDescent="0.3">
      <c r="A188" s="1">
        <v>187</v>
      </c>
      <c r="B188" s="1" t="s">
        <v>167</v>
      </c>
      <c r="C188" s="1">
        <v>1</v>
      </c>
      <c r="D188" s="1">
        <v>31</v>
      </c>
      <c r="E188" s="1">
        <v>5</v>
      </c>
      <c r="F188" s="1">
        <v>3</v>
      </c>
    </row>
    <row r="189" spans="1:6" x14ac:dyDescent="0.3">
      <c r="A189" s="1">
        <v>188</v>
      </c>
      <c r="B189" s="1" t="s">
        <v>168</v>
      </c>
      <c r="C189" s="1">
        <v>1</v>
      </c>
      <c r="D189" s="1">
        <v>67</v>
      </c>
      <c r="E189" s="1">
        <v>1</v>
      </c>
      <c r="F189" s="1">
        <v>3</v>
      </c>
    </row>
    <row r="190" spans="1:6" x14ac:dyDescent="0.3">
      <c r="A190" s="1">
        <v>189</v>
      </c>
      <c r="B190" s="1" t="s">
        <v>169</v>
      </c>
      <c r="C190" s="1">
        <v>1</v>
      </c>
      <c r="D190" s="1">
        <v>67</v>
      </c>
      <c r="E190" s="1">
        <v>2</v>
      </c>
      <c r="F190" s="1">
        <v>3</v>
      </c>
    </row>
    <row r="191" spans="1:6" x14ac:dyDescent="0.3">
      <c r="A191" s="1">
        <v>190</v>
      </c>
      <c r="B191" s="1" t="s">
        <v>170</v>
      </c>
      <c r="C191" s="1">
        <v>0</v>
      </c>
      <c r="D191" s="1">
        <v>54</v>
      </c>
      <c r="E191" s="1">
        <v>4</v>
      </c>
      <c r="F191" s="1">
        <v>2</v>
      </c>
    </row>
    <row r="192" spans="1:6" x14ac:dyDescent="0.3">
      <c r="A192" s="1">
        <v>191</v>
      </c>
      <c r="B192" s="1" t="s">
        <v>5</v>
      </c>
      <c r="C192" s="1">
        <v>2</v>
      </c>
      <c r="D192" s="1">
        <v>76</v>
      </c>
      <c r="E192" s="1">
        <v>2</v>
      </c>
      <c r="F192" s="1">
        <v>3</v>
      </c>
    </row>
    <row r="193" spans="1:6" x14ac:dyDescent="0.3">
      <c r="A193" s="1">
        <v>192</v>
      </c>
      <c r="B193" s="1" t="s">
        <v>171</v>
      </c>
      <c r="C193" s="1">
        <v>3</v>
      </c>
      <c r="D193" s="1">
        <v>35</v>
      </c>
      <c r="E193" s="1">
        <v>2</v>
      </c>
      <c r="F193" s="1">
        <v>3</v>
      </c>
    </row>
    <row r="194" spans="1:6" x14ac:dyDescent="0.3">
      <c r="A194" s="1">
        <v>193</v>
      </c>
      <c r="B194" s="1" t="s">
        <v>172</v>
      </c>
      <c r="C194" s="1">
        <v>2</v>
      </c>
      <c r="D194" s="1">
        <v>60</v>
      </c>
      <c r="E194" s="1">
        <v>5</v>
      </c>
      <c r="F194" s="1">
        <v>3</v>
      </c>
    </row>
    <row r="195" spans="1:6" x14ac:dyDescent="0.3">
      <c r="A195" s="1">
        <v>194</v>
      </c>
      <c r="B195" s="1" t="s">
        <v>173</v>
      </c>
      <c r="C195" s="1">
        <v>6</v>
      </c>
      <c r="D195" s="1">
        <v>82</v>
      </c>
      <c r="E195" s="1">
        <v>1</v>
      </c>
      <c r="F195" s="1">
        <v>3</v>
      </c>
    </row>
    <row r="196" spans="1:6" x14ac:dyDescent="0.3">
      <c r="A196" s="1">
        <v>195</v>
      </c>
      <c r="B196" s="1" t="s">
        <v>174</v>
      </c>
      <c r="C196" s="1">
        <v>0</v>
      </c>
      <c r="D196" s="1">
        <v>71</v>
      </c>
      <c r="E196" s="1">
        <v>2</v>
      </c>
      <c r="F196" s="1">
        <v>2</v>
      </c>
    </row>
    <row r="197" spans="1:6" x14ac:dyDescent="0.3">
      <c r="A197" s="1">
        <v>196</v>
      </c>
      <c r="B197" s="1" t="s">
        <v>175</v>
      </c>
      <c r="C197" s="1">
        <v>3</v>
      </c>
      <c r="D197" s="1">
        <v>35</v>
      </c>
      <c r="E197" s="1">
        <v>2</v>
      </c>
      <c r="F197" s="1">
        <v>3</v>
      </c>
    </row>
    <row r="198" spans="1:6" x14ac:dyDescent="0.3">
      <c r="A198" s="1">
        <v>197</v>
      </c>
      <c r="B198" s="1" t="s">
        <v>176</v>
      </c>
      <c r="C198" s="1">
        <v>3</v>
      </c>
      <c r="D198" s="1">
        <v>48</v>
      </c>
      <c r="E198" s="1">
        <v>2</v>
      </c>
      <c r="F198" s="1">
        <v>3</v>
      </c>
    </row>
    <row r="199" spans="1:6" x14ac:dyDescent="0.3">
      <c r="A199" s="1">
        <v>198</v>
      </c>
      <c r="B199" s="1" t="s">
        <v>177</v>
      </c>
      <c r="C199" s="1">
        <v>2</v>
      </c>
      <c r="D199" s="1">
        <v>38</v>
      </c>
      <c r="E199" s="1">
        <v>2</v>
      </c>
      <c r="F199" s="1">
        <v>3</v>
      </c>
    </row>
    <row r="200" spans="1:6" x14ac:dyDescent="0.3">
      <c r="A200" s="1">
        <v>199</v>
      </c>
      <c r="B200" s="1" t="s">
        <v>178</v>
      </c>
      <c r="C200" s="1">
        <v>3</v>
      </c>
      <c r="D200" s="1">
        <v>45</v>
      </c>
      <c r="E200" s="1">
        <v>5</v>
      </c>
      <c r="F200" s="1">
        <v>3</v>
      </c>
    </row>
    <row r="201" spans="1:6" x14ac:dyDescent="0.3">
      <c r="A201" s="1">
        <v>200</v>
      </c>
      <c r="B201" s="1" t="s">
        <v>179</v>
      </c>
      <c r="C201" s="1">
        <v>3</v>
      </c>
      <c r="D201" s="1">
        <v>55</v>
      </c>
      <c r="E201" s="1">
        <v>2</v>
      </c>
      <c r="F201" s="1">
        <v>3</v>
      </c>
    </row>
    <row r="202" spans="1:6" x14ac:dyDescent="0.3">
      <c r="A202" s="1">
        <v>201</v>
      </c>
      <c r="B202" s="1" t="s">
        <v>180</v>
      </c>
      <c r="C202" s="1">
        <v>2</v>
      </c>
      <c r="D202" s="1">
        <v>37</v>
      </c>
      <c r="E202" s="1">
        <v>2</v>
      </c>
      <c r="F202" s="1">
        <v>3</v>
      </c>
    </row>
    <row r="203" spans="1:6" x14ac:dyDescent="0.3">
      <c r="A203" s="1">
        <v>202</v>
      </c>
      <c r="B203" s="1" t="s">
        <v>18</v>
      </c>
      <c r="C203" s="1">
        <v>4</v>
      </c>
      <c r="D203" s="1">
        <v>39</v>
      </c>
      <c r="E203" s="1">
        <v>2</v>
      </c>
      <c r="F203" s="1">
        <v>3</v>
      </c>
    </row>
    <row r="204" spans="1:6" x14ac:dyDescent="0.3">
      <c r="A204" s="1">
        <v>203</v>
      </c>
      <c r="B204" s="1" t="s">
        <v>181</v>
      </c>
      <c r="C204" s="1">
        <v>6</v>
      </c>
      <c r="D204" s="1">
        <v>37</v>
      </c>
      <c r="E204" s="1">
        <v>5</v>
      </c>
      <c r="F204" s="1">
        <v>2</v>
      </c>
    </row>
    <row r="205" spans="1:6" x14ac:dyDescent="0.3">
      <c r="A205" s="1">
        <v>204</v>
      </c>
      <c r="B205" s="1" t="s">
        <v>181</v>
      </c>
      <c r="C205" s="1">
        <v>6</v>
      </c>
      <c r="D205" s="1">
        <v>41</v>
      </c>
      <c r="E205" s="1">
        <v>1</v>
      </c>
      <c r="F205" s="1">
        <v>3</v>
      </c>
    </row>
    <row r="206" spans="1:6" x14ac:dyDescent="0.3">
      <c r="A206" s="1">
        <v>205</v>
      </c>
      <c r="B206" s="1" t="s">
        <v>182</v>
      </c>
      <c r="C206" s="1">
        <v>2</v>
      </c>
      <c r="D206" s="1">
        <v>34</v>
      </c>
      <c r="E206" s="1">
        <v>2</v>
      </c>
      <c r="F206" s="1">
        <v>3</v>
      </c>
    </row>
    <row r="207" spans="1:6" x14ac:dyDescent="0.3">
      <c r="A207" s="1">
        <v>206</v>
      </c>
      <c r="B207" s="1" t="s">
        <v>183</v>
      </c>
      <c r="C207" s="1">
        <v>2</v>
      </c>
      <c r="D207" s="1">
        <v>70</v>
      </c>
      <c r="E207" s="1">
        <v>2</v>
      </c>
      <c r="F207" s="1">
        <v>3</v>
      </c>
    </row>
    <row r="208" spans="1:6" x14ac:dyDescent="0.3">
      <c r="A208" s="1">
        <v>207</v>
      </c>
      <c r="B208" s="1" t="s">
        <v>184</v>
      </c>
      <c r="C208" s="1">
        <v>2</v>
      </c>
      <c r="D208" s="1">
        <v>27</v>
      </c>
      <c r="E208" s="1">
        <v>2</v>
      </c>
      <c r="F208" s="1">
        <v>3</v>
      </c>
    </row>
    <row r="209" spans="1:6" x14ac:dyDescent="0.3">
      <c r="A209" s="1">
        <v>208</v>
      </c>
      <c r="B209" s="1" t="s">
        <v>185</v>
      </c>
      <c r="C209" s="1">
        <v>2</v>
      </c>
      <c r="D209" s="1">
        <v>33</v>
      </c>
      <c r="E209" s="1">
        <v>1</v>
      </c>
      <c r="F209" s="1">
        <v>3</v>
      </c>
    </row>
    <row r="210" spans="1:6" x14ac:dyDescent="0.3">
      <c r="A210" s="1">
        <v>209</v>
      </c>
      <c r="B210" s="1" t="s">
        <v>186</v>
      </c>
      <c r="C210" s="1">
        <v>5</v>
      </c>
      <c r="D210" s="1">
        <v>56</v>
      </c>
      <c r="E210" s="1">
        <v>4</v>
      </c>
      <c r="F210" s="1">
        <v>3</v>
      </c>
    </row>
    <row r="211" spans="1:6" x14ac:dyDescent="0.3">
      <c r="A211" s="1">
        <v>210</v>
      </c>
      <c r="B211" s="1" t="s">
        <v>187</v>
      </c>
      <c r="C211" s="1">
        <v>5</v>
      </c>
      <c r="D211" s="1">
        <v>66</v>
      </c>
      <c r="E211" s="1">
        <v>2</v>
      </c>
      <c r="F211" s="1">
        <v>3</v>
      </c>
    </row>
    <row r="212" spans="1:6" x14ac:dyDescent="0.3">
      <c r="A212" s="1">
        <v>211</v>
      </c>
      <c r="B212" s="1" t="s">
        <v>188</v>
      </c>
      <c r="C212" s="1">
        <v>4</v>
      </c>
      <c r="D212" s="1">
        <v>57</v>
      </c>
      <c r="E212" s="1">
        <v>4</v>
      </c>
      <c r="F212" s="1">
        <v>3</v>
      </c>
    </row>
    <row r="213" spans="1:6" x14ac:dyDescent="0.3">
      <c r="A213" s="1">
        <v>212</v>
      </c>
      <c r="B213" s="1" t="s">
        <v>188</v>
      </c>
      <c r="C213" s="1">
        <v>1</v>
      </c>
      <c r="D213" s="1">
        <v>62</v>
      </c>
      <c r="E213" s="1">
        <v>2</v>
      </c>
      <c r="F213" s="1">
        <v>3</v>
      </c>
    </row>
    <row r="214" spans="1:6" x14ac:dyDescent="0.3">
      <c r="A214" s="1">
        <v>213</v>
      </c>
      <c r="B214" s="1" t="s">
        <v>189</v>
      </c>
      <c r="C214" s="1">
        <v>1</v>
      </c>
      <c r="D214" s="1">
        <v>65</v>
      </c>
      <c r="E214" s="1">
        <v>2</v>
      </c>
      <c r="F214" s="1">
        <v>3</v>
      </c>
    </row>
    <row r="215" spans="1:6" x14ac:dyDescent="0.3">
      <c r="A215" s="1">
        <v>214</v>
      </c>
      <c r="B215" s="1" t="s">
        <v>190</v>
      </c>
      <c r="C215" s="1">
        <v>0</v>
      </c>
      <c r="D215" s="1">
        <v>61</v>
      </c>
      <c r="E215" s="1">
        <v>1</v>
      </c>
      <c r="F215" s="1">
        <v>2</v>
      </c>
    </row>
    <row r="216" spans="1:6" x14ac:dyDescent="0.3">
      <c r="A216" s="1">
        <v>215</v>
      </c>
      <c r="B216" s="1" t="s">
        <v>191</v>
      </c>
      <c r="C216" s="1">
        <v>3</v>
      </c>
      <c r="D216" s="1">
        <v>44</v>
      </c>
      <c r="E216" s="1">
        <v>4</v>
      </c>
      <c r="F216" s="1">
        <v>3</v>
      </c>
    </row>
    <row r="217" spans="1:6" x14ac:dyDescent="0.3">
      <c r="A217" s="1">
        <v>216</v>
      </c>
      <c r="B217" s="1" t="s">
        <v>192</v>
      </c>
      <c r="C217" s="1">
        <v>6</v>
      </c>
      <c r="D217" s="1">
        <v>61</v>
      </c>
      <c r="E217" s="1">
        <v>2</v>
      </c>
      <c r="F217" s="1">
        <v>3</v>
      </c>
    </row>
    <row r="218" spans="1:6" x14ac:dyDescent="0.3">
      <c r="A218" s="1">
        <v>217</v>
      </c>
      <c r="B218" s="1" t="s">
        <v>193</v>
      </c>
      <c r="C218" s="1">
        <v>0</v>
      </c>
      <c r="D218" s="1">
        <v>91</v>
      </c>
      <c r="E218" s="1">
        <v>1</v>
      </c>
      <c r="F218" s="1">
        <v>2</v>
      </c>
    </row>
    <row r="219" spans="1:6" x14ac:dyDescent="0.3">
      <c r="A219" s="1">
        <v>218</v>
      </c>
      <c r="B219" s="1" t="s">
        <v>194</v>
      </c>
      <c r="C219" s="1">
        <v>2</v>
      </c>
      <c r="D219" s="1">
        <v>25</v>
      </c>
      <c r="E219" s="1">
        <v>2</v>
      </c>
      <c r="F219" s="1">
        <v>3</v>
      </c>
    </row>
    <row r="220" spans="1:6" x14ac:dyDescent="0.3">
      <c r="A220" s="1">
        <v>219</v>
      </c>
      <c r="B220" s="1" t="s">
        <v>195</v>
      </c>
      <c r="C220" s="1">
        <v>3</v>
      </c>
      <c r="D220" s="1">
        <v>50</v>
      </c>
      <c r="E220" s="1">
        <v>2</v>
      </c>
      <c r="F220" s="1">
        <v>3</v>
      </c>
    </row>
    <row r="221" spans="1:6" x14ac:dyDescent="0.3">
      <c r="A221" s="1">
        <v>220</v>
      </c>
      <c r="B221" s="1" t="s">
        <v>196</v>
      </c>
      <c r="C221" s="1">
        <v>0</v>
      </c>
      <c r="D221" s="1">
        <v>34</v>
      </c>
      <c r="E221" s="1">
        <v>1</v>
      </c>
      <c r="F221" s="1">
        <v>1</v>
      </c>
    </row>
    <row r="222" spans="1:6" x14ac:dyDescent="0.3">
      <c r="A222" s="1">
        <v>221</v>
      </c>
      <c r="B222" s="1" t="s">
        <v>197</v>
      </c>
      <c r="C222" s="1">
        <v>2</v>
      </c>
      <c r="D222" s="1">
        <v>31</v>
      </c>
      <c r="E222" s="1">
        <v>2</v>
      </c>
      <c r="F222" s="1">
        <v>3</v>
      </c>
    </row>
    <row r="223" spans="1:6" x14ac:dyDescent="0.3">
      <c r="A223" s="1">
        <v>222</v>
      </c>
      <c r="B223" s="1" t="s">
        <v>198</v>
      </c>
      <c r="C223" s="1">
        <v>1</v>
      </c>
      <c r="D223" s="1">
        <v>32</v>
      </c>
      <c r="E223" s="1">
        <v>5</v>
      </c>
      <c r="F223" s="1">
        <v>3</v>
      </c>
    </row>
    <row r="224" spans="1:6" x14ac:dyDescent="0.3">
      <c r="A224" s="1">
        <v>223</v>
      </c>
      <c r="B224" s="1" t="s">
        <v>199</v>
      </c>
      <c r="C224" s="1">
        <v>3</v>
      </c>
      <c r="D224" s="1">
        <v>53</v>
      </c>
      <c r="E224" s="1">
        <v>2</v>
      </c>
      <c r="F224" s="1">
        <v>3</v>
      </c>
    </row>
    <row r="225" spans="1:6" x14ac:dyDescent="0.3">
      <c r="A225" s="1">
        <v>224</v>
      </c>
      <c r="B225" s="1" t="s">
        <v>200</v>
      </c>
      <c r="C225" s="1">
        <v>0</v>
      </c>
      <c r="D225" s="1">
        <v>90</v>
      </c>
      <c r="E225" s="1">
        <v>2</v>
      </c>
      <c r="F225" s="1">
        <v>3</v>
      </c>
    </row>
    <row r="226" spans="1:6" x14ac:dyDescent="0.3">
      <c r="A226" s="1">
        <v>225</v>
      </c>
      <c r="B226" s="1" t="s">
        <v>201</v>
      </c>
      <c r="C226" s="1">
        <v>3</v>
      </c>
      <c r="D226" s="1">
        <v>72</v>
      </c>
      <c r="E226" s="1">
        <v>2</v>
      </c>
      <c r="F226" s="1">
        <v>3</v>
      </c>
    </row>
    <row r="227" spans="1:6" x14ac:dyDescent="0.3">
      <c r="A227" s="1">
        <v>226</v>
      </c>
      <c r="B227" s="1" t="s">
        <v>40</v>
      </c>
      <c r="C227" s="1">
        <v>2</v>
      </c>
      <c r="D227" s="1">
        <v>81</v>
      </c>
      <c r="E227" s="1">
        <v>2</v>
      </c>
      <c r="F227" s="1">
        <v>3</v>
      </c>
    </row>
    <row r="228" spans="1:6" x14ac:dyDescent="0.3">
      <c r="A228" s="1">
        <v>227</v>
      </c>
      <c r="B228" s="1" t="s">
        <v>202</v>
      </c>
      <c r="C228" s="1">
        <v>2</v>
      </c>
      <c r="D228" s="1">
        <v>53</v>
      </c>
      <c r="E228" s="1">
        <v>2</v>
      </c>
      <c r="F228" s="1">
        <v>2</v>
      </c>
    </row>
    <row r="229" spans="1:6" x14ac:dyDescent="0.3">
      <c r="A229" s="1">
        <v>228</v>
      </c>
      <c r="B229" s="1" t="s">
        <v>202</v>
      </c>
      <c r="C229" s="1">
        <v>0</v>
      </c>
      <c r="D229" s="1">
        <v>69</v>
      </c>
      <c r="E229" s="1">
        <v>5</v>
      </c>
      <c r="F229" s="1">
        <v>1</v>
      </c>
    </row>
    <row r="230" spans="1:6" x14ac:dyDescent="0.3">
      <c r="A230" s="1">
        <v>229</v>
      </c>
      <c r="B230" s="1" t="s">
        <v>203</v>
      </c>
      <c r="C230" s="1">
        <v>3</v>
      </c>
      <c r="D230" s="1">
        <v>56</v>
      </c>
      <c r="E230" s="1">
        <v>3</v>
      </c>
      <c r="F230" s="1">
        <v>3</v>
      </c>
    </row>
    <row r="231" spans="1:6" x14ac:dyDescent="0.3">
      <c r="A231" s="1">
        <v>230</v>
      </c>
      <c r="B231" s="1" t="s">
        <v>204</v>
      </c>
      <c r="C231" s="1">
        <v>2</v>
      </c>
      <c r="D231" s="1">
        <v>56</v>
      </c>
      <c r="E231" s="1">
        <v>2</v>
      </c>
      <c r="F231" s="1">
        <v>3</v>
      </c>
    </row>
    <row r="232" spans="1:6" x14ac:dyDescent="0.3">
      <c r="A232" s="1">
        <v>231</v>
      </c>
      <c r="B232" s="1" t="s">
        <v>205</v>
      </c>
      <c r="C232" s="1">
        <v>4</v>
      </c>
      <c r="D232" s="1">
        <v>54</v>
      </c>
      <c r="E232" s="1">
        <v>1</v>
      </c>
      <c r="F232" s="1">
        <v>2</v>
      </c>
    </row>
    <row r="233" spans="1:6" x14ac:dyDescent="0.3">
      <c r="A233" s="1">
        <v>232</v>
      </c>
      <c r="B233" s="1" t="s">
        <v>206</v>
      </c>
      <c r="C233" s="1">
        <v>2</v>
      </c>
      <c r="D233" s="1">
        <v>36</v>
      </c>
      <c r="E233" s="1">
        <v>3</v>
      </c>
      <c r="F233" s="1">
        <v>3</v>
      </c>
    </row>
    <row r="234" spans="1:6" x14ac:dyDescent="0.3">
      <c r="A234" s="1">
        <v>233</v>
      </c>
      <c r="B234" s="1" t="s">
        <v>207</v>
      </c>
      <c r="C234" s="1">
        <v>0</v>
      </c>
      <c r="D234" s="1">
        <v>54</v>
      </c>
      <c r="E234" s="1">
        <v>2</v>
      </c>
      <c r="F234" s="1">
        <v>1</v>
      </c>
    </row>
    <row r="235" spans="1:6" x14ac:dyDescent="0.3">
      <c r="A235" s="1">
        <v>234</v>
      </c>
      <c r="B235" s="1" t="s">
        <v>208</v>
      </c>
      <c r="C235" s="1">
        <v>2</v>
      </c>
      <c r="D235" s="1">
        <v>39</v>
      </c>
      <c r="E235" s="1">
        <v>1</v>
      </c>
      <c r="F235" s="1">
        <v>2</v>
      </c>
    </row>
    <row r="236" spans="1:6" x14ac:dyDescent="0.3">
      <c r="A236" s="1">
        <v>235</v>
      </c>
      <c r="B236" s="1" t="s">
        <v>209</v>
      </c>
      <c r="C236" s="1">
        <v>3</v>
      </c>
      <c r="D236" s="1">
        <v>42</v>
      </c>
      <c r="E236" s="1">
        <v>5</v>
      </c>
      <c r="F236" s="1">
        <v>3</v>
      </c>
    </row>
    <row r="237" spans="1:6" x14ac:dyDescent="0.3">
      <c r="A237" s="1">
        <v>236</v>
      </c>
      <c r="B237" s="1" t="s">
        <v>210</v>
      </c>
      <c r="C237" s="1">
        <v>0</v>
      </c>
      <c r="D237" s="1">
        <v>91</v>
      </c>
      <c r="E237" s="1">
        <v>1</v>
      </c>
      <c r="F237" s="1">
        <v>2</v>
      </c>
    </row>
    <row r="238" spans="1:6" x14ac:dyDescent="0.3">
      <c r="A238" s="1">
        <v>237</v>
      </c>
      <c r="B238" s="1" t="s">
        <v>211</v>
      </c>
      <c r="C238" s="1">
        <v>1</v>
      </c>
      <c r="D238" s="1">
        <v>65</v>
      </c>
      <c r="E238" s="1">
        <v>2</v>
      </c>
      <c r="F238" s="1">
        <v>2</v>
      </c>
    </row>
    <row r="239" spans="1:6" x14ac:dyDescent="0.3">
      <c r="A239" s="1">
        <v>238</v>
      </c>
      <c r="B239" s="1" t="s">
        <v>212</v>
      </c>
      <c r="C239" s="1">
        <v>0</v>
      </c>
      <c r="D239" s="1">
        <v>78</v>
      </c>
      <c r="E239" s="1">
        <v>1</v>
      </c>
      <c r="F239" s="1">
        <v>2</v>
      </c>
    </row>
    <row r="240" spans="1:6" x14ac:dyDescent="0.3">
      <c r="A240" s="1">
        <v>239</v>
      </c>
      <c r="B240" s="1" t="s">
        <v>213</v>
      </c>
      <c r="C240" s="1">
        <v>2</v>
      </c>
      <c r="D240" s="1">
        <v>27</v>
      </c>
      <c r="E240" s="1">
        <v>1</v>
      </c>
      <c r="F240" s="1">
        <v>3</v>
      </c>
    </row>
    <row r="241" spans="1:6" x14ac:dyDescent="0.3">
      <c r="A241" s="1">
        <v>240</v>
      </c>
      <c r="B241" s="1" t="s">
        <v>214</v>
      </c>
      <c r="C241" s="1">
        <v>2</v>
      </c>
      <c r="D241" s="1">
        <v>30</v>
      </c>
      <c r="E241" s="1">
        <v>5</v>
      </c>
      <c r="F241" s="1">
        <v>3</v>
      </c>
    </row>
    <row r="242" spans="1:6" x14ac:dyDescent="0.3">
      <c r="A242" s="1">
        <v>241</v>
      </c>
      <c r="B242" s="1" t="s">
        <v>54</v>
      </c>
      <c r="C242" s="1">
        <v>5</v>
      </c>
      <c r="D242" s="1">
        <v>39</v>
      </c>
      <c r="E242" s="1">
        <v>2</v>
      </c>
      <c r="F242" s="1">
        <v>3</v>
      </c>
    </row>
    <row r="243" spans="1:6" x14ac:dyDescent="0.3">
      <c r="A243" s="1">
        <v>242</v>
      </c>
      <c r="B243" s="1" t="s">
        <v>56</v>
      </c>
      <c r="C243" s="1">
        <v>0</v>
      </c>
      <c r="D243" s="1">
        <v>53</v>
      </c>
      <c r="E243" s="1">
        <v>2</v>
      </c>
      <c r="F243" s="1">
        <v>3</v>
      </c>
    </row>
    <row r="244" spans="1:6" x14ac:dyDescent="0.3">
      <c r="A244" s="1">
        <v>243</v>
      </c>
      <c r="B244" s="1" t="s">
        <v>56</v>
      </c>
      <c r="C244" s="1">
        <v>2</v>
      </c>
      <c r="D244" s="1">
        <v>33</v>
      </c>
      <c r="E244" s="1">
        <v>2</v>
      </c>
      <c r="F244" s="1">
        <v>3</v>
      </c>
    </row>
    <row r="245" spans="1:6" x14ac:dyDescent="0.3">
      <c r="A245" s="1">
        <v>244</v>
      </c>
      <c r="B245" s="1" t="s">
        <v>215</v>
      </c>
      <c r="C245" s="1">
        <v>3</v>
      </c>
      <c r="D245" s="1">
        <v>56</v>
      </c>
      <c r="E245" s="1">
        <v>2</v>
      </c>
      <c r="F245" s="1">
        <v>3</v>
      </c>
    </row>
    <row r="246" spans="1:6" x14ac:dyDescent="0.3">
      <c r="A246" s="1">
        <v>245</v>
      </c>
      <c r="B246" s="1" t="s">
        <v>216</v>
      </c>
      <c r="C246" s="1">
        <v>0</v>
      </c>
      <c r="D246" s="1">
        <v>81</v>
      </c>
      <c r="E246" s="1">
        <v>2</v>
      </c>
      <c r="F246" s="1">
        <v>2</v>
      </c>
    </row>
    <row r="247" spans="1:6" x14ac:dyDescent="0.3">
      <c r="A247" s="1">
        <v>246</v>
      </c>
      <c r="B247" s="1" t="s">
        <v>59</v>
      </c>
      <c r="C247" s="1">
        <v>3</v>
      </c>
      <c r="D247" s="1">
        <v>30</v>
      </c>
      <c r="E247" s="1">
        <v>2</v>
      </c>
      <c r="F247" s="1">
        <v>3</v>
      </c>
    </row>
    <row r="248" spans="1:6" x14ac:dyDescent="0.3">
      <c r="A248" s="1">
        <v>247</v>
      </c>
      <c r="B248" s="1" t="s">
        <v>59</v>
      </c>
      <c r="C248" s="1">
        <v>3</v>
      </c>
      <c r="D248" s="1">
        <v>39</v>
      </c>
      <c r="E248" s="1">
        <v>2</v>
      </c>
      <c r="F248" s="1">
        <v>3</v>
      </c>
    </row>
    <row r="249" spans="1:6" x14ac:dyDescent="0.3">
      <c r="A249" s="1">
        <v>248</v>
      </c>
      <c r="B249" s="1" t="s">
        <v>217</v>
      </c>
      <c r="C249" s="1">
        <v>3</v>
      </c>
      <c r="D249" s="1">
        <v>37</v>
      </c>
      <c r="E249" s="1">
        <v>2</v>
      </c>
      <c r="F249" s="1">
        <v>3</v>
      </c>
    </row>
    <row r="250" spans="1:6" x14ac:dyDescent="0.3">
      <c r="A250" s="1">
        <v>249</v>
      </c>
      <c r="B250" s="1" t="s">
        <v>218</v>
      </c>
      <c r="C250" s="1">
        <v>1</v>
      </c>
      <c r="D250" s="1">
        <v>79</v>
      </c>
      <c r="E250" s="1">
        <v>1</v>
      </c>
      <c r="F250" s="1">
        <v>2</v>
      </c>
    </row>
    <row r="251" spans="1:6" x14ac:dyDescent="0.3">
      <c r="A251" s="1">
        <v>250</v>
      </c>
      <c r="B251" s="1" t="s">
        <v>219</v>
      </c>
      <c r="C251" s="1">
        <v>1</v>
      </c>
      <c r="D251" s="1">
        <v>63</v>
      </c>
      <c r="E251" s="1">
        <v>2</v>
      </c>
      <c r="F251" s="1">
        <v>2</v>
      </c>
    </row>
    <row r="252" spans="1:6" x14ac:dyDescent="0.3">
      <c r="A252" s="1">
        <v>251</v>
      </c>
      <c r="B252" s="1" t="s">
        <v>62</v>
      </c>
      <c r="C252" s="1">
        <v>3</v>
      </c>
      <c r="D252" s="1">
        <v>43</v>
      </c>
      <c r="E252" s="1">
        <v>2</v>
      </c>
      <c r="F252" s="1">
        <v>3</v>
      </c>
    </row>
    <row r="253" spans="1:6" x14ac:dyDescent="0.3">
      <c r="A253" s="1">
        <v>252</v>
      </c>
      <c r="B253" s="1" t="s">
        <v>62</v>
      </c>
      <c r="C253" s="1">
        <v>3</v>
      </c>
      <c r="D253" s="1">
        <v>42</v>
      </c>
      <c r="E253" s="1">
        <v>1</v>
      </c>
      <c r="F253" s="1">
        <v>3</v>
      </c>
    </row>
    <row r="254" spans="1:6" x14ac:dyDescent="0.3">
      <c r="A254" s="1">
        <v>253</v>
      </c>
      <c r="B254" s="1" t="s">
        <v>220</v>
      </c>
      <c r="C254" s="1">
        <v>2</v>
      </c>
      <c r="D254" s="1">
        <v>32</v>
      </c>
      <c r="E254" s="1">
        <v>5</v>
      </c>
      <c r="F254" s="1">
        <v>3</v>
      </c>
    </row>
    <row r="255" spans="1:6" x14ac:dyDescent="0.3">
      <c r="A255" s="1">
        <v>254</v>
      </c>
      <c r="B255" s="1" t="s">
        <v>221</v>
      </c>
      <c r="C255" s="1">
        <v>1</v>
      </c>
      <c r="D255" s="1">
        <v>60</v>
      </c>
      <c r="E255" s="1">
        <v>1</v>
      </c>
      <c r="F255" s="1">
        <v>2</v>
      </c>
    </row>
    <row r="256" spans="1:6" x14ac:dyDescent="0.3">
      <c r="A256" s="1">
        <v>255</v>
      </c>
      <c r="B256" s="1" t="s">
        <v>222</v>
      </c>
      <c r="C256" s="1">
        <v>3</v>
      </c>
      <c r="D256" s="1">
        <v>83</v>
      </c>
      <c r="E256" s="1">
        <v>2</v>
      </c>
      <c r="F256" s="1">
        <v>3</v>
      </c>
    </row>
    <row r="257" spans="1:6" x14ac:dyDescent="0.3">
      <c r="A257" s="1">
        <v>256</v>
      </c>
      <c r="B257" s="1" t="s">
        <v>223</v>
      </c>
      <c r="C257" s="1">
        <v>3</v>
      </c>
      <c r="D257" s="1">
        <v>40</v>
      </c>
      <c r="E257" s="1">
        <v>1</v>
      </c>
      <c r="F257" s="1">
        <v>3</v>
      </c>
    </row>
    <row r="258" spans="1:6" x14ac:dyDescent="0.3">
      <c r="A258" s="1">
        <v>257</v>
      </c>
      <c r="B258" s="1" t="s">
        <v>69</v>
      </c>
      <c r="C258" s="1">
        <v>3</v>
      </c>
      <c r="D258" s="1">
        <v>40</v>
      </c>
      <c r="E258" s="1">
        <v>2</v>
      </c>
      <c r="F258" s="1">
        <v>3</v>
      </c>
    </row>
    <row r="259" spans="1:6" x14ac:dyDescent="0.3">
      <c r="A259" s="1">
        <v>258</v>
      </c>
      <c r="B259" s="1" t="s">
        <v>224</v>
      </c>
      <c r="C259" s="1">
        <v>3</v>
      </c>
      <c r="D259" s="1">
        <v>41</v>
      </c>
      <c r="E259" s="1">
        <v>1</v>
      </c>
      <c r="F259" s="1">
        <v>2</v>
      </c>
    </row>
    <row r="260" spans="1:6" x14ac:dyDescent="0.3">
      <c r="A260" s="1">
        <v>259</v>
      </c>
      <c r="B260" s="1" t="s">
        <v>72</v>
      </c>
      <c r="C260" s="1">
        <v>3</v>
      </c>
      <c r="D260" s="1">
        <v>39</v>
      </c>
      <c r="E260" s="1">
        <v>2</v>
      </c>
      <c r="F260" s="1">
        <v>3</v>
      </c>
    </row>
    <row r="261" spans="1:6" x14ac:dyDescent="0.3">
      <c r="A261" s="1">
        <v>260</v>
      </c>
      <c r="B261" s="1" t="s">
        <v>225</v>
      </c>
      <c r="C261" s="1">
        <v>2</v>
      </c>
      <c r="D261" s="1">
        <v>33</v>
      </c>
      <c r="E261" s="1">
        <v>2</v>
      </c>
      <c r="F261" s="1">
        <v>3</v>
      </c>
    </row>
    <row r="262" spans="1:6" x14ac:dyDescent="0.3">
      <c r="A262" s="1">
        <v>261</v>
      </c>
      <c r="B262" s="1" t="s">
        <v>226</v>
      </c>
      <c r="C262" s="1">
        <v>2</v>
      </c>
      <c r="D262" s="1">
        <v>30</v>
      </c>
      <c r="E262" s="1">
        <v>5</v>
      </c>
      <c r="F262" s="1">
        <v>3</v>
      </c>
    </row>
    <row r="263" spans="1:6" x14ac:dyDescent="0.3">
      <c r="A263" s="1">
        <v>262</v>
      </c>
      <c r="B263" s="1" t="s">
        <v>226</v>
      </c>
      <c r="C263" s="1">
        <v>3</v>
      </c>
      <c r="D263" s="1">
        <v>51</v>
      </c>
      <c r="E263" s="1">
        <v>5</v>
      </c>
      <c r="F263" s="1">
        <v>3</v>
      </c>
    </row>
    <row r="264" spans="1:6" x14ac:dyDescent="0.3">
      <c r="A264" s="1">
        <v>263</v>
      </c>
      <c r="B264" s="1" t="s">
        <v>227</v>
      </c>
      <c r="C264" s="1">
        <v>1</v>
      </c>
      <c r="D264" s="1">
        <v>35</v>
      </c>
      <c r="E264" s="1">
        <v>2</v>
      </c>
      <c r="F264" s="1">
        <v>3</v>
      </c>
    </row>
    <row r="265" spans="1:6" x14ac:dyDescent="0.3">
      <c r="A265" s="1">
        <v>264</v>
      </c>
      <c r="B265" s="1" t="s">
        <v>228</v>
      </c>
      <c r="C265" s="1">
        <v>3</v>
      </c>
      <c r="D265" s="1">
        <v>37</v>
      </c>
      <c r="E265" s="1">
        <v>2</v>
      </c>
      <c r="F265" s="1">
        <v>3</v>
      </c>
    </row>
    <row r="266" spans="1:6" x14ac:dyDescent="0.3">
      <c r="A266" s="1">
        <v>265</v>
      </c>
      <c r="B266" s="1" t="s">
        <v>229</v>
      </c>
      <c r="C266" s="1">
        <v>3</v>
      </c>
      <c r="D266" s="1">
        <v>38</v>
      </c>
      <c r="E266" s="1">
        <v>2</v>
      </c>
      <c r="F266" s="1">
        <v>3</v>
      </c>
    </row>
    <row r="267" spans="1:6" x14ac:dyDescent="0.3">
      <c r="A267" s="1">
        <v>266</v>
      </c>
      <c r="B267" s="1" t="s">
        <v>230</v>
      </c>
      <c r="C267" s="1">
        <v>2</v>
      </c>
      <c r="D267" s="1">
        <v>49</v>
      </c>
      <c r="E267" s="1">
        <v>2</v>
      </c>
      <c r="F267" s="1">
        <v>3</v>
      </c>
    </row>
    <row r="268" spans="1:6" x14ac:dyDescent="0.3">
      <c r="A268" s="1">
        <v>267</v>
      </c>
      <c r="B268" s="1" t="s">
        <v>231</v>
      </c>
      <c r="C268" s="1">
        <v>3</v>
      </c>
      <c r="D268" s="1">
        <v>66</v>
      </c>
      <c r="E268" s="1">
        <v>2</v>
      </c>
      <c r="F268" s="1">
        <v>3</v>
      </c>
    </row>
    <row r="269" spans="1:6" x14ac:dyDescent="0.3">
      <c r="A269" s="1">
        <v>268</v>
      </c>
      <c r="B269" s="1" t="s">
        <v>232</v>
      </c>
      <c r="C269" s="1">
        <v>1</v>
      </c>
      <c r="D269" s="1">
        <v>23</v>
      </c>
      <c r="E269" s="1">
        <v>2</v>
      </c>
      <c r="F269" s="1">
        <v>3</v>
      </c>
    </row>
    <row r="270" spans="1:6" x14ac:dyDescent="0.3">
      <c r="A270" s="1">
        <v>269</v>
      </c>
      <c r="B270" s="1" t="s">
        <v>233</v>
      </c>
      <c r="C270" s="1">
        <v>3</v>
      </c>
      <c r="D270" s="1">
        <v>75</v>
      </c>
      <c r="E270" s="1">
        <v>2</v>
      </c>
      <c r="F270" s="1">
        <v>3</v>
      </c>
    </row>
    <row r="271" spans="1:6" x14ac:dyDescent="0.3">
      <c r="A271" s="1">
        <v>270</v>
      </c>
      <c r="B271" s="1" t="s">
        <v>234</v>
      </c>
      <c r="C271" s="1">
        <v>3</v>
      </c>
      <c r="D271" s="1">
        <v>44</v>
      </c>
      <c r="E271" s="1">
        <v>3</v>
      </c>
      <c r="F271" s="1">
        <v>3</v>
      </c>
    </row>
    <row r="272" spans="1:6" x14ac:dyDescent="0.3">
      <c r="A272" s="1">
        <v>271</v>
      </c>
      <c r="B272" s="1" t="s">
        <v>235</v>
      </c>
      <c r="C272" s="1">
        <v>3</v>
      </c>
      <c r="D272" s="1">
        <v>40</v>
      </c>
      <c r="E272" s="1">
        <v>2</v>
      </c>
      <c r="F272" s="1">
        <v>3</v>
      </c>
    </row>
    <row r="273" spans="1:6" x14ac:dyDescent="0.3">
      <c r="A273" s="1">
        <v>272</v>
      </c>
      <c r="B273" s="1" t="s">
        <v>236</v>
      </c>
      <c r="C273" s="1">
        <v>0</v>
      </c>
      <c r="D273" s="1">
        <v>64</v>
      </c>
      <c r="E273" s="1">
        <v>2</v>
      </c>
      <c r="F273" s="1">
        <v>2</v>
      </c>
    </row>
    <row r="274" spans="1:6" x14ac:dyDescent="0.3">
      <c r="A274" s="1">
        <v>273</v>
      </c>
      <c r="B274" s="1" t="s">
        <v>237</v>
      </c>
      <c r="C274" s="1">
        <v>5</v>
      </c>
      <c r="D274" s="1">
        <v>41</v>
      </c>
      <c r="E274" s="1">
        <v>2</v>
      </c>
      <c r="F274" s="1">
        <v>3</v>
      </c>
    </row>
    <row r="275" spans="1:6" x14ac:dyDescent="0.3">
      <c r="A275" s="1">
        <v>274</v>
      </c>
      <c r="B275" s="1" t="s">
        <v>238</v>
      </c>
      <c r="C275" s="1">
        <v>3</v>
      </c>
      <c r="D275" s="1">
        <v>71</v>
      </c>
      <c r="E275" s="1">
        <v>2</v>
      </c>
      <c r="F275" s="1">
        <v>3</v>
      </c>
    </row>
    <row r="276" spans="1:6" x14ac:dyDescent="0.3">
      <c r="A276" s="1">
        <v>275</v>
      </c>
      <c r="B276" s="1" t="s">
        <v>239</v>
      </c>
      <c r="C276" s="1">
        <v>1</v>
      </c>
      <c r="D276" s="1">
        <v>60</v>
      </c>
      <c r="E276" s="1">
        <v>2</v>
      </c>
      <c r="F276" s="1">
        <v>3</v>
      </c>
    </row>
    <row r="277" spans="1:6" x14ac:dyDescent="0.3">
      <c r="A277" s="1">
        <v>276</v>
      </c>
      <c r="B277" s="1" t="s">
        <v>240</v>
      </c>
      <c r="C277" s="1">
        <v>2</v>
      </c>
      <c r="D277" s="1">
        <v>32</v>
      </c>
      <c r="E277" s="1">
        <v>5</v>
      </c>
      <c r="F277" s="1">
        <v>3</v>
      </c>
    </row>
    <row r="278" spans="1:6" x14ac:dyDescent="0.3">
      <c r="A278" s="1">
        <v>277</v>
      </c>
      <c r="B278" s="1" t="s">
        <v>241</v>
      </c>
      <c r="C278" s="1">
        <v>3</v>
      </c>
      <c r="D278" s="1">
        <v>36</v>
      </c>
      <c r="E278" s="1">
        <v>3</v>
      </c>
      <c r="F278" s="1">
        <v>3</v>
      </c>
    </row>
    <row r="279" spans="1:6" x14ac:dyDescent="0.3">
      <c r="A279" s="1">
        <v>278</v>
      </c>
      <c r="B279" s="1" t="s">
        <v>242</v>
      </c>
      <c r="C279" s="1">
        <v>3</v>
      </c>
      <c r="D279" s="1">
        <v>39</v>
      </c>
      <c r="E279" s="1">
        <v>5</v>
      </c>
      <c r="F279" s="1">
        <v>3</v>
      </c>
    </row>
    <row r="280" spans="1:6" x14ac:dyDescent="0.3">
      <c r="A280" s="1">
        <v>279</v>
      </c>
      <c r="B280" s="1" t="s">
        <v>243</v>
      </c>
      <c r="C280" s="1">
        <v>2</v>
      </c>
      <c r="D280" s="1">
        <v>40</v>
      </c>
      <c r="E280" s="1">
        <v>2</v>
      </c>
      <c r="F280" s="1">
        <v>3</v>
      </c>
    </row>
    <row r="281" spans="1:6" x14ac:dyDescent="0.3">
      <c r="A281" s="1">
        <v>280</v>
      </c>
      <c r="B281" s="1" t="s">
        <v>244</v>
      </c>
      <c r="C281" s="1">
        <v>3</v>
      </c>
      <c r="D281" s="1">
        <v>40</v>
      </c>
      <c r="E281" s="1">
        <v>3</v>
      </c>
      <c r="F281" s="1">
        <v>3</v>
      </c>
    </row>
    <row r="282" spans="1:6" x14ac:dyDescent="0.3">
      <c r="A282" s="1">
        <v>281</v>
      </c>
      <c r="B282" s="1" t="s">
        <v>245</v>
      </c>
      <c r="C282" s="1">
        <v>0</v>
      </c>
      <c r="D282" s="1">
        <v>52</v>
      </c>
      <c r="E282" s="1">
        <v>2</v>
      </c>
      <c r="F282" s="1">
        <v>1</v>
      </c>
    </row>
    <row r="283" spans="1:6" x14ac:dyDescent="0.3">
      <c r="A283" s="1">
        <v>282</v>
      </c>
      <c r="B283" s="1" t="s">
        <v>246</v>
      </c>
      <c r="C283" s="1">
        <v>3</v>
      </c>
      <c r="D283" s="1">
        <v>60</v>
      </c>
      <c r="E283" s="1">
        <v>4</v>
      </c>
      <c r="F283" s="1">
        <v>3</v>
      </c>
    </row>
    <row r="284" spans="1:6" x14ac:dyDescent="0.3">
      <c r="A284" s="1">
        <v>283</v>
      </c>
      <c r="B284" s="1" t="s">
        <v>247</v>
      </c>
      <c r="C284" s="1">
        <v>2</v>
      </c>
      <c r="D284" s="1">
        <v>44</v>
      </c>
      <c r="E284" s="1">
        <v>2</v>
      </c>
      <c r="F284" s="1">
        <v>3</v>
      </c>
    </row>
    <row r="285" spans="1:6" x14ac:dyDescent="0.3">
      <c r="A285" s="1">
        <v>284</v>
      </c>
      <c r="B285" s="1" t="s">
        <v>248</v>
      </c>
      <c r="C285" s="1">
        <v>3</v>
      </c>
      <c r="D285" s="1">
        <v>50</v>
      </c>
      <c r="E285" s="1">
        <v>2</v>
      </c>
      <c r="F285" s="1">
        <v>3</v>
      </c>
    </row>
    <row r="286" spans="1:6" x14ac:dyDescent="0.3">
      <c r="A286" s="1">
        <v>285</v>
      </c>
      <c r="B286" s="1" t="s">
        <v>248</v>
      </c>
      <c r="C286" s="1">
        <v>2</v>
      </c>
      <c r="D286" s="1">
        <v>38</v>
      </c>
      <c r="E286" s="1">
        <v>2</v>
      </c>
      <c r="F286" s="1">
        <v>3</v>
      </c>
    </row>
    <row r="287" spans="1:6" x14ac:dyDescent="0.3">
      <c r="A287" s="1">
        <v>286</v>
      </c>
      <c r="B287" s="1" t="s">
        <v>96</v>
      </c>
      <c r="C287" s="1">
        <v>2</v>
      </c>
      <c r="D287" s="1">
        <v>54</v>
      </c>
      <c r="E287" s="1">
        <v>4</v>
      </c>
      <c r="F287" s="1">
        <v>3</v>
      </c>
    </row>
    <row r="288" spans="1:6" x14ac:dyDescent="0.3">
      <c r="A288" s="1">
        <v>287</v>
      </c>
      <c r="B288" s="1" t="s">
        <v>98</v>
      </c>
      <c r="C288" s="1">
        <v>3</v>
      </c>
      <c r="D288" s="1">
        <v>44</v>
      </c>
      <c r="E288" s="1">
        <v>2</v>
      </c>
      <c r="F288" s="1">
        <v>3</v>
      </c>
    </row>
    <row r="289" spans="1:6" x14ac:dyDescent="0.3">
      <c r="A289" s="1">
        <v>288</v>
      </c>
      <c r="B289" s="1" t="s">
        <v>249</v>
      </c>
      <c r="C289" s="1">
        <v>2</v>
      </c>
      <c r="D289" s="1">
        <v>39</v>
      </c>
      <c r="E289" s="1">
        <v>3</v>
      </c>
      <c r="F289" s="1">
        <v>3</v>
      </c>
    </row>
    <row r="290" spans="1:6" x14ac:dyDescent="0.3">
      <c r="A290" s="1">
        <v>289</v>
      </c>
      <c r="B290" s="1" t="s">
        <v>250</v>
      </c>
      <c r="C290" s="1">
        <v>1</v>
      </c>
      <c r="D290" s="1">
        <v>38</v>
      </c>
      <c r="E290" s="1">
        <v>4</v>
      </c>
      <c r="F290" s="1">
        <v>3</v>
      </c>
    </row>
    <row r="291" spans="1:6" x14ac:dyDescent="0.3">
      <c r="A291" s="1">
        <v>290</v>
      </c>
      <c r="B291" s="1" t="s">
        <v>251</v>
      </c>
      <c r="C291" s="1">
        <v>2</v>
      </c>
      <c r="D291" s="1">
        <v>76</v>
      </c>
      <c r="E291" s="1">
        <v>1</v>
      </c>
      <c r="F291" s="1">
        <v>2</v>
      </c>
    </row>
    <row r="292" spans="1:6" x14ac:dyDescent="0.3">
      <c r="A292" s="1">
        <v>291</v>
      </c>
      <c r="B292" s="1" t="s">
        <v>252</v>
      </c>
      <c r="C292" s="1">
        <v>0</v>
      </c>
      <c r="D292" s="1">
        <v>52</v>
      </c>
      <c r="E292" s="1">
        <v>1</v>
      </c>
      <c r="F292" s="1">
        <v>1</v>
      </c>
    </row>
    <row r="293" spans="1:6" x14ac:dyDescent="0.3">
      <c r="A293" s="1">
        <v>292</v>
      </c>
      <c r="B293" s="1" t="s">
        <v>101</v>
      </c>
      <c r="C293" s="1">
        <v>1</v>
      </c>
      <c r="D293" s="1">
        <v>39</v>
      </c>
      <c r="E293" s="1">
        <v>1</v>
      </c>
      <c r="F293" s="1">
        <v>2</v>
      </c>
    </row>
    <row r="294" spans="1:6" x14ac:dyDescent="0.3">
      <c r="A294" s="1">
        <v>293</v>
      </c>
      <c r="B294" s="1" t="s">
        <v>253</v>
      </c>
      <c r="C294" s="1">
        <v>2</v>
      </c>
      <c r="D294" s="1">
        <v>56</v>
      </c>
      <c r="E294" s="1">
        <v>1</v>
      </c>
      <c r="F294" s="1">
        <v>2</v>
      </c>
    </row>
    <row r="295" spans="1:6" x14ac:dyDescent="0.3">
      <c r="A295" s="1">
        <v>294</v>
      </c>
      <c r="B295" s="1" t="s">
        <v>254</v>
      </c>
      <c r="C295" s="1">
        <v>4</v>
      </c>
      <c r="D295" s="1">
        <v>54</v>
      </c>
      <c r="E295" s="1">
        <v>3</v>
      </c>
      <c r="F295" s="1">
        <v>3</v>
      </c>
    </row>
    <row r="296" spans="1:6" x14ac:dyDescent="0.3">
      <c r="A296" s="1">
        <v>295</v>
      </c>
      <c r="B296" s="1" t="s">
        <v>255</v>
      </c>
      <c r="C296" s="1">
        <v>1</v>
      </c>
      <c r="D296" s="1">
        <v>60</v>
      </c>
      <c r="E296" s="1">
        <v>2</v>
      </c>
      <c r="F296" s="1">
        <v>3</v>
      </c>
    </row>
    <row r="297" spans="1:6" x14ac:dyDescent="0.3">
      <c r="A297" s="1">
        <v>296</v>
      </c>
      <c r="B297" s="1" t="s">
        <v>256</v>
      </c>
      <c r="C297" s="1">
        <v>3</v>
      </c>
      <c r="D297" s="1">
        <v>34</v>
      </c>
      <c r="E297" s="1">
        <v>2</v>
      </c>
      <c r="F297" s="1">
        <v>3</v>
      </c>
    </row>
    <row r="298" spans="1:6" x14ac:dyDescent="0.3">
      <c r="A298" s="1">
        <v>297</v>
      </c>
      <c r="B298" s="1" t="s">
        <v>257</v>
      </c>
      <c r="C298" s="1">
        <v>2</v>
      </c>
      <c r="D298" s="1">
        <v>65</v>
      </c>
      <c r="E298" s="1">
        <v>2</v>
      </c>
      <c r="F298" s="1">
        <v>3</v>
      </c>
    </row>
    <row r="299" spans="1:6" x14ac:dyDescent="0.3">
      <c r="A299" s="1">
        <v>298</v>
      </c>
      <c r="B299" s="1" t="s">
        <v>258</v>
      </c>
      <c r="C299" s="1">
        <v>3</v>
      </c>
      <c r="D299" s="1">
        <v>53</v>
      </c>
      <c r="E299" s="1">
        <v>5</v>
      </c>
      <c r="F299" s="1">
        <v>3</v>
      </c>
    </row>
    <row r="300" spans="1:6" x14ac:dyDescent="0.3">
      <c r="A300" s="1">
        <v>299</v>
      </c>
      <c r="B300" s="1" t="s">
        <v>108</v>
      </c>
      <c r="C300" s="1">
        <v>0</v>
      </c>
      <c r="D300" s="1">
        <v>63</v>
      </c>
      <c r="E300" s="1">
        <v>2</v>
      </c>
      <c r="F300" s="1">
        <v>1</v>
      </c>
    </row>
    <row r="301" spans="1:6" x14ac:dyDescent="0.3">
      <c r="A301" s="1">
        <v>300</v>
      </c>
      <c r="B301" s="1" t="s">
        <v>259</v>
      </c>
      <c r="C301" s="1">
        <v>1</v>
      </c>
      <c r="D301" s="1">
        <v>83</v>
      </c>
      <c r="E301" s="1">
        <v>2</v>
      </c>
      <c r="F301" s="1">
        <v>3</v>
      </c>
    </row>
    <row r="302" spans="1:6" x14ac:dyDescent="0.3">
      <c r="A302" s="1">
        <v>301</v>
      </c>
      <c r="B302" s="1" t="s">
        <v>260</v>
      </c>
      <c r="C302" s="1">
        <v>2</v>
      </c>
      <c r="D302" s="1">
        <v>41</v>
      </c>
      <c r="E302" s="1">
        <v>2</v>
      </c>
      <c r="F302" s="1">
        <v>3</v>
      </c>
    </row>
    <row r="303" spans="1:6" x14ac:dyDescent="0.3">
      <c r="A303" s="1">
        <v>302</v>
      </c>
      <c r="B303" s="1" t="s">
        <v>261</v>
      </c>
      <c r="C303" s="1">
        <v>1</v>
      </c>
      <c r="D303" s="1">
        <v>30</v>
      </c>
      <c r="E303" s="1">
        <v>5</v>
      </c>
      <c r="F303" s="1">
        <v>3</v>
      </c>
    </row>
    <row r="304" spans="1:6" x14ac:dyDescent="0.3">
      <c r="A304" s="1">
        <v>303</v>
      </c>
      <c r="B304" s="1" t="s">
        <v>262</v>
      </c>
      <c r="C304" s="1">
        <v>0</v>
      </c>
      <c r="D304" s="1">
        <v>43</v>
      </c>
      <c r="E304" s="1">
        <v>1</v>
      </c>
      <c r="F304" s="1">
        <v>1</v>
      </c>
    </row>
    <row r="305" spans="1:6" x14ac:dyDescent="0.3">
      <c r="A305" s="1">
        <v>304</v>
      </c>
      <c r="B305" s="1" t="s">
        <v>263</v>
      </c>
      <c r="C305" s="1">
        <v>1</v>
      </c>
      <c r="D305" s="1">
        <v>39</v>
      </c>
      <c r="E305" s="1">
        <v>2</v>
      </c>
      <c r="F305" s="1">
        <v>3</v>
      </c>
    </row>
    <row r="306" spans="1:6" x14ac:dyDescent="0.3">
      <c r="A306" s="1">
        <v>305</v>
      </c>
      <c r="B306" s="1" t="s">
        <v>264</v>
      </c>
      <c r="C306" s="1">
        <v>1</v>
      </c>
      <c r="D306" s="1">
        <v>32</v>
      </c>
      <c r="E306" s="1">
        <v>3</v>
      </c>
      <c r="F306" s="1">
        <v>3</v>
      </c>
    </row>
    <row r="307" spans="1:6" x14ac:dyDescent="0.3">
      <c r="A307" s="1">
        <v>306</v>
      </c>
      <c r="B307" s="1" t="s">
        <v>265</v>
      </c>
      <c r="C307" s="1">
        <v>1</v>
      </c>
      <c r="D307" s="1">
        <v>70</v>
      </c>
      <c r="E307" s="1">
        <v>1</v>
      </c>
      <c r="F307" s="1">
        <v>2</v>
      </c>
    </row>
    <row r="308" spans="1:6" x14ac:dyDescent="0.3">
      <c r="A308" s="1">
        <v>307</v>
      </c>
      <c r="B308" s="1" t="s">
        <v>266</v>
      </c>
      <c r="C308" s="1">
        <v>4</v>
      </c>
      <c r="D308" s="1">
        <v>42</v>
      </c>
      <c r="E308" s="1">
        <v>2</v>
      </c>
      <c r="F308" s="1">
        <v>3</v>
      </c>
    </row>
    <row r="309" spans="1:6" x14ac:dyDescent="0.3">
      <c r="A309" s="1">
        <v>308</v>
      </c>
      <c r="B309" s="1" t="s">
        <v>267</v>
      </c>
      <c r="C309" s="1">
        <v>2</v>
      </c>
      <c r="D309" s="1">
        <v>73</v>
      </c>
      <c r="E309" s="1">
        <v>1</v>
      </c>
      <c r="F309" s="1">
        <v>2</v>
      </c>
    </row>
    <row r="310" spans="1:6" x14ac:dyDescent="0.3">
      <c r="A310" s="1">
        <v>309</v>
      </c>
      <c r="B310" s="1" t="s">
        <v>268</v>
      </c>
      <c r="C310" s="1">
        <v>3</v>
      </c>
      <c r="D310" s="1">
        <v>45</v>
      </c>
      <c r="E310" s="1">
        <v>2</v>
      </c>
      <c r="F310" s="1">
        <v>3</v>
      </c>
    </row>
    <row r="311" spans="1:6" x14ac:dyDescent="0.3">
      <c r="A311" s="1">
        <v>310</v>
      </c>
      <c r="B311" s="1" t="s">
        <v>269</v>
      </c>
      <c r="C311" s="1">
        <v>2</v>
      </c>
      <c r="D311" s="1">
        <v>37</v>
      </c>
      <c r="E311" s="1">
        <v>3</v>
      </c>
      <c r="F311" s="1">
        <v>3</v>
      </c>
    </row>
    <row r="312" spans="1:6" x14ac:dyDescent="0.3">
      <c r="A312" s="1">
        <v>311</v>
      </c>
      <c r="B312" s="1" t="s">
        <v>270</v>
      </c>
      <c r="C312" s="1">
        <v>2</v>
      </c>
      <c r="D312" s="1">
        <v>65</v>
      </c>
      <c r="E312" s="1">
        <v>4</v>
      </c>
      <c r="F312" s="1">
        <v>3</v>
      </c>
    </row>
    <row r="313" spans="1:6" x14ac:dyDescent="0.3">
      <c r="A313" s="1">
        <v>312</v>
      </c>
      <c r="B313" s="1" t="s">
        <v>125</v>
      </c>
      <c r="C313" s="1">
        <v>4</v>
      </c>
      <c r="D313" s="1">
        <v>43</v>
      </c>
      <c r="E313" s="1">
        <v>5</v>
      </c>
      <c r="F313" s="1">
        <v>3</v>
      </c>
    </row>
    <row r="314" spans="1:6" x14ac:dyDescent="0.3">
      <c r="A314" s="1">
        <v>313</v>
      </c>
      <c r="B314" s="1" t="s">
        <v>125</v>
      </c>
      <c r="C314" s="1">
        <v>1</v>
      </c>
      <c r="D314" s="1">
        <v>46</v>
      </c>
      <c r="E314" s="1">
        <v>2</v>
      </c>
      <c r="F314" s="1">
        <v>2</v>
      </c>
    </row>
    <row r="315" spans="1:6" x14ac:dyDescent="0.3">
      <c r="A315" s="1">
        <v>314</v>
      </c>
      <c r="B315" s="1" t="s">
        <v>125</v>
      </c>
      <c r="C315" s="1">
        <v>2</v>
      </c>
      <c r="D315" s="1">
        <v>65</v>
      </c>
      <c r="E315" s="1">
        <v>2</v>
      </c>
      <c r="F315" s="1">
        <v>3</v>
      </c>
    </row>
    <row r="316" spans="1:6" x14ac:dyDescent="0.3">
      <c r="A316" s="1">
        <v>315</v>
      </c>
      <c r="B316" s="1" t="s">
        <v>271</v>
      </c>
      <c r="C316" s="1">
        <v>5</v>
      </c>
      <c r="D316" s="1">
        <v>49</v>
      </c>
      <c r="E316" s="1">
        <v>2</v>
      </c>
      <c r="F316" s="1">
        <v>3</v>
      </c>
    </row>
    <row r="317" spans="1:6" x14ac:dyDescent="0.3">
      <c r="A317" s="1">
        <v>316</v>
      </c>
      <c r="B317" s="1" t="s">
        <v>272</v>
      </c>
      <c r="C317" s="1">
        <v>1</v>
      </c>
      <c r="D317" s="1">
        <v>67</v>
      </c>
      <c r="E317" s="1">
        <v>2</v>
      </c>
      <c r="F317" s="1">
        <v>3</v>
      </c>
    </row>
    <row r="318" spans="1:6" x14ac:dyDescent="0.3">
      <c r="A318" s="1">
        <v>317</v>
      </c>
      <c r="B318" s="1" t="s">
        <v>273</v>
      </c>
      <c r="C318" s="1">
        <v>1</v>
      </c>
      <c r="D318" s="1">
        <v>71</v>
      </c>
      <c r="E318" s="1">
        <v>1</v>
      </c>
      <c r="F318" s="1">
        <v>3</v>
      </c>
    </row>
    <row r="319" spans="1:6" x14ac:dyDescent="0.3">
      <c r="A319" s="1">
        <v>318</v>
      </c>
      <c r="B319" s="1" t="s">
        <v>274</v>
      </c>
      <c r="C319" s="1">
        <v>0</v>
      </c>
      <c r="D319" s="1">
        <v>52</v>
      </c>
      <c r="E319" s="1">
        <v>2</v>
      </c>
      <c r="F319" s="1">
        <v>2</v>
      </c>
    </row>
    <row r="320" spans="1:6" x14ac:dyDescent="0.3">
      <c r="A320" s="1">
        <v>319</v>
      </c>
      <c r="B320" s="1" t="s">
        <v>275</v>
      </c>
      <c r="C320" s="1">
        <v>2</v>
      </c>
      <c r="D320" s="1">
        <v>56</v>
      </c>
      <c r="E320" s="1">
        <v>2</v>
      </c>
      <c r="F320" s="1">
        <v>3</v>
      </c>
    </row>
    <row r="321" spans="1:6" x14ac:dyDescent="0.3">
      <c r="A321" s="1">
        <v>320</v>
      </c>
      <c r="B321" s="1" t="s">
        <v>276</v>
      </c>
      <c r="C321" s="1">
        <v>6</v>
      </c>
      <c r="D321" s="1">
        <v>65</v>
      </c>
      <c r="E321" s="1">
        <v>2</v>
      </c>
      <c r="F321" s="1">
        <v>3</v>
      </c>
    </row>
    <row r="322" spans="1:6" x14ac:dyDescent="0.3">
      <c r="A322" s="1">
        <v>321</v>
      </c>
      <c r="B322" s="1" t="s">
        <v>132</v>
      </c>
      <c r="C322" s="1">
        <v>1</v>
      </c>
      <c r="D322" s="1">
        <v>56</v>
      </c>
      <c r="E322" s="1">
        <v>2</v>
      </c>
      <c r="F322" s="1">
        <v>2</v>
      </c>
    </row>
    <row r="323" spans="1:6" x14ac:dyDescent="0.3">
      <c r="A323" s="1">
        <v>322</v>
      </c>
      <c r="B323" s="1" t="s">
        <v>277</v>
      </c>
      <c r="C323" s="1">
        <v>3</v>
      </c>
      <c r="D323" s="1">
        <v>33</v>
      </c>
      <c r="E323" s="1">
        <v>2</v>
      </c>
      <c r="F323" s="1">
        <v>3</v>
      </c>
    </row>
    <row r="324" spans="1:6" x14ac:dyDescent="0.3">
      <c r="A324" s="1">
        <v>323</v>
      </c>
      <c r="B324" s="1" t="s">
        <v>278</v>
      </c>
      <c r="C324" s="1">
        <v>1</v>
      </c>
      <c r="D324" s="1">
        <v>58</v>
      </c>
      <c r="E324" s="1">
        <v>5</v>
      </c>
      <c r="F324" s="1">
        <v>3</v>
      </c>
    </row>
    <row r="325" spans="1:6" x14ac:dyDescent="0.3">
      <c r="A325" s="1">
        <v>324</v>
      </c>
      <c r="B325" s="1" t="s">
        <v>137</v>
      </c>
      <c r="C325" s="1">
        <v>2</v>
      </c>
      <c r="D325" s="1">
        <v>55</v>
      </c>
      <c r="E325" s="1">
        <v>2</v>
      </c>
      <c r="F325" s="1">
        <v>3</v>
      </c>
    </row>
    <row r="326" spans="1:6" x14ac:dyDescent="0.3">
      <c r="A326" s="1">
        <v>325</v>
      </c>
      <c r="B326" s="1" t="s">
        <v>279</v>
      </c>
      <c r="C326" s="1">
        <v>3</v>
      </c>
      <c r="D326" s="1">
        <v>36</v>
      </c>
      <c r="E326" s="1">
        <v>2</v>
      </c>
      <c r="F326" s="1">
        <v>3</v>
      </c>
    </row>
    <row r="327" spans="1:6" x14ac:dyDescent="0.3">
      <c r="A327" s="1">
        <v>326</v>
      </c>
      <c r="B327" s="1" t="s">
        <v>280</v>
      </c>
      <c r="C327" s="1">
        <v>2</v>
      </c>
      <c r="D327" s="1">
        <v>86</v>
      </c>
      <c r="E327" s="1">
        <v>2</v>
      </c>
      <c r="F327" s="1">
        <v>3</v>
      </c>
    </row>
    <row r="328" spans="1:6" x14ac:dyDescent="0.3">
      <c r="A328" s="1">
        <v>327</v>
      </c>
      <c r="B328" s="1" t="s">
        <v>281</v>
      </c>
      <c r="C328" s="1">
        <v>2</v>
      </c>
      <c r="D328" s="1">
        <v>55</v>
      </c>
      <c r="E328" s="1">
        <v>2</v>
      </c>
      <c r="F328" s="1">
        <v>2</v>
      </c>
    </row>
    <row r="329" spans="1:6" x14ac:dyDescent="0.3">
      <c r="A329" s="1">
        <v>328</v>
      </c>
      <c r="B329" s="1" t="s">
        <v>282</v>
      </c>
      <c r="C329" s="1">
        <v>3</v>
      </c>
      <c r="D329" s="1">
        <v>31</v>
      </c>
      <c r="E329" s="1">
        <v>5</v>
      </c>
      <c r="F329" s="1">
        <v>3</v>
      </c>
    </row>
    <row r="330" spans="1:6" x14ac:dyDescent="0.3">
      <c r="A330" s="1">
        <v>329</v>
      </c>
      <c r="B330" s="1" t="s">
        <v>283</v>
      </c>
      <c r="C330" s="1">
        <v>3</v>
      </c>
      <c r="D330" s="1">
        <v>55</v>
      </c>
      <c r="E330" s="1">
        <v>2</v>
      </c>
      <c r="F330" s="1">
        <v>3</v>
      </c>
    </row>
    <row r="331" spans="1:6" x14ac:dyDescent="0.3">
      <c r="A331" s="1">
        <v>330</v>
      </c>
      <c r="B331" s="1" t="s">
        <v>283</v>
      </c>
      <c r="C331" s="1">
        <v>1</v>
      </c>
      <c r="D331" s="1">
        <v>43</v>
      </c>
      <c r="E331" s="1">
        <v>5</v>
      </c>
      <c r="F331" s="1">
        <v>3</v>
      </c>
    </row>
    <row r="332" spans="1:6" x14ac:dyDescent="0.3">
      <c r="A332" s="1">
        <v>331</v>
      </c>
      <c r="B332" s="1" t="s">
        <v>284</v>
      </c>
      <c r="C332" s="1">
        <v>0</v>
      </c>
      <c r="D332" s="1">
        <v>65</v>
      </c>
      <c r="E332" s="1">
        <v>1</v>
      </c>
      <c r="F332" s="1">
        <v>2</v>
      </c>
    </row>
    <row r="333" spans="1:6" x14ac:dyDescent="0.3">
      <c r="A333" s="1">
        <v>332</v>
      </c>
      <c r="B333" s="1" t="s">
        <v>285</v>
      </c>
      <c r="C333" s="1">
        <v>3</v>
      </c>
      <c r="D333" s="1">
        <v>68</v>
      </c>
      <c r="E333" s="1">
        <v>2</v>
      </c>
      <c r="F333" s="1">
        <v>3</v>
      </c>
    </row>
    <row r="334" spans="1:6" x14ac:dyDescent="0.3">
      <c r="A334" s="1">
        <v>333</v>
      </c>
      <c r="B334" s="1" t="s">
        <v>286</v>
      </c>
      <c r="C334" s="1">
        <v>2</v>
      </c>
      <c r="D334" s="1">
        <v>51</v>
      </c>
      <c r="E334" s="1">
        <v>1</v>
      </c>
      <c r="F334" s="1">
        <v>3</v>
      </c>
    </row>
    <row r="335" spans="1:6" x14ac:dyDescent="0.3">
      <c r="A335" s="1">
        <v>334</v>
      </c>
      <c r="B335" s="1" t="s">
        <v>287</v>
      </c>
      <c r="C335" s="1">
        <v>1</v>
      </c>
      <c r="D335" s="1">
        <v>49</v>
      </c>
      <c r="E335" s="1">
        <v>2</v>
      </c>
      <c r="F335" s="1">
        <v>1</v>
      </c>
    </row>
    <row r="336" spans="1:6" x14ac:dyDescent="0.3">
      <c r="A336" s="1">
        <v>335</v>
      </c>
      <c r="B336" s="1" t="s">
        <v>288</v>
      </c>
      <c r="C336" s="1">
        <v>3</v>
      </c>
      <c r="D336" s="1">
        <v>25</v>
      </c>
      <c r="E336" s="1">
        <v>5</v>
      </c>
      <c r="F336" s="1">
        <v>3</v>
      </c>
    </row>
    <row r="337" spans="1:6" x14ac:dyDescent="0.3">
      <c r="A337" s="1">
        <v>336</v>
      </c>
      <c r="B337" s="1" t="s">
        <v>145</v>
      </c>
      <c r="C337" s="1">
        <v>1</v>
      </c>
      <c r="D337" s="1">
        <v>29</v>
      </c>
      <c r="E337" s="1">
        <v>2</v>
      </c>
      <c r="F337" s="1">
        <v>3</v>
      </c>
    </row>
    <row r="338" spans="1:6" x14ac:dyDescent="0.3">
      <c r="A338" s="1">
        <v>337</v>
      </c>
      <c r="B338" s="1" t="s">
        <v>289</v>
      </c>
      <c r="C338" s="1">
        <v>1</v>
      </c>
      <c r="D338" s="1">
        <v>46</v>
      </c>
      <c r="E338" s="1">
        <v>1</v>
      </c>
      <c r="F338" s="1">
        <v>3</v>
      </c>
    </row>
    <row r="339" spans="1:6" x14ac:dyDescent="0.3">
      <c r="A339" s="1">
        <v>338</v>
      </c>
      <c r="B339" s="1" t="s">
        <v>290</v>
      </c>
      <c r="C339" s="1">
        <v>0</v>
      </c>
      <c r="D339" s="1">
        <v>78</v>
      </c>
      <c r="E339" s="1">
        <v>1</v>
      </c>
      <c r="F339" s="1">
        <v>2</v>
      </c>
    </row>
    <row r="340" spans="1:6" x14ac:dyDescent="0.3">
      <c r="A340" s="1">
        <v>339</v>
      </c>
      <c r="B340" s="1" t="s">
        <v>291</v>
      </c>
      <c r="C340" s="1">
        <v>3</v>
      </c>
      <c r="D340" s="1">
        <v>36</v>
      </c>
      <c r="E340" s="1">
        <v>2</v>
      </c>
      <c r="F340" s="1">
        <v>3</v>
      </c>
    </row>
    <row r="341" spans="1:6" x14ac:dyDescent="0.3">
      <c r="A341" s="1">
        <v>340</v>
      </c>
      <c r="B341" s="1" t="s">
        <v>292</v>
      </c>
      <c r="C341" s="1">
        <v>6</v>
      </c>
      <c r="D341" s="1">
        <v>47</v>
      </c>
      <c r="E341" s="1">
        <v>2</v>
      </c>
      <c r="F341" s="1">
        <v>3</v>
      </c>
    </row>
    <row r="342" spans="1:6" x14ac:dyDescent="0.3">
      <c r="A342" s="1">
        <v>341</v>
      </c>
      <c r="B342" s="1" t="s">
        <v>293</v>
      </c>
      <c r="C342" s="1">
        <v>3</v>
      </c>
      <c r="D342" s="1">
        <v>50</v>
      </c>
      <c r="E342" s="1">
        <v>2</v>
      </c>
      <c r="F342" s="1">
        <v>3</v>
      </c>
    </row>
    <row r="343" spans="1:6" x14ac:dyDescent="0.3">
      <c r="A343" s="1">
        <v>342</v>
      </c>
      <c r="B343" s="1" t="s">
        <v>294</v>
      </c>
      <c r="C343" s="1">
        <v>2</v>
      </c>
      <c r="D343" s="1">
        <v>33</v>
      </c>
      <c r="E343" s="1">
        <v>3</v>
      </c>
      <c r="F343" s="1">
        <v>3</v>
      </c>
    </row>
    <row r="344" spans="1:6" x14ac:dyDescent="0.3">
      <c r="A344" s="1">
        <v>343</v>
      </c>
      <c r="B344" s="1" t="s">
        <v>295</v>
      </c>
      <c r="C344" s="1">
        <v>2</v>
      </c>
      <c r="D344" s="1">
        <v>32</v>
      </c>
      <c r="E344" s="1">
        <v>2</v>
      </c>
      <c r="F344" s="1">
        <v>3</v>
      </c>
    </row>
    <row r="345" spans="1:6" x14ac:dyDescent="0.3">
      <c r="A345" s="1">
        <v>344</v>
      </c>
      <c r="B345" s="1" t="s">
        <v>296</v>
      </c>
      <c r="C345" s="1">
        <v>3</v>
      </c>
      <c r="D345" s="1">
        <v>30</v>
      </c>
      <c r="E345" s="1">
        <v>3</v>
      </c>
      <c r="F345" s="1">
        <v>3</v>
      </c>
    </row>
    <row r="346" spans="1:6" x14ac:dyDescent="0.3">
      <c r="A346" s="1">
        <v>345</v>
      </c>
      <c r="B346" s="1" t="s">
        <v>297</v>
      </c>
      <c r="C346" s="1">
        <v>3</v>
      </c>
      <c r="D346" s="1">
        <v>48</v>
      </c>
      <c r="E346" s="1">
        <v>3</v>
      </c>
      <c r="F346" s="1">
        <v>3</v>
      </c>
    </row>
    <row r="347" spans="1:6" x14ac:dyDescent="0.3">
      <c r="A347" s="1">
        <v>346</v>
      </c>
      <c r="B347" s="1" t="s">
        <v>298</v>
      </c>
      <c r="C347" s="1">
        <v>2</v>
      </c>
      <c r="D347" s="1">
        <v>51</v>
      </c>
      <c r="E347" s="1">
        <v>2</v>
      </c>
      <c r="F347" s="1">
        <v>3</v>
      </c>
    </row>
    <row r="348" spans="1:6" x14ac:dyDescent="0.3">
      <c r="A348" s="1">
        <v>347</v>
      </c>
      <c r="B348" s="1" t="s">
        <v>299</v>
      </c>
      <c r="C348" s="1">
        <v>2</v>
      </c>
      <c r="D348" s="1">
        <v>43</v>
      </c>
      <c r="E348" s="1">
        <v>3</v>
      </c>
      <c r="F348" s="1">
        <v>3</v>
      </c>
    </row>
    <row r="349" spans="1:6" x14ac:dyDescent="0.3">
      <c r="A349" s="1">
        <v>348</v>
      </c>
      <c r="B349" s="1" t="s">
        <v>300</v>
      </c>
      <c r="C349" s="1">
        <v>3</v>
      </c>
      <c r="D349" s="1">
        <v>45</v>
      </c>
      <c r="E349" s="1">
        <v>5</v>
      </c>
      <c r="F349" s="1">
        <v>3</v>
      </c>
    </row>
    <row r="350" spans="1:6" x14ac:dyDescent="0.3">
      <c r="A350" s="1">
        <v>349</v>
      </c>
      <c r="B350" s="1" t="s">
        <v>301</v>
      </c>
      <c r="C350" s="1">
        <v>2</v>
      </c>
      <c r="D350" s="1">
        <v>36</v>
      </c>
      <c r="E350" s="1">
        <v>2</v>
      </c>
      <c r="F350" s="1">
        <v>2</v>
      </c>
    </row>
    <row r="351" spans="1:6" x14ac:dyDescent="0.3">
      <c r="A351" s="1">
        <v>350</v>
      </c>
      <c r="B351" s="1" t="s">
        <v>302</v>
      </c>
      <c r="C351" s="1">
        <v>0</v>
      </c>
      <c r="D351" s="1">
        <v>40</v>
      </c>
      <c r="E351" s="1">
        <v>5</v>
      </c>
      <c r="F351" s="1">
        <v>1</v>
      </c>
    </row>
    <row r="352" spans="1:6" x14ac:dyDescent="0.3">
      <c r="A352" s="1">
        <v>351</v>
      </c>
      <c r="B352" s="1" t="s">
        <v>157</v>
      </c>
      <c r="C352" s="1">
        <v>4</v>
      </c>
      <c r="D352" s="1">
        <v>48</v>
      </c>
      <c r="E352" s="1">
        <v>1</v>
      </c>
      <c r="F352" s="1">
        <v>3</v>
      </c>
    </row>
    <row r="353" spans="1:6" x14ac:dyDescent="0.3">
      <c r="A353" s="1">
        <v>352</v>
      </c>
      <c r="B353" s="1" t="s">
        <v>303</v>
      </c>
      <c r="C353" s="1">
        <v>3</v>
      </c>
      <c r="D353" s="1">
        <v>43</v>
      </c>
      <c r="E353" s="1">
        <v>2</v>
      </c>
      <c r="F353" s="1">
        <v>3</v>
      </c>
    </row>
    <row r="354" spans="1:6" x14ac:dyDescent="0.3">
      <c r="A354" s="1">
        <v>353</v>
      </c>
      <c r="B354" s="1" t="s">
        <v>159</v>
      </c>
      <c r="C354" s="1">
        <v>2</v>
      </c>
      <c r="D354" s="1">
        <v>34</v>
      </c>
      <c r="E354" s="1">
        <v>3</v>
      </c>
      <c r="F354" s="1">
        <v>3</v>
      </c>
    </row>
    <row r="355" spans="1:6" x14ac:dyDescent="0.3">
      <c r="A355" s="1">
        <v>354</v>
      </c>
      <c r="B355" s="1" t="s">
        <v>304</v>
      </c>
      <c r="C355" s="1">
        <v>2</v>
      </c>
      <c r="D355" s="1">
        <v>30</v>
      </c>
      <c r="E355" s="1">
        <v>2</v>
      </c>
      <c r="F355" s="1">
        <v>3</v>
      </c>
    </row>
    <row r="356" spans="1:6" x14ac:dyDescent="0.3">
      <c r="A356" s="1">
        <v>355</v>
      </c>
      <c r="B356" s="1" t="s">
        <v>162</v>
      </c>
      <c r="C356" s="1">
        <v>2</v>
      </c>
      <c r="D356" s="1">
        <v>41</v>
      </c>
      <c r="E356" s="1">
        <v>2</v>
      </c>
      <c r="F356" s="1">
        <v>3</v>
      </c>
    </row>
    <row r="357" spans="1:6" x14ac:dyDescent="0.3">
      <c r="A357" s="1">
        <v>356</v>
      </c>
      <c r="B357" s="1" t="s">
        <v>305</v>
      </c>
      <c r="C357" s="1">
        <v>3</v>
      </c>
      <c r="D357" s="1">
        <v>38</v>
      </c>
      <c r="E357" s="1">
        <v>3</v>
      </c>
      <c r="F357" s="1">
        <v>3</v>
      </c>
    </row>
    <row r="358" spans="1:6" x14ac:dyDescent="0.3">
      <c r="A358" s="1">
        <v>357</v>
      </c>
      <c r="B358" s="1" t="s">
        <v>306</v>
      </c>
      <c r="C358" s="1">
        <v>4</v>
      </c>
      <c r="D358" s="1">
        <v>49</v>
      </c>
      <c r="E358" s="1">
        <v>2</v>
      </c>
      <c r="F358" s="1">
        <v>3</v>
      </c>
    </row>
    <row r="359" spans="1:6" x14ac:dyDescent="0.3">
      <c r="A359" s="1">
        <v>358</v>
      </c>
      <c r="B359" s="1" t="s">
        <v>307</v>
      </c>
      <c r="C359" s="1">
        <v>0</v>
      </c>
      <c r="D359" s="1">
        <v>58</v>
      </c>
      <c r="E359" s="1">
        <v>1</v>
      </c>
      <c r="F359" s="1">
        <v>3</v>
      </c>
    </row>
    <row r="360" spans="1:6" x14ac:dyDescent="0.3">
      <c r="A360" s="1">
        <v>359</v>
      </c>
      <c r="B360" s="1" t="s">
        <v>308</v>
      </c>
      <c r="C360" s="1">
        <v>5</v>
      </c>
      <c r="D360" s="1">
        <v>47</v>
      </c>
      <c r="E360" s="1">
        <v>2</v>
      </c>
      <c r="F360" s="1">
        <v>3</v>
      </c>
    </row>
    <row r="361" spans="1:6" x14ac:dyDescent="0.3">
      <c r="A361" s="1">
        <v>360</v>
      </c>
      <c r="B361" s="1" t="s">
        <v>169</v>
      </c>
      <c r="C361" s="1">
        <v>0</v>
      </c>
      <c r="D361" s="1">
        <v>56</v>
      </c>
      <c r="E361" s="1">
        <v>2</v>
      </c>
      <c r="F361" s="1">
        <v>3</v>
      </c>
    </row>
    <row r="362" spans="1:6" x14ac:dyDescent="0.3">
      <c r="A362" s="1">
        <v>361</v>
      </c>
      <c r="B362" s="1" t="s">
        <v>169</v>
      </c>
      <c r="C362" s="1">
        <v>2</v>
      </c>
      <c r="D362" s="1">
        <v>62</v>
      </c>
      <c r="E362" s="1">
        <v>2</v>
      </c>
      <c r="F362" s="1">
        <v>3</v>
      </c>
    </row>
    <row r="363" spans="1:6" x14ac:dyDescent="0.3">
      <c r="A363" s="1">
        <v>362</v>
      </c>
      <c r="B363" s="1" t="s">
        <v>309</v>
      </c>
      <c r="C363" s="1">
        <v>4</v>
      </c>
      <c r="D363" s="1">
        <v>43</v>
      </c>
      <c r="E363" s="1">
        <v>3</v>
      </c>
      <c r="F363" s="1">
        <v>3</v>
      </c>
    </row>
    <row r="364" spans="1:6" x14ac:dyDescent="0.3">
      <c r="A364" s="1">
        <v>363</v>
      </c>
      <c r="B364" s="1" t="s">
        <v>310</v>
      </c>
      <c r="C364" s="1">
        <v>3</v>
      </c>
      <c r="D364" s="1">
        <v>39</v>
      </c>
      <c r="E364" s="1">
        <v>2</v>
      </c>
      <c r="F364" s="1">
        <v>3</v>
      </c>
    </row>
    <row r="365" spans="1:6" x14ac:dyDescent="0.3">
      <c r="A365" s="1">
        <v>364</v>
      </c>
      <c r="B365" s="1" t="s">
        <v>311</v>
      </c>
      <c r="C365" s="1">
        <v>4</v>
      </c>
      <c r="D365" s="1">
        <v>45</v>
      </c>
      <c r="E365" s="1">
        <v>5</v>
      </c>
      <c r="F365" s="1">
        <v>3</v>
      </c>
    </row>
    <row r="366" spans="1:6" x14ac:dyDescent="0.3">
      <c r="A366" s="1">
        <v>365</v>
      </c>
      <c r="B366" s="1" t="s">
        <v>312</v>
      </c>
      <c r="C366" s="1">
        <v>3</v>
      </c>
      <c r="D366" s="1">
        <v>61</v>
      </c>
      <c r="E366" s="1">
        <v>2</v>
      </c>
      <c r="F366" s="1">
        <v>3</v>
      </c>
    </row>
    <row r="367" spans="1:6" x14ac:dyDescent="0.3">
      <c r="A367" s="1">
        <v>366</v>
      </c>
      <c r="B367" s="1" t="s">
        <v>313</v>
      </c>
      <c r="C367" s="1">
        <v>0</v>
      </c>
      <c r="D367" s="1">
        <v>76</v>
      </c>
      <c r="E367" s="1">
        <v>1</v>
      </c>
      <c r="F367" s="1">
        <v>2</v>
      </c>
    </row>
    <row r="368" spans="1:6" x14ac:dyDescent="0.3">
      <c r="A368" s="1">
        <v>367</v>
      </c>
      <c r="B368" s="1" t="s">
        <v>314</v>
      </c>
      <c r="C368" s="1">
        <v>1</v>
      </c>
      <c r="D368" s="1">
        <v>26</v>
      </c>
      <c r="E368" s="1">
        <v>1</v>
      </c>
      <c r="F368" s="1">
        <v>2</v>
      </c>
    </row>
    <row r="369" spans="1:6" x14ac:dyDescent="0.3">
      <c r="A369" s="1">
        <v>368</v>
      </c>
      <c r="B369" s="1" t="s">
        <v>315</v>
      </c>
      <c r="C369" s="1">
        <v>1</v>
      </c>
      <c r="D369" s="1">
        <v>67</v>
      </c>
      <c r="E369" s="1">
        <v>2</v>
      </c>
      <c r="F369" s="1">
        <v>3</v>
      </c>
    </row>
    <row r="370" spans="1:6" x14ac:dyDescent="0.3">
      <c r="A370" s="1">
        <v>369</v>
      </c>
      <c r="B370" s="1" t="s">
        <v>316</v>
      </c>
      <c r="C370" s="1">
        <v>0</v>
      </c>
      <c r="D370" s="1">
        <v>62</v>
      </c>
      <c r="E370" s="1">
        <v>1</v>
      </c>
      <c r="F370" s="1">
        <v>2</v>
      </c>
    </row>
    <row r="371" spans="1:6" x14ac:dyDescent="0.3">
      <c r="A371" s="1">
        <v>370</v>
      </c>
      <c r="B371" s="1" t="s">
        <v>125</v>
      </c>
      <c r="C371" s="1">
        <v>3</v>
      </c>
      <c r="D371" s="1">
        <v>46</v>
      </c>
      <c r="E371" s="1">
        <v>2</v>
      </c>
      <c r="F371" s="1">
        <v>3</v>
      </c>
    </row>
    <row r="372" spans="1:6" x14ac:dyDescent="0.3">
      <c r="A372" s="1">
        <v>371</v>
      </c>
      <c r="B372" s="1" t="s">
        <v>148</v>
      </c>
      <c r="C372" s="1">
        <v>3</v>
      </c>
      <c r="D372" s="1">
        <v>38</v>
      </c>
      <c r="E372" s="1">
        <v>1</v>
      </c>
      <c r="F372" s="1">
        <v>3</v>
      </c>
    </row>
    <row r="373" spans="1:6" x14ac:dyDescent="0.3">
      <c r="A373" s="1">
        <v>372</v>
      </c>
      <c r="B373" s="1" t="s">
        <v>317</v>
      </c>
      <c r="C373" s="1">
        <v>1</v>
      </c>
      <c r="D373" s="1">
        <v>50</v>
      </c>
      <c r="E373" s="1">
        <v>2</v>
      </c>
      <c r="F373" s="1">
        <v>3</v>
      </c>
    </row>
    <row r="374" spans="1:6" x14ac:dyDescent="0.3">
      <c r="A374" s="1">
        <v>373</v>
      </c>
      <c r="B374" s="1" t="s">
        <v>318</v>
      </c>
      <c r="C374" s="1">
        <v>3</v>
      </c>
      <c r="D374" s="1">
        <v>35</v>
      </c>
      <c r="E374" s="1">
        <v>2</v>
      </c>
      <c r="F374" s="1">
        <v>3</v>
      </c>
    </row>
    <row r="375" spans="1:6" x14ac:dyDescent="0.3">
      <c r="A375" s="1">
        <v>374</v>
      </c>
      <c r="B375" s="1" t="s">
        <v>319</v>
      </c>
      <c r="C375" s="1">
        <v>3</v>
      </c>
      <c r="D375" s="1">
        <v>39</v>
      </c>
      <c r="E375" s="1">
        <v>2</v>
      </c>
      <c r="F375" s="1">
        <v>3</v>
      </c>
    </row>
    <row r="376" spans="1:6" x14ac:dyDescent="0.3">
      <c r="A376" s="1">
        <v>375</v>
      </c>
      <c r="B376" s="1" t="s">
        <v>320</v>
      </c>
      <c r="C376" s="1">
        <v>2</v>
      </c>
      <c r="D376" s="1">
        <v>57</v>
      </c>
      <c r="E376" s="1">
        <v>2</v>
      </c>
      <c r="F376" s="1">
        <v>3</v>
      </c>
    </row>
    <row r="377" spans="1:6" x14ac:dyDescent="0.3">
      <c r="A377" s="1">
        <v>376</v>
      </c>
      <c r="B377" s="1" t="s">
        <v>321</v>
      </c>
      <c r="C377" s="1">
        <v>2</v>
      </c>
      <c r="D377" s="1">
        <v>63</v>
      </c>
      <c r="E377" s="1">
        <v>2</v>
      </c>
      <c r="F377" s="1">
        <v>3</v>
      </c>
    </row>
    <row r="378" spans="1:6" x14ac:dyDescent="0.3">
      <c r="A378" s="1">
        <v>377</v>
      </c>
      <c r="B378" s="1" t="s">
        <v>322</v>
      </c>
      <c r="C378" s="1">
        <v>2</v>
      </c>
      <c r="D378" s="1">
        <v>24</v>
      </c>
      <c r="E378" s="1">
        <v>2</v>
      </c>
      <c r="F378" s="1">
        <v>3</v>
      </c>
    </row>
    <row r="379" spans="1:6" x14ac:dyDescent="0.3">
      <c r="A379" s="1">
        <v>378</v>
      </c>
      <c r="B379" s="1" t="s">
        <v>323</v>
      </c>
      <c r="C379" s="1">
        <v>3</v>
      </c>
      <c r="D379" s="1">
        <v>43</v>
      </c>
      <c r="E379" s="1">
        <v>2</v>
      </c>
      <c r="F379" s="1">
        <v>3</v>
      </c>
    </row>
    <row r="380" spans="1:6" x14ac:dyDescent="0.3">
      <c r="A380" s="1">
        <v>379</v>
      </c>
      <c r="B380" s="1" t="s">
        <v>324</v>
      </c>
      <c r="C380" s="1">
        <v>3</v>
      </c>
      <c r="D380" s="1">
        <v>24</v>
      </c>
      <c r="E380" s="1">
        <v>2</v>
      </c>
      <c r="F380" s="1">
        <v>3</v>
      </c>
    </row>
    <row r="381" spans="1:6" x14ac:dyDescent="0.3">
      <c r="A381" s="1">
        <v>380</v>
      </c>
      <c r="B381" s="1" t="s">
        <v>325</v>
      </c>
      <c r="C381" s="1">
        <v>3</v>
      </c>
      <c r="D381" s="1">
        <v>50</v>
      </c>
      <c r="E381" s="1">
        <v>2</v>
      </c>
      <c r="F381" s="1">
        <v>3</v>
      </c>
    </row>
    <row r="382" spans="1:6" x14ac:dyDescent="0.3">
      <c r="A382" s="1">
        <v>381</v>
      </c>
      <c r="B382" s="1" t="s">
        <v>326</v>
      </c>
      <c r="C382" s="1">
        <v>3</v>
      </c>
      <c r="D382" s="1">
        <v>46</v>
      </c>
      <c r="E382" s="1">
        <v>3</v>
      </c>
      <c r="F382" s="1">
        <v>3</v>
      </c>
    </row>
    <row r="383" spans="1:6" x14ac:dyDescent="0.3">
      <c r="A383" s="1">
        <v>382</v>
      </c>
      <c r="B383" s="1" t="s">
        <v>327</v>
      </c>
      <c r="C383" s="1">
        <v>3</v>
      </c>
      <c r="D383" s="1">
        <v>39</v>
      </c>
      <c r="E383" s="1">
        <v>2</v>
      </c>
      <c r="F383" s="1">
        <v>3</v>
      </c>
    </row>
    <row r="384" spans="1:6" x14ac:dyDescent="0.3">
      <c r="A384" s="1">
        <v>383</v>
      </c>
      <c r="B384" s="1" t="s">
        <v>328</v>
      </c>
      <c r="C384" s="1">
        <v>4</v>
      </c>
      <c r="D384" s="1">
        <v>48</v>
      </c>
      <c r="E384" s="1">
        <v>2</v>
      </c>
      <c r="F384" s="1">
        <v>3</v>
      </c>
    </row>
    <row r="385" spans="1:6" x14ac:dyDescent="0.3">
      <c r="A385" s="1">
        <v>384</v>
      </c>
      <c r="B385" s="1" t="s">
        <v>18</v>
      </c>
      <c r="C385" s="1">
        <v>4</v>
      </c>
      <c r="D385" s="1">
        <v>45</v>
      </c>
      <c r="E385" s="1">
        <v>1</v>
      </c>
      <c r="F385" s="1">
        <v>3</v>
      </c>
    </row>
    <row r="386" spans="1:6" x14ac:dyDescent="0.3">
      <c r="A386" s="1">
        <v>385</v>
      </c>
      <c r="B386" s="1" t="s">
        <v>329</v>
      </c>
      <c r="C386" s="1">
        <v>5</v>
      </c>
      <c r="D386" s="1">
        <v>53</v>
      </c>
      <c r="E386" s="1">
        <v>2</v>
      </c>
      <c r="F386" s="1">
        <v>3</v>
      </c>
    </row>
    <row r="387" spans="1:6" x14ac:dyDescent="0.3">
      <c r="A387" s="1">
        <v>386</v>
      </c>
      <c r="B387" s="1" t="s">
        <v>330</v>
      </c>
      <c r="C387" s="1">
        <v>1</v>
      </c>
      <c r="D387" s="1">
        <v>51</v>
      </c>
      <c r="E387" s="1">
        <v>2</v>
      </c>
      <c r="F387" s="1">
        <v>3</v>
      </c>
    </row>
    <row r="388" spans="1:6" x14ac:dyDescent="0.3">
      <c r="A388" s="1">
        <v>387</v>
      </c>
      <c r="B388" s="1" t="s">
        <v>183</v>
      </c>
      <c r="C388" s="1">
        <v>5</v>
      </c>
      <c r="D388" s="1">
        <v>45</v>
      </c>
      <c r="E388" s="1">
        <v>2</v>
      </c>
      <c r="F388" s="1">
        <v>3</v>
      </c>
    </row>
    <row r="389" spans="1:6" x14ac:dyDescent="0.3">
      <c r="A389" s="1">
        <v>388</v>
      </c>
      <c r="B389" s="1" t="s">
        <v>20</v>
      </c>
      <c r="C389" s="1">
        <v>2</v>
      </c>
      <c r="D389" s="1">
        <v>24</v>
      </c>
      <c r="E389" s="1">
        <v>2</v>
      </c>
      <c r="F389" s="1">
        <v>3</v>
      </c>
    </row>
    <row r="390" spans="1:6" x14ac:dyDescent="0.3">
      <c r="A390" s="1">
        <v>389</v>
      </c>
      <c r="B390" s="1" t="s">
        <v>23</v>
      </c>
      <c r="C390" s="1">
        <v>3</v>
      </c>
      <c r="D390" s="1">
        <v>49</v>
      </c>
      <c r="E390" s="1">
        <v>2</v>
      </c>
      <c r="F390" s="1">
        <v>3</v>
      </c>
    </row>
    <row r="391" spans="1:6" x14ac:dyDescent="0.3">
      <c r="A391" s="1">
        <v>390</v>
      </c>
      <c r="B391" s="1" t="s">
        <v>186</v>
      </c>
      <c r="C391" s="1">
        <v>2</v>
      </c>
      <c r="D391" s="1">
        <v>58</v>
      </c>
      <c r="E391" s="1">
        <v>2</v>
      </c>
      <c r="F391" s="1">
        <v>3</v>
      </c>
    </row>
    <row r="392" spans="1:6" x14ac:dyDescent="0.3">
      <c r="A392" s="1">
        <v>391</v>
      </c>
      <c r="B392" s="1" t="s">
        <v>331</v>
      </c>
      <c r="C392" s="1">
        <v>3</v>
      </c>
      <c r="D392" s="1">
        <v>47</v>
      </c>
      <c r="E392" s="1">
        <v>2</v>
      </c>
      <c r="F392" s="1">
        <v>3</v>
      </c>
    </row>
    <row r="393" spans="1:6" x14ac:dyDescent="0.3">
      <c r="A393" s="1">
        <v>392</v>
      </c>
      <c r="B393" s="1" t="s">
        <v>189</v>
      </c>
      <c r="C393" s="1">
        <v>2</v>
      </c>
      <c r="D393" s="1">
        <v>60</v>
      </c>
      <c r="E393" s="1">
        <v>2</v>
      </c>
      <c r="F393" s="1">
        <v>3</v>
      </c>
    </row>
    <row r="394" spans="1:6" x14ac:dyDescent="0.3">
      <c r="A394" s="1">
        <v>393</v>
      </c>
      <c r="B394" s="1" t="s">
        <v>28</v>
      </c>
      <c r="C394" s="1">
        <v>3</v>
      </c>
      <c r="D394" s="1">
        <v>41</v>
      </c>
      <c r="E394" s="1">
        <v>2</v>
      </c>
      <c r="F394" s="1">
        <v>3</v>
      </c>
    </row>
    <row r="395" spans="1:6" x14ac:dyDescent="0.3">
      <c r="A395" s="1">
        <v>394</v>
      </c>
      <c r="B395" s="1" t="s">
        <v>28</v>
      </c>
      <c r="C395" s="1">
        <v>3</v>
      </c>
      <c r="D395" s="1">
        <v>44</v>
      </c>
      <c r="E395" s="1">
        <v>2</v>
      </c>
      <c r="F395" s="1">
        <v>3</v>
      </c>
    </row>
    <row r="396" spans="1:6" x14ac:dyDescent="0.3">
      <c r="A396" s="1">
        <v>395</v>
      </c>
      <c r="B396" s="1" t="s">
        <v>332</v>
      </c>
      <c r="C396" s="1">
        <v>0</v>
      </c>
      <c r="D396" s="1">
        <v>71</v>
      </c>
      <c r="E396" s="1">
        <v>1</v>
      </c>
      <c r="F396" s="1">
        <v>2</v>
      </c>
    </row>
    <row r="397" spans="1:6" x14ac:dyDescent="0.3">
      <c r="A397" s="1">
        <v>396</v>
      </c>
      <c r="B397" s="1" t="s">
        <v>333</v>
      </c>
      <c r="C397" s="1">
        <v>4</v>
      </c>
      <c r="D397" s="1">
        <v>55</v>
      </c>
      <c r="E397" s="1">
        <v>2</v>
      </c>
      <c r="F397" s="1">
        <v>3</v>
      </c>
    </row>
    <row r="398" spans="1:6" x14ac:dyDescent="0.3">
      <c r="A398" s="1">
        <v>397</v>
      </c>
      <c r="B398" s="1" t="s">
        <v>333</v>
      </c>
      <c r="C398" s="1">
        <v>3</v>
      </c>
      <c r="D398" s="1">
        <v>30</v>
      </c>
      <c r="E398" s="1">
        <v>2</v>
      </c>
      <c r="F398" s="1">
        <v>3</v>
      </c>
    </row>
    <row r="399" spans="1:6" x14ac:dyDescent="0.3">
      <c r="A399" s="1">
        <v>398</v>
      </c>
      <c r="B399" s="1" t="s">
        <v>334</v>
      </c>
      <c r="C399" s="1">
        <v>0</v>
      </c>
      <c r="D399" s="1">
        <v>66</v>
      </c>
      <c r="E399" s="1">
        <v>1</v>
      </c>
      <c r="F399" s="1">
        <v>2</v>
      </c>
    </row>
    <row r="400" spans="1:6" x14ac:dyDescent="0.3">
      <c r="A400" s="1">
        <v>399</v>
      </c>
      <c r="B400" s="1" t="s">
        <v>335</v>
      </c>
      <c r="C400" s="1">
        <v>4</v>
      </c>
      <c r="D400" s="1">
        <v>35</v>
      </c>
      <c r="E400" s="1">
        <v>2</v>
      </c>
      <c r="F400" s="1">
        <v>3</v>
      </c>
    </row>
    <row r="401" spans="1:6" x14ac:dyDescent="0.3">
      <c r="A401" s="1">
        <v>400</v>
      </c>
      <c r="B401" s="1" t="s">
        <v>336</v>
      </c>
      <c r="C401" s="1">
        <v>3</v>
      </c>
      <c r="D401" s="1">
        <v>41</v>
      </c>
      <c r="E401" s="1">
        <v>2</v>
      </c>
      <c r="F401" s="1">
        <v>3</v>
      </c>
    </row>
    <row r="402" spans="1:6" x14ac:dyDescent="0.3">
      <c r="A402" s="1">
        <v>401</v>
      </c>
      <c r="B402" s="1" t="s">
        <v>337</v>
      </c>
      <c r="C402" s="1">
        <v>2</v>
      </c>
      <c r="D402" s="1">
        <v>39</v>
      </c>
      <c r="E402" s="1">
        <v>5</v>
      </c>
      <c r="F402" s="1">
        <v>3</v>
      </c>
    </row>
    <row r="403" spans="1:6" x14ac:dyDescent="0.3">
      <c r="A403" s="1">
        <v>402</v>
      </c>
      <c r="B403" s="1" t="s">
        <v>338</v>
      </c>
      <c r="C403" s="1">
        <v>0</v>
      </c>
      <c r="D403" s="1">
        <v>48</v>
      </c>
      <c r="E403" s="1">
        <v>1</v>
      </c>
      <c r="F403" s="1">
        <v>2</v>
      </c>
    </row>
    <row r="404" spans="1:6" x14ac:dyDescent="0.3">
      <c r="A404" s="1">
        <v>403</v>
      </c>
      <c r="B404" s="1" t="s">
        <v>339</v>
      </c>
      <c r="C404" s="1">
        <v>2</v>
      </c>
      <c r="D404" s="1">
        <v>70</v>
      </c>
      <c r="E404" s="1">
        <v>2</v>
      </c>
      <c r="F404" s="1">
        <v>3</v>
      </c>
    </row>
    <row r="405" spans="1:6" x14ac:dyDescent="0.3">
      <c r="A405" s="1">
        <v>404</v>
      </c>
      <c r="B405" s="1" t="s">
        <v>340</v>
      </c>
      <c r="C405" s="1">
        <v>4</v>
      </c>
      <c r="D405" s="1">
        <v>50</v>
      </c>
      <c r="E405" s="1">
        <v>2</v>
      </c>
      <c r="F405" s="1">
        <v>3</v>
      </c>
    </row>
    <row r="406" spans="1:6" x14ac:dyDescent="0.3">
      <c r="A406" s="1">
        <v>405</v>
      </c>
      <c r="B406" s="1" t="s">
        <v>341</v>
      </c>
      <c r="C406" s="1">
        <v>2</v>
      </c>
      <c r="D406" s="1">
        <v>56</v>
      </c>
      <c r="E406" s="1">
        <v>2</v>
      </c>
      <c r="F406" s="1">
        <v>3</v>
      </c>
    </row>
    <row r="407" spans="1:6" x14ac:dyDescent="0.3">
      <c r="A407" s="1">
        <v>406</v>
      </c>
      <c r="B407" s="1" t="s">
        <v>40</v>
      </c>
      <c r="C407" s="1">
        <v>4</v>
      </c>
      <c r="D407" s="1">
        <v>55</v>
      </c>
      <c r="E407" s="1">
        <v>2</v>
      </c>
      <c r="F407" s="1">
        <v>3</v>
      </c>
    </row>
    <row r="408" spans="1:6" x14ac:dyDescent="0.3">
      <c r="A408" s="1">
        <v>407</v>
      </c>
      <c r="B408" s="1" t="s">
        <v>342</v>
      </c>
      <c r="C408" s="1">
        <v>3</v>
      </c>
      <c r="D408" s="1">
        <v>48</v>
      </c>
      <c r="E408" s="1">
        <v>5</v>
      </c>
      <c r="F408" s="1">
        <v>3</v>
      </c>
    </row>
    <row r="409" spans="1:6" x14ac:dyDescent="0.3">
      <c r="A409" s="1">
        <v>408</v>
      </c>
      <c r="B409" s="1" t="s">
        <v>343</v>
      </c>
      <c r="C409" s="1">
        <v>0</v>
      </c>
      <c r="D409" s="1">
        <v>76</v>
      </c>
      <c r="E409" s="1">
        <v>1</v>
      </c>
      <c r="F409" s="1">
        <v>2</v>
      </c>
    </row>
    <row r="410" spans="1:6" x14ac:dyDescent="0.3">
      <c r="A410" s="1">
        <v>409</v>
      </c>
      <c r="B410" s="1" t="s">
        <v>43</v>
      </c>
      <c r="C410" s="1">
        <v>3</v>
      </c>
      <c r="D410" s="1">
        <v>42</v>
      </c>
      <c r="E410" s="1">
        <v>2</v>
      </c>
      <c r="F410" s="1">
        <v>3</v>
      </c>
    </row>
    <row r="411" spans="1:6" x14ac:dyDescent="0.3">
      <c r="A411" s="1">
        <v>410</v>
      </c>
      <c r="B411" s="1" t="s">
        <v>45</v>
      </c>
      <c r="C411" s="1">
        <v>3</v>
      </c>
      <c r="D411" s="1">
        <v>48</v>
      </c>
      <c r="E411" s="1">
        <v>2</v>
      </c>
      <c r="F411" s="1">
        <v>3</v>
      </c>
    </row>
    <row r="412" spans="1:6" x14ac:dyDescent="0.3">
      <c r="A412" s="1">
        <v>411</v>
      </c>
      <c r="B412" s="1" t="s">
        <v>45</v>
      </c>
      <c r="C412" s="1">
        <v>3</v>
      </c>
      <c r="D412" s="1">
        <v>47</v>
      </c>
      <c r="E412" s="1">
        <v>2</v>
      </c>
      <c r="F412" s="1">
        <v>3</v>
      </c>
    </row>
    <row r="413" spans="1:6" x14ac:dyDescent="0.3">
      <c r="A413" s="1">
        <v>412</v>
      </c>
      <c r="B413" s="1" t="s">
        <v>45</v>
      </c>
      <c r="C413" s="1">
        <v>3</v>
      </c>
      <c r="D413" s="1">
        <v>48</v>
      </c>
      <c r="E413" s="1">
        <v>2</v>
      </c>
      <c r="F413" s="1">
        <v>3</v>
      </c>
    </row>
    <row r="414" spans="1:6" x14ac:dyDescent="0.3">
      <c r="A414" s="1">
        <v>413</v>
      </c>
      <c r="B414" s="1" t="s">
        <v>208</v>
      </c>
      <c r="C414" s="1">
        <v>1</v>
      </c>
      <c r="D414" s="1">
        <v>32</v>
      </c>
      <c r="E414" s="1">
        <v>1</v>
      </c>
      <c r="F414" s="1">
        <v>2</v>
      </c>
    </row>
    <row r="415" spans="1:6" x14ac:dyDescent="0.3">
      <c r="A415" s="1">
        <v>414</v>
      </c>
      <c r="B415" s="1" t="s">
        <v>344</v>
      </c>
      <c r="C415" s="1">
        <v>3</v>
      </c>
      <c r="D415" s="1">
        <v>29</v>
      </c>
      <c r="E415" s="1">
        <v>2</v>
      </c>
      <c r="F415" s="1">
        <v>3</v>
      </c>
    </row>
    <row r="416" spans="1:6" x14ac:dyDescent="0.3">
      <c r="A416" s="1">
        <v>415</v>
      </c>
      <c r="B416" s="1" t="s">
        <v>345</v>
      </c>
      <c r="C416" s="1">
        <v>2</v>
      </c>
      <c r="D416" s="1">
        <v>30</v>
      </c>
      <c r="E416" s="1">
        <v>2</v>
      </c>
      <c r="F416" s="1">
        <v>3</v>
      </c>
    </row>
    <row r="417" spans="1:6" x14ac:dyDescent="0.3">
      <c r="A417" s="1">
        <v>416</v>
      </c>
      <c r="B417" s="1" t="s">
        <v>346</v>
      </c>
      <c r="C417" s="1">
        <v>0</v>
      </c>
      <c r="D417" s="1">
        <v>60</v>
      </c>
      <c r="E417" s="1">
        <v>1</v>
      </c>
      <c r="F417" s="1">
        <v>2</v>
      </c>
    </row>
    <row r="418" spans="1:6" x14ac:dyDescent="0.3">
      <c r="A418" s="1">
        <v>417</v>
      </c>
      <c r="B418" s="1" t="s">
        <v>347</v>
      </c>
      <c r="C418" s="1">
        <v>4</v>
      </c>
      <c r="D418" s="1">
        <v>33</v>
      </c>
      <c r="E418" s="1">
        <v>1</v>
      </c>
      <c r="F418" s="1">
        <v>3</v>
      </c>
    </row>
    <row r="419" spans="1:6" x14ac:dyDescent="0.3">
      <c r="A419" s="1">
        <v>418</v>
      </c>
      <c r="B419" s="1" t="s">
        <v>348</v>
      </c>
      <c r="C419" s="1">
        <v>2</v>
      </c>
      <c r="D419" s="1">
        <v>49</v>
      </c>
      <c r="E419" s="1">
        <v>2</v>
      </c>
      <c r="F419" s="1">
        <v>3</v>
      </c>
    </row>
    <row r="420" spans="1:6" x14ac:dyDescent="0.3">
      <c r="A420" s="1">
        <v>419</v>
      </c>
      <c r="B420" s="1" t="s">
        <v>349</v>
      </c>
      <c r="C420" s="1">
        <v>3</v>
      </c>
      <c r="D420" s="1">
        <v>32</v>
      </c>
      <c r="E420" s="1">
        <v>2</v>
      </c>
      <c r="F420" s="1">
        <v>3</v>
      </c>
    </row>
    <row r="421" spans="1:6" x14ac:dyDescent="0.3">
      <c r="A421" s="1">
        <v>420</v>
      </c>
      <c r="B421" s="1" t="s">
        <v>350</v>
      </c>
      <c r="C421" s="1">
        <v>2</v>
      </c>
      <c r="D421" s="1">
        <v>29</v>
      </c>
      <c r="E421" s="1">
        <v>3</v>
      </c>
      <c r="F421" s="1">
        <v>3</v>
      </c>
    </row>
    <row r="422" spans="1:6" x14ac:dyDescent="0.3">
      <c r="A422" s="1">
        <v>421</v>
      </c>
      <c r="B422" s="1" t="s">
        <v>59</v>
      </c>
      <c r="C422" s="1">
        <v>4</v>
      </c>
      <c r="D422" s="1">
        <v>32</v>
      </c>
      <c r="E422" s="1">
        <v>2</v>
      </c>
      <c r="F422" s="1">
        <v>3</v>
      </c>
    </row>
    <row r="423" spans="1:6" x14ac:dyDescent="0.3">
      <c r="A423" s="1">
        <v>422</v>
      </c>
      <c r="B423" s="1" t="s">
        <v>59</v>
      </c>
      <c r="C423" s="1">
        <v>4</v>
      </c>
      <c r="D423" s="1">
        <v>50</v>
      </c>
      <c r="E423" s="1">
        <v>2</v>
      </c>
      <c r="F423" s="1">
        <v>3</v>
      </c>
    </row>
    <row r="424" spans="1:6" x14ac:dyDescent="0.3">
      <c r="A424" s="1">
        <v>423</v>
      </c>
      <c r="B424" s="1" t="s">
        <v>351</v>
      </c>
      <c r="C424" s="1">
        <v>3</v>
      </c>
      <c r="D424" s="1">
        <v>40</v>
      </c>
      <c r="E424" s="1">
        <v>3</v>
      </c>
      <c r="F424" s="1">
        <v>3</v>
      </c>
    </row>
    <row r="425" spans="1:6" x14ac:dyDescent="0.3">
      <c r="A425" s="1">
        <v>424</v>
      </c>
      <c r="B425" s="1" t="s">
        <v>352</v>
      </c>
      <c r="C425" s="1">
        <v>4</v>
      </c>
      <c r="D425" s="1">
        <v>35</v>
      </c>
      <c r="E425" s="1">
        <v>2</v>
      </c>
      <c r="F425" s="1">
        <v>3</v>
      </c>
    </row>
    <row r="426" spans="1:6" x14ac:dyDescent="0.3">
      <c r="A426" s="1">
        <v>425</v>
      </c>
      <c r="B426" s="1" t="s">
        <v>65</v>
      </c>
      <c r="C426" s="1">
        <v>3</v>
      </c>
      <c r="D426" s="1">
        <v>40</v>
      </c>
      <c r="E426" s="1">
        <v>2</v>
      </c>
      <c r="F426" s="1">
        <v>3</v>
      </c>
    </row>
    <row r="427" spans="1:6" x14ac:dyDescent="0.3">
      <c r="A427" s="1">
        <v>426</v>
      </c>
      <c r="B427" s="1" t="s">
        <v>353</v>
      </c>
      <c r="C427" s="1">
        <v>3</v>
      </c>
      <c r="D427" s="1">
        <v>40</v>
      </c>
      <c r="E427" s="1">
        <v>2</v>
      </c>
      <c r="F427" s="1">
        <v>3</v>
      </c>
    </row>
    <row r="428" spans="1:6" x14ac:dyDescent="0.3">
      <c r="A428" s="1">
        <v>427</v>
      </c>
      <c r="B428" s="1" t="s">
        <v>353</v>
      </c>
      <c r="C428" s="1">
        <v>4</v>
      </c>
      <c r="D428" s="1">
        <v>51</v>
      </c>
      <c r="E428" s="1">
        <v>2</v>
      </c>
      <c r="F428" s="1">
        <v>3</v>
      </c>
    </row>
    <row r="429" spans="1:6" x14ac:dyDescent="0.3">
      <c r="A429" s="1">
        <v>428</v>
      </c>
      <c r="B429" s="1" t="s">
        <v>67</v>
      </c>
      <c r="C429" s="1">
        <v>1</v>
      </c>
      <c r="D429" s="1">
        <v>60</v>
      </c>
      <c r="E429" s="1">
        <v>2</v>
      </c>
      <c r="F429" s="1">
        <v>3</v>
      </c>
    </row>
    <row r="430" spans="1:6" x14ac:dyDescent="0.3">
      <c r="A430" s="1">
        <v>429</v>
      </c>
      <c r="B430" s="1" t="s">
        <v>354</v>
      </c>
      <c r="C430" s="1">
        <v>1</v>
      </c>
      <c r="D430" s="1">
        <v>67</v>
      </c>
      <c r="E430" s="1">
        <v>2</v>
      </c>
      <c r="F430" s="1">
        <v>3</v>
      </c>
    </row>
    <row r="431" spans="1:6" x14ac:dyDescent="0.3">
      <c r="A431" s="1">
        <v>430</v>
      </c>
      <c r="B431" s="1" t="s">
        <v>355</v>
      </c>
      <c r="C431" s="1">
        <v>2</v>
      </c>
      <c r="D431" s="1">
        <v>50</v>
      </c>
      <c r="E431" s="1">
        <v>5</v>
      </c>
      <c r="F431" s="1">
        <v>3</v>
      </c>
    </row>
    <row r="432" spans="1:6" x14ac:dyDescent="0.3">
      <c r="A432" s="1">
        <v>431</v>
      </c>
      <c r="B432" s="1" t="s">
        <v>72</v>
      </c>
      <c r="C432" s="1">
        <v>2</v>
      </c>
      <c r="D432" s="1">
        <v>75</v>
      </c>
      <c r="E432" s="1">
        <v>2</v>
      </c>
      <c r="F432" s="1">
        <v>3</v>
      </c>
    </row>
    <row r="433" spans="1:6" x14ac:dyDescent="0.3">
      <c r="A433" s="1">
        <v>432</v>
      </c>
      <c r="B433" s="1" t="s">
        <v>72</v>
      </c>
      <c r="C433" s="1">
        <v>3</v>
      </c>
      <c r="D433" s="1">
        <v>43</v>
      </c>
      <c r="E433" s="1">
        <v>2</v>
      </c>
      <c r="F433" s="1">
        <v>3</v>
      </c>
    </row>
    <row r="434" spans="1:6" x14ac:dyDescent="0.3">
      <c r="A434" s="1">
        <v>433</v>
      </c>
      <c r="B434" s="1" t="s">
        <v>356</v>
      </c>
      <c r="C434" s="1">
        <v>3</v>
      </c>
      <c r="D434" s="1">
        <v>36</v>
      </c>
      <c r="E434" s="1">
        <v>2</v>
      </c>
      <c r="F434" s="1">
        <v>3</v>
      </c>
    </row>
    <row r="435" spans="1:6" x14ac:dyDescent="0.3">
      <c r="A435" s="1">
        <v>434</v>
      </c>
      <c r="B435" s="1" t="s">
        <v>357</v>
      </c>
      <c r="C435" s="1">
        <v>3</v>
      </c>
      <c r="D435" s="1">
        <v>52</v>
      </c>
      <c r="E435" s="1">
        <v>1</v>
      </c>
      <c r="F435" s="1">
        <v>3</v>
      </c>
    </row>
    <row r="436" spans="1:6" x14ac:dyDescent="0.3">
      <c r="A436" s="1">
        <v>435</v>
      </c>
      <c r="B436" s="1" t="s">
        <v>358</v>
      </c>
      <c r="C436" s="1">
        <v>2</v>
      </c>
      <c r="D436" s="1">
        <v>64</v>
      </c>
      <c r="E436" s="1">
        <v>1</v>
      </c>
      <c r="F436" s="1">
        <v>2</v>
      </c>
    </row>
    <row r="437" spans="1:6" x14ac:dyDescent="0.3">
      <c r="A437" s="1">
        <v>436</v>
      </c>
      <c r="B437" s="1" t="s">
        <v>358</v>
      </c>
      <c r="C437" s="1">
        <v>2</v>
      </c>
      <c r="D437" s="1">
        <v>61</v>
      </c>
      <c r="E437" s="1">
        <v>1</v>
      </c>
      <c r="F437" s="1">
        <v>2</v>
      </c>
    </row>
    <row r="438" spans="1:6" x14ac:dyDescent="0.3">
      <c r="A438" s="1">
        <v>437</v>
      </c>
      <c r="B438" s="1" t="s">
        <v>359</v>
      </c>
      <c r="C438" s="1">
        <v>1</v>
      </c>
      <c r="D438" s="1">
        <v>91</v>
      </c>
      <c r="E438" s="1">
        <v>2</v>
      </c>
      <c r="F438" s="1">
        <v>3</v>
      </c>
    </row>
    <row r="439" spans="1:6" x14ac:dyDescent="0.3">
      <c r="A439" s="1">
        <v>438</v>
      </c>
      <c r="B439" s="1" t="s">
        <v>360</v>
      </c>
      <c r="C439" s="1">
        <v>4</v>
      </c>
      <c r="D439" s="1">
        <v>30</v>
      </c>
      <c r="E439" s="1">
        <v>2</v>
      </c>
      <c r="F439" s="1">
        <v>3</v>
      </c>
    </row>
    <row r="440" spans="1:6" x14ac:dyDescent="0.3">
      <c r="A440" s="1">
        <v>439</v>
      </c>
      <c r="B440" s="1" t="s">
        <v>361</v>
      </c>
      <c r="C440" s="1">
        <v>1</v>
      </c>
      <c r="D440" s="1">
        <v>58</v>
      </c>
      <c r="E440" s="1">
        <v>2</v>
      </c>
      <c r="F440" s="1">
        <v>3</v>
      </c>
    </row>
    <row r="441" spans="1:6" x14ac:dyDescent="0.3">
      <c r="A441" s="1">
        <v>440</v>
      </c>
      <c r="B441" s="1" t="s">
        <v>362</v>
      </c>
      <c r="C441" s="1">
        <v>1</v>
      </c>
      <c r="D441" s="1">
        <v>95</v>
      </c>
      <c r="E441" s="1">
        <v>2</v>
      </c>
      <c r="F441" s="1">
        <v>2</v>
      </c>
    </row>
    <row r="442" spans="1:6" x14ac:dyDescent="0.3">
      <c r="A442" s="1">
        <v>441</v>
      </c>
      <c r="B442" s="1" t="s">
        <v>363</v>
      </c>
      <c r="C442" s="1">
        <v>3</v>
      </c>
      <c r="D442" s="1">
        <v>41</v>
      </c>
      <c r="E442" s="1">
        <v>2</v>
      </c>
      <c r="F442" s="1">
        <v>3</v>
      </c>
    </row>
    <row r="443" spans="1:6" x14ac:dyDescent="0.3">
      <c r="A443" s="1">
        <v>442</v>
      </c>
      <c r="B443" s="1" t="s">
        <v>364</v>
      </c>
      <c r="C443" s="1">
        <v>3</v>
      </c>
      <c r="D443" s="1">
        <v>60</v>
      </c>
      <c r="E443" s="1">
        <v>2</v>
      </c>
      <c r="F443" s="1">
        <v>3</v>
      </c>
    </row>
    <row r="444" spans="1:6" x14ac:dyDescent="0.3">
      <c r="A444" s="1">
        <v>443</v>
      </c>
      <c r="B444" s="1" t="s">
        <v>77</v>
      </c>
      <c r="C444" s="1">
        <v>3</v>
      </c>
      <c r="D444" s="1">
        <v>33</v>
      </c>
      <c r="E444" s="1">
        <v>2</v>
      </c>
      <c r="F444" s="1">
        <v>3</v>
      </c>
    </row>
    <row r="445" spans="1:6" x14ac:dyDescent="0.3">
      <c r="A445" s="1">
        <v>444</v>
      </c>
      <c r="B445" s="1" t="s">
        <v>365</v>
      </c>
      <c r="C445" s="1">
        <v>2</v>
      </c>
      <c r="D445" s="1">
        <v>29</v>
      </c>
      <c r="E445" s="1">
        <v>2</v>
      </c>
      <c r="F445" s="1">
        <v>3</v>
      </c>
    </row>
    <row r="446" spans="1:6" x14ac:dyDescent="0.3">
      <c r="A446" s="1">
        <v>445</v>
      </c>
      <c r="B446" s="1" t="s">
        <v>366</v>
      </c>
      <c r="C446" s="1">
        <v>3</v>
      </c>
      <c r="D446" s="1">
        <v>46</v>
      </c>
      <c r="E446" s="1">
        <v>1</v>
      </c>
      <c r="F446" s="1">
        <v>3</v>
      </c>
    </row>
    <row r="447" spans="1:6" x14ac:dyDescent="0.3">
      <c r="A447" s="1">
        <v>446</v>
      </c>
      <c r="B447" s="1" t="s">
        <v>367</v>
      </c>
      <c r="C447" s="1">
        <v>1</v>
      </c>
      <c r="D447" s="1">
        <v>38</v>
      </c>
      <c r="E447" s="1">
        <v>2</v>
      </c>
      <c r="F447" s="1">
        <v>3</v>
      </c>
    </row>
    <row r="448" spans="1:6" x14ac:dyDescent="0.3">
      <c r="A448" s="1">
        <v>447</v>
      </c>
      <c r="B448" s="1" t="s">
        <v>368</v>
      </c>
      <c r="C448" s="1">
        <v>3</v>
      </c>
      <c r="D448" s="1">
        <v>49</v>
      </c>
      <c r="E448" s="1">
        <v>2</v>
      </c>
      <c r="F448" s="1">
        <v>3</v>
      </c>
    </row>
    <row r="449" spans="1:6" x14ac:dyDescent="0.3">
      <c r="A449" s="1">
        <v>448</v>
      </c>
      <c r="B449" s="1" t="s">
        <v>369</v>
      </c>
      <c r="C449" s="1">
        <v>3</v>
      </c>
      <c r="D449" s="1">
        <v>34</v>
      </c>
      <c r="E449" s="1">
        <v>2</v>
      </c>
      <c r="F449" s="1">
        <v>3</v>
      </c>
    </row>
    <row r="450" spans="1:6" x14ac:dyDescent="0.3">
      <c r="A450" s="1">
        <v>449</v>
      </c>
      <c r="B450" s="1" t="s">
        <v>239</v>
      </c>
      <c r="C450" s="1">
        <v>7</v>
      </c>
      <c r="D450" s="1">
        <v>41</v>
      </c>
      <c r="E450" s="1">
        <v>2</v>
      </c>
      <c r="F450" s="1">
        <v>3</v>
      </c>
    </row>
    <row r="451" spans="1:6" x14ac:dyDescent="0.3">
      <c r="A451" s="1">
        <v>450</v>
      </c>
      <c r="B451" s="1" t="s">
        <v>239</v>
      </c>
      <c r="C451" s="1">
        <v>7</v>
      </c>
      <c r="D451" s="1">
        <v>33</v>
      </c>
      <c r="E451" s="1">
        <v>2</v>
      </c>
      <c r="F451" s="1">
        <v>3</v>
      </c>
    </row>
    <row r="452" spans="1:6" x14ac:dyDescent="0.3">
      <c r="A452" s="1">
        <v>451</v>
      </c>
      <c r="B452" s="1" t="s">
        <v>370</v>
      </c>
      <c r="C452" s="1">
        <v>2</v>
      </c>
      <c r="D452" s="1">
        <v>22</v>
      </c>
      <c r="E452" s="1">
        <v>1</v>
      </c>
      <c r="F452" s="1">
        <v>3</v>
      </c>
    </row>
    <row r="453" spans="1:6" x14ac:dyDescent="0.3">
      <c r="A453" s="1">
        <v>452</v>
      </c>
      <c r="B453" s="1" t="s">
        <v>371</v>
      </c>
      <c r="C453" s="1">
        <v>2</v>
      </c>
      <c r="D453" s="1">
        <v>44</v>
      </c>
      <c r="E453" s="1">
        <v>3</v>
      </c>
      <c r="F453" s="1">
        <v>2</v>
      </c>
    </row>
    <row r="454" spans="1:6" x14ac:dyDescent="0.3">
      <c r="A454" s="1">
        <v>453</v>
      </c>
      <c r="B454" s="1" t="s">
        <v>372</v>
      </c>
      <c r="C454" s="1">
        <v>3</v>
      </c>
      <c r="D454" s="1">
        <v>46</v>
      </c>
      <c r="E454" s="1">
        <v>2</v>
      </c>
      <c r="F454" s="1">
        <v>3</v>
      </c>
    </row>
    <row r="455" spans="1:6" x14ac:dyDescent="0.3">
      <c r="A455" s="1">
        <v>454</v>
      </c>
      <c r="B455" s="1" t="s">
        <v>373</v>
      </c>
      <c r="C455" s="1">
        <v>3</v>
      </c>
      <c r="D455" s="1">
        <v>43</v>
      </c>
      <c r="E455" s="1">
        <v>5</v>
      </c>
      <c r="F455" s="1">
        <v>3</v>
      </c>
    </row>
    <row r="456" spans="1:6" x14ac:dyDescent="0.3">
      <c r="A456" s="1">
        <v>455</v>
      </c>
      <c r="B456" s="1" t="s">
        <v>374</v>
      </c>
      <c r="C456" s="1">
        <v>2</v>
      </c>
      <c r="D456" s="1">
        <v>38</v>
      </c>
      <c r="E456" s="1">
        <v>2</v>
      </c>
      <c r="F456" s="1">
        <v>3</v>
      </c>
    </row>
    <row r="457" spans="1:6" x14ac:dyDescent="0.3">
      <c r="A457" s="1">
        <v>456</v>
      </c>
      <c r="B457" s="1" t="s">
        <v>375</v>
      </c>
      <c r="C457" s="1">
        <v>2</v>
      </c>
      <c r="D457" s="1">
        <v>57</v>
      </c>
      <c r="E457" s="1">
        <v>5</v>
      </c>
      <c r="F457" s="1">
        <v>3</v>
      </c>
    </row>
    <row r="458" spans="1:6" x14ac:dyDescent="0.3">
      <c r="A458" s="1">
        <v>457</v>
      </c>
      <c r="B458" s="1" t="s">
        <v>376</v>
      </c>
      <c r="C458" s="1">
        <v>0</v>
      </c>
      <c r="D458" s="1">
        <v>85</v>
      </c>
      <c r="E458" s="1">
        <v>1</v>
      </c>
      <c r="F458" s="1">
        <v>2</v>
      </c>
    </row>
    <row r="459" spans="1:6" x14ac:dyDescent="0.3">
      <c r="A459" s="1">
        <v>458</v>
      </c>
      <c r="B459" s="1" t="s">
        <v>377</v>
      </c>
      <c r="C459" s="1">
        <v>0</v>
      </c>
      <c r="D459" s="1">
        <v>57</v>
      </c>
      <c r="E459" s="1">
        <v>2</v>
      </c>
      <c r="F459" s="1">
        <v>2</v>
      </c>
    </row>
    <row r="460" spans="1:6" x14ac:dyDescent="0.3">
      <c r="A460" s="1">
        <v>459</v>
      </c>
      <c r="B460" s="1" t="s">
        <v>378</v>
      </c>
      <c r="C460" s="1">
        <v>4</v>
      </c>
      <c r="D460" s="1">
        <v>35</v>
      </c>
      <c r="E460" s="1">
        <v>2</v>
      </c>
      <c r="F460" s="1">
        <v>3</v>
      </c>
    </row>
    <row r="461" spans="1:6" x14ac:dyDescent="0.3">
      <c r="A461" s="1">
        <v>460</v>
      </c>
      <c r="B461" s="1" t="s">
        <v>379</v>
      </c>
      <c r="C461" s="1">
        <v>3</v>
      </c>
      <c r="D461" s="1">
        <v>76</v>
      </c>
      <c r="E461" s="1">
        <v>2</v>
      </c>
      <c r="F461" s="1">
        <v>3</v>
      </c>
    </row>
    <row r="462" spans="1:6" x14ac:dyDescent="0.3">
      <c r="A462" s="1">
        <v>461</v>
      </c>
      <c r="B462" s="1" t="s">
        <v>380</v>
      </c>
      <c r="C462" s="1">
        <v>3</v>
      </c>
      <c r="D462" s="1">
        <v>40</v>
      </c>
      <c r="E462" s="1">
        <v>2</v>
      </c>
      <c r="F462" s="1">
        <v>3</v>
      </c>
    </row>
    <row r="463" spans="1:6" x14ac:dyDescent="0.3">
      <c r="A463" s="1">
        <v>462</v>
      </c>
      <c r="B463" s="1" t="s">
        <v>381</v>
      </c>
      <c r="C463" s="1">
        <v>2</v>
      </c>
      <c r="D463" s="1">
        <v>32</v>
      </c>
      <c r="E463" s="1">
        <v>2</v>
      </c>
      <c r="F463" s="1">
        <v>3</v>
      </c>
    </row>
    <row r="464" spans="1:6" x14ac:dyDescent="0.3">
      <c r="A464" s="1">
        <v>463</v>
      </c>
      <c r="B464" s="1" t="s">
        <v>257</v>
      </c>
      <c r="C464" s="1">
        <v>1</v>
      </c>
      <c r="D464" s="1">
        <v>75</v>
      </c>
      <c r="E464" s="1">
        <v>2</v>
      </c>
      <c r="F464" s="1">
        <v>3</v>
      </c>
    </row>
    <row r="465" spans="1:6" x14ac:dyDescent="0.3">
      <c r="A465" s="1">
        <v>464</v>
      </c>
      <c r="B465" s="1" t="s">
        <v>382</v>
      </c>
      <c r="C465" s="1">
        <v>1</v>
      </c>
      <c r="D465" s="1">
        <v>54</v>
      </c>
      <c r="E465" s="1">
        <v>1</v>
      </c>
      <c r="F465" s="1">
        <v>2</v>
      </c>
    </row>
    <row r="466" spans="1:6" x14ac:dyDescent="0.3">
      <c r="A466" s="1">
        <v>465</v>
      </c>
      <c r="B466" s="1" t="s">
        <v>383</v>
      </c>
      <c r="C466" s="1">
        <v>0</v>
      </c>
      <c r="D466" s="1">
        <v>57</v>
      </c>
      <c r="E466" s="1">
        <v>1</v>
      </c>
      <c r="F466" s="1">
        <v>2</v>
      </c>
    </row>
    <row r="467" spans="1:6" x14ac:dyDescent="0.3">
      <c r="A467" s="1">
        <v>466</v>
      </c>
      <c r="B467" s="1" t="s">
        <v>384</v>
      </c>
      <c r="C467" s="1">
        <v>1</v>
      </c>
      <c r="D467" s="1">
        <v>45</v>
      </c>
      <c r="E467" s="1">
        <v>1</v>
      </c>
      <c r="F467" s="1">
        <v>3</v>
      </c>
    </row>
    <row r="468" spans="1:6" x14ac:dyDescent="0.3">
      <c r="A468" s="1">
        <v>467</v>
      </c>
      <c r="B468" s="1" t="s">
        <v>385</v>
      </c>
      <c r="C468" s="1">
        <v>3</v>
      </c>
      <c r="D468" s="1">
        <v>78</v>
      </c>
      <c r="E468" s="1">
        <v>2</v>
      </c>
      <c r="F468" s="1">
        <v>3</v>
      </c>
    </row>
    <row r="469" spans="1:6" x14ac:dyDescent="0.3">
      <c r="A469" s="1">
        <v>468</v>
      </c>
      <c r="B469" s="1" t="s">
        <v>386</v>
      </c>
      <c r="C469" s="1">
        <v>1</v>
      </c>
      <c r="D469" s="1">
        <v>65</v>
      </c>
      <c r="E469" s="1">
        <v>2</v>
      </c>
      <c r="F469" s="1">
        <v>3</v>
      </c>
    </row>
    <row r="470" spans="1:6" x14ac:dyDescent="0.3">
      <c r="A470" s="1">
        <v>469</v>
      </c>
      <c r="B470" s="1" t="s">
        <v>387</v>
      </c>
      <c r="C470" s="1">
        <v>3</v>
      </c>
      <c r="D470" s="1">
        <v>69</v>
      </c>
      <c r="E470" s="1">
        <v>1</v>
      </c>
      <c r="F470" s="1">
        <v>3</v>
      </c>
    </row>
    <row r="471" spans="1:6" x14ac:dyDescent="0.3">
      <c r="A471" s="1">
        <v>470</v>
      </c>
      <c r="B471" s="1" t="s">
        <v>116</v>
      </c>
      <c r="C471" s="1">
        <v>4</v>
      </c>
      <c r="D471" s="1">
        <v>39</v>
      </c>
      <c r="E471" s="1">
        <v>1</v>
      </c>
      <c r="F471" s="1">
        <v>3</v>
      </c>
    </row>
    <row r="472" spans="1:6" x14ac:dyDescent="0.3">
      <c r="A472" s="1">
        <v>471</v>
      </c>
      <c r="B472" s="1" t="s">
        <v>388</v>
      </c>
      <c r="C472" s="1">
        <v>2</v>
      </c>
      <c r="D472" s="1">
        <v>31</v>
      </c>
      <c r="E472" s="1">
        <v>1</v>
      </c>
      <c r="F472" s="1">
        <v>1</v>
      </c>
    </row>
    <row r="473" spans="1:6" x14ac:dyDescent="0.3">
      <c r="A473" s="1">
        <v>472</v>
      </c>
      <c r="B473" s="1" t="s">
        <v>389</v>
      </c>
      <c r="C473" s="1">
        <v>3</v>
      </c>
      <c r="D473" s="1">
        <v>41</v>
      </c>
      <c r="E473" s="1">
        <v>2</v>
      </c>
      <c r="F473" s="1">
        <v>3</v>
      </c>
    </row>
    <row r="474" spans="1:6" x14ac:dyDescent="0.3">
      <c r="A474" s="1">
        <v>473</v>
      </c>
      <c r="B474" s="1" t="s">
        <v>390</v>
      </c>
      <c r="C474" s="1">
        <v>4</v>
      </c>
      <c r="D474" s="1">
        <v>47</v>
      </c>
      <c r="E474" s="1">
        <v>5</v>
      </c>
      <c r="F474" s="1">
        <v>3</v>
      </c>
    </row>
    <row r="475" spans="1:6" x14ac:dyDescent="0.3">
      <c r="A475" s="1">
        <v>474</v>
      </c>
      <c r="B475" s="1" t="s">
        <v>265</v>
      </c>
      <c r="C475" s="1">
        <v>2</v>
      </c>
      <c r="D475" s="1">
        <v>60</v>
      </c>
      <c r="E475" s="1">
        <v>2</v>
      </c>
      <c r="F475" s="1">
        <v>3</v>
      </c>
    </row>
    <row r="476" spans="1:6" x14ac:dyDescent="0.3">
      <c r="A476" s="1">
        <v>475</v>
      </c>
      <c r="B476" s="1" t="s">
        <v>121</v>
      </c>
      <c r="C476" s="1">
        <v>3</v>
      </c>
      <c r="D476" s="1">
        <v>60</v>
      </c>
      <c r="E476" s="1">
        <v>2</v>
      </c>
      <c r="F476" s="1">
        <v>3</v>
      </c>
    </row>
    <row r="477" spans="1:6" x14ac:dyDescent="0.3">
      <c r="A477" s="1">
        <v>476</v>
      </c>
      <c r="B477" s="1" t="s">
        <v>391</v>
      </c>
      <c r="C477" s="1">
        <v>0</v>
      </c>
      <c r="D477" s="1">
        <v>65</v>
      </c>
      <c r="E477" s="1">
        <v>1</v>
      </c>
      <c r="F477" s="1">
        <v>2</v>
      </c>
    </row>
    <row r="478" spans="1:6" x14ac:dyDescent="0.3">
      <c r="A478" s="1">
        <v>477</v>
      </c>
      <c r="B478" s="1" t="s">
        <v>392</v>
      </c>
      <c r="C478" s="1">
        <v>0</v>
      </c>
      <c r="D478" s="1">
        <v>71</v>
      </c>
      <c r="E478" s="1">
        <v>2</v>
      </c>
      <c r="F478" s="1">
        <v>2</v>
      </c>
    </row>
    <row r="479" spans="1:6" x14ac:dyDescent="0.3">
      <c r="A479" s="1">
        <v>478</v>
      </c>
      <c r="B479" s="1" t="s">
        <v>393</v>
      </c>
      <c r="C479" s="1">
        <v>4</v>
      </c>
      <c r="D479" s="1">
        <v>48</v>
      </c>
      <c r="E479" s="1">
        <v>1</v>
      </c>
      <c r="F479" s="1">
        <v>3</v>
      </c>
    </row>
    <row r="480" spans="1:6" x14ac:dyDescent="0.3">
      <c r="A480" s="1">
        <v>479</v>
      </c>
      <c r="B480" s="1" t="s">
        <v>394</v>
      </c>
      <c r="C480" s="1">
        <v>5</v>
      </c>
      <c r="D480" s="1">
        <v>58</v>
      </c>
      <c r="E480" s="1">
        <v>1</v>
      </c>
      <c r="F480" s="1">
        <v>3</v>
      </c>
    </row>
    <row r="481" spans="1:6" x14ac:dyDescent="0.3">
      <c r="A481" s="1">
        <v>480</v>
      </c>
      <c r="B481" s="1" t="s">
        <v>395</v>
      </c>
      <c r="C481" s="1">
        <v>2</v>
      </c>
      <c r="D481" s="1">
        <v>31</v>
      </c>
      <c r="E481" s="1">
        <v>2</v>
      </c>
      <c r="F481" s="1">
        <v>3</v>
      </c>
    </row>
    <row r="482" spans="1:6" x14ac:dyDescent="0.3">
      <c r="A482" s="1">
        <v>481</v>
      </c>
      <c r="B482" s="1" t="s">
        <v>396</v>
      </c>
      <c r="C482" s="1">
        <v>1</v>
      </c>
      <c r="D482" s="1">
        <v>63</v>
      </c>
      <c r="E482" s="1">
        <v>2</v>
      </c>
      <c r="F482" s="1">
        <v>3</v>
      </c>
    </row>
    <row r="483" spans="1:6" x14ac:dyDescent="0.3">
      <c r="A483" s="1">
        <v>482</v>
      </c>
      <c r="B483" s="1" t="s">
        <v>397</v>
      </c>
      <c r="C483" s="1">
        <v>3</v>
      </c>
      <c r="D483" s="1">
        <v>40</v>
      </c>
      <c r="E483" s="1">
        <v>2</v>
      </c>
      <c r="F483" s="1">
        <v>3</v>
      </c>
    </row>
    <row r="484" spans="1:6" x14ac:dyDescent="0.3">
      <c r="A484" s="1">
        <v>483</v>
      </c>
      <c r="B484" s="1" t="s">
        <v>398</v>
      </c>
      <c r="C484" s="1">
        <v>1</v>
      </c>
      <c r="D484" s="1">
        <v>31</v>
      </c>
      <c r="E484" s="1">
        <v>1</v>
      </c>
      <c r="F484" s="1">
        <v>3</v>
      </c>
    </row>
    <row r="485" spans="1:6" x14ac:dyDescent="0.3">
      <c r="A485" s="1">
        <v>484</v>
      </c>
      <c r="B485" s="1" t="s">
        <v>399</v>
      </c>
      <c r="C485" s="1">
        <v>1</v>
      </c>
      <c r="D485" s="1">
        <v>41</v>
      </c>
      <c r="E485" s="1">
        <v>2</v>
      </c>
      <c r="F485" s="1">
        <v>2</v>
      </c>
    </row>
    <row r="486" spans="1:6" x14ac:dyDescent="0.3">
      <c r="A486" s="1">
        <v>485</v>
      </c>
      <c r="B486" s="1" t="s">
        <v>400</v>
      </c>
      <c r="C486" s="1">
        <v>2</v>
      </c>
      <c r="D486" s="1">
        <v>31</v>
      </c>
      <c r="E486" s="1">
        <v>2</v>
      </c>
      <c r="F486" s="1">
        <v>3</v>
      </c>
    </row>
    <row r="487" spans="1:6" x14ac:dyDescent="0.3">
      <c r="A487" s="1">
        <v>486</v>
      </c>
      <c r="B487" s="1" t="s">
        <v>401</v>
      </c>
      <c r="C487" s="1">
        <v>3</v>
      </c>
      <c r="D487" s="1">
        <v>94</v>
      </c>
      <c r="E487" s="1">
        <v>2</v>
      </c>
      <c r="F487" s="1">
        <v>3</v>
      </c>
    </row>
    <row r="488" spans="1:6" x14ac:dyDescent="0.3">
      <c r="A488" s="1">
        <v>487</v>
      </c>
      <c r="B488" s="1" t="s">
        <v>402</v>
      </c>
      <c r="C488" s="1">
        <v>3</v>
      </c>
      <c r="D488" s="1">
        <v>35</v>
      </c>
      <c r="E488" s="1">
        <v>1</v>
      </c>
      <c r="F488" s="1">
        <v>2</v>
      </c>
    </row>
    <row r="489" spans="1:6" x14ac:dyDescent="0.3">
      <c r="A489" s="1">
        <v>488</v>
      </c>
      <c r="B489" s="1" t="s">
        <v>403</v>
      </c>
      <c r="C489" s="1">
        <v>0</v>
      </c>
      <c r="D489" s="1">
        <v>56</v>
      </c>
      <c r="E489" s="1">
        <v>1</v>
      </c>
      <c r="F489" s="1">
        <v>1</v>
      </c>
    </row>
    <row r="490" spans="1:6" x14ac:dyDescent="0.3">
      <c r="A490" s="1">
        <v>489</v>
      </c>
      <c r="B490" s="1" t="s">
        <v>404</v>
      </c>
      <c r="C490" s="1">
        <v>1</v>
      </c>
      <c r="D490" s="1">
        <v>60</v>
      </c>
      <c r="E490" s="1">
        <v>2</v>
      </c>
      <c r="F490" s="1">
        <v>3</v>
      </c>
    </row>
    <row r="491" spans="1:6" x14ac:dyDescent="0.3">
      <c r="A491" s="1">
        <v>490</v>
      </c>
      <c r="B491" s="1" t="s">
        <v>404</v>
      </c>
      <c r="C491" s="1">
        <v>4</v>
      </c>
      <c r="D491" s="1">
        <v>45</v>
      </c>
      <c r="E491" s="1">
        <v>1</v>
      </c>
      <c r="F491" s="1">
        <v>3</v>
      </c>
    </row>
    <row r="492" spans="1:6" x14ac:dyDescent="0.3">
      <c r="A492" s="1">
        <v>491</v>
      </c>
      <c r="B492" s="1" t="s">
        <v>405</v>
      </c>
      <c r="C492" s="1">
        <v>3</v>
      </c>
      <c r="D492" s="1">
        <v>57</v>
      </c>
      <c r="E492" s="1">
        <v>2</v>
      </c>
      <c r="F492" s="1">
        <v>3</v>
      </c>
    </row>
    <row r="493" spans="1:6" x14ac:dyDescent="0.3">
      <c r="A493" s="1">
        <v>492</v>
      </c>
      <c r="B493" s="1" t="s">
        <v>406</v>
      </c>
      <c r="C493" s="1">
        <v>2</v>
      </c>
      <c r="D493" s="1">
        <v>49</v>
      </c>
      <c r="E493" s="1">
        <v>2</v>
      </c>
      <c r="F493" s="1">
        <v>2</v>
      </c>
    </row>
    <row r="494" spans="1:6" x14ac:dyDescent="0.3">
      <c r="A494" s="1">
        <v>493</v>
      </c>
      <c r="B494" s="1" t="s">
        <v>407</v>
      </c>
      <c r="C494" s="1">
        <v>1</v>
      </c>
      <c r="D494" s="1">
        <v>62</v>
      </c>
      <c r="E494" s="1">
        <v>1</v>
      </c>
      <c r="F494" s="1">
        <v>2</v>
      </c>
    </row>
    <row r="495" spans="1:6" x14ac:dyDescent="0.3">
      <c r="A495" s="1">
        <v>494</v>
      </c>
      <c r="B495" s="1" t="s">
        <v>408</v>
      </c>
      <c r="C495" s="1">
        <v>0</v>
      </c>
      <c r="D495" s="1">
        <v>58</v>
      </c>
      <c r="E495" s="1">
        <v>1</v>
      </c>
      <c r="F495" s="1">
        <v>2</v>
      </c>
    </row>
    <row r="496" spans="1:6" x14ac:dyDescent="0.3">
      <c r="A496" s="1">
        <v>495</v>
      </c>
      <c r="B496" s="1" t="s">
        <v>409</v>
      </c>
      <c r="C496" s="1">
        <v>1</v>
      </c>
      <c r="D496" s="1">
        <v>54</v>
      </c>
      <c r="E496" s="1">
        <v>2</v>
      </c>
      <c r="F496" s="1">
        <v>2</v>
      </c>
    </row>
    <row r="497" spans="1:6" x14ac:dyDescent="0.3">
      <c r="A497" s="1">
        <v>496</v>
      </c>
      <c r="B497" s="1" t="s">
        <v>410</v>
      </c>
      <c r="C497" s="1">
        <v>1</v>
      </c>
      <c r="D497" s="1">
        <v>30</v>
      </c>
      <c r="E497" s="1">
        <v>1</v>
      </c>
      <c r="F497" s="1">
        <v>3</v>
      </c>
    </row>
    <row r="498" spans="1:6" x14ac:dyDescent="0.3">
      <c r="A498" s="1">
        <v>497</v>
      </c>
      <c r="B498" s="1" t="s">
        <v>411</v>
      </c>
      <c r="C498" s="1">
        <v>2</v>
      </c>
      <c r="D498" s="1">
        <v>50</v>
      </c>
      <c r="E498" s="1">
        <v>2</v>
      </c>
      <c r="F498" s="1">
        <v>3</v>
      </c>
    </row>
    <row r="499" spans="1:6" x14ac:dyDescent="0.3">
      <c r="A499" s="1">
        <v>498</v>
      </c>
      <c r="B499" s="1" t="s">
        <v>412</v>
      </c>
      <c r="C499" s="1">
        <v>3</v>
      </c>
      <c r="D499" s="1">
        <v>38</v>
      </c>
      <c r="E499" s="1">
        <v>1</v>
      </c>
      <c r="F499" s="1">
        <v>2</v>
      </c>
    </row>
    <row r="500" spans="1:6" x14ac:dyDescent="0.3">
      <c r="A500" s="1">
        <v>499</v>
      </c>
      <c r="B500" s="1" t="s">
        <v>157</v>
      </c>
      <c r="C500" s="1">
        <v>3</v>
      </c>
      <c r="D500" s="1">
        <v>39</v>
      </c>
      <c r="E500" s="1">
        <v>2</v>
      </c>
      <c r="F500" s="1">
        <v>3</v>
      </c>
    </row>
    <row r="501" spans="1:6" x14ac:dyDescent="0.3">
      <c r="A501" s="1">
        <v>500</v>
      </c>
      <c r="B501" s="1" t="s">
        <v>413</v>
      </c>
      <c r="C501" s="1">
        <v>0</v>
      </c>
      <c r="D501" s="1">
        <v>44</v>
      </c>
      <c r="E501" s="1">
        <v>2</v>
      </c>
      <c r="F501" s="1">
        <v>1</v>
      </c>
    </row>
    <row r="502" spans="1:6" x14ac:dyDescent="0.3">
      <c r="A502" s="1">
        <v>501</v>
      </c>
      <c r="B502" s="1" t="s">
        <v>159</v>
      </c>
      <c r="C502" s="1">
        <v>3</v>
      </c>
      <c r="D502" s="1">
        <v>46</v>
      </c>
      <c r="E502" s="1">
        <v>2</v>
      </c>
      <c r="F502" s="1">
        <v>3</v>
      </c>
    </row>
    <row r="503" spans="1:6" x14ac:dyDescent="0.3">
      <c r="A503" s="1">
        <v>502</v>
      </c>
      <c r="B503" s="1" t="s">
        <v>414</v>
      </c>
      <c r="C503" s="1">
        <v>5</v>
      </c>
      <c r="D503" s="1">
        <v>54</v>
      </c>
      <c r="E503" s="1">
        <v>2</v>
      </c>
      <c r="F503" s="1">
        <v>3</v>
      </c>
    </row>
    <row r="504" spans="1:6" x14ac:dyDescent="0.3">
      <c r="A504" s="1">
        <v>503</v>
      </c>
      <c r="B504" s="1" t="s">
        <v>415</v>
      </c>
      <c r="C504" s="1">
        <v>4</v>
      </c>
      <c r="D504" s="1">
        <v>57</v>
      </c>
      <c r="E504" s="1">
        <v>2</v>
      </c>
      <c r="F504" s="1">
        <v>3</v>
      </c>
    </row>
    <row r="505" spans="1:6" x14ac:dyDescent="0.3">
      <c r="A505" s="1">
        <v>504</v>
      </c>
      <c r="B505" s="1" t="s">
        <v>162</v>
      </c>
      <c r="C505" s="1">
        <v>1</v>
      </c>
      <c r="D505" s="1">
        <v>27</v>
      </c>
      <c r="E505" s="1">
        <v>5</v>
      </c>
      <c r="F505" s="1">
        <v>3</v>
      </c>
    </row>
    <row r="506" spans="1:6" x14ac:dyDescent="0.3">
      <c r="A506" s="1">
        <v>505</v>
      </c>
      <c r="B506" s="1" t="s">
        <v>162</v>
      </c>
      <c r="C506" s="1">
        <v>0</v>
      </c>
      <c r="D506" s="1">
        <v>81</v>
      </c>
      <c r="E506" s="1">
        <v>2</v>
      </c>
      <c r="F506" s="1">
        <v>2</v>
      </c>
    </row>
    <row r="507" spans="1:6" x14ac:dyDescent="0.3">
      <c r="A507" s="1">
        <v>506</v>
      </c>
      <c r="B507" s="1" t="s">
        <v>416</v>
      </c>
      <c r="C507" s="1">
        <v>2</v>
      </c>
      <c r="D507" s="1">
        <v>80</v>
      </c>
      <c r="E507" s="1">
        <v>2</v>
      </c>
      <c r="F507" s="1">
        <v>3</v>
      </c>
    </row>
    <row r="508" spans="1:6" x14ac:dyDescent="0.3">
      <c r="A508" s="1">
        <v>507</v>
      </c>
      <c r="B508" s="1" t="s">
        <v>417</v>
      </c>
      <c r="C508" s="1">
        <v>1</v>
      </c>
      <c r="D508" s="1">
        <v>25</v>
      </c>
      <c r="E508" s="1">
        <v>5</v>
      </c>
      <c r="F508" s="1">
        <v>1</v>
      </c>
    </row>
    <row r="509" spans="1:6" x14ac:dyDescent="0.3">
      <c r="A509" s="1">
        <v>508</v>
      </c>
      <c r="B509" s="1" t="s">
        <v>418</v>
      </c>
      <c r="C509" s="1">
        <v>3</v>
      </c>
      <c r="D509" s="1">
        <v>35</v>
      </c>
      <c r="E509" s="1">
        <v>5</v>
      </c>
      <c r="F509" s="1">
        <v>3</v>
      </c>
    </row>
    <row r="510" spans="1:6" x14ac:dyDescent="0.3">
      <c r="A510" s="1">
        <v>509</v>
      </c>
      <c r="B510" s="1" t="s">
        <v>419</v>
      </c>
      <c r="C510" s="1">
        <v>2</v>
      </c>
      <c r="D510" s="1">
        <v>29</v>
      </c>
      <c r="E510" s="1">
        <v>2</v>
      </c>
      <c r="F510" s="1">
        <v>3</v>
      </c>
    </row>
    <row r="511" spans="1:6" x14ac:dyDescent="0.3">
      <c r="A511" s="1">
        <v>510</v>
      </c>
      <c r="B511" s="1" t="s">
        <v>420</v>
      </c>
      <c r="C511" s="1">
        <v>3</v>
      </c>
      <c r="D511" s="1">
        <v>46</v>
      </c>
      <c r="E511" s="1">
        <v>2</v>
      </c>
      <c r="F511" s="1">
        <v>3</v>
      </c>
    </row>
    <row r="512" spans="1:6" x14ac:dyDescent="0.3">
      <c r="A512" s="1">
        <v>511</v>
      </c>
      <c r="B512" s="1" t="s">
        <v>169</v>
      </c>
      <c r="C512" s="1">
        <v>4</v>
      </c>
      <c r="D512" s="1">
        <v>48</v>
      </c>
      <c r="E512" s="1">
        <v>2</v>
      </c>
      <c r="F512" s="1">
        <v>3</v>
      </c>
    </row>
    <row r="513" spans="1:6" x14ac:dyDescent="0.3">
      <c r="A513" s="1">
        <v>512</v>
      </c>
      <c r="B513" s="1" t="s">
        <v>421</v>
      </c>
      <c r="C513" s="1">
        <v>3</v>
      </c>
      <c r="D513" s="1">
        <v>43</v>
      </c>
      <c r="E513" s="1">
        <v>1</v>
      </c>
      <c r="F513" s="1">
        <v>3</v>
      </c>
    </row>
    <row r="514" spans="1:6" x14ac:dyDescent="0.3">
      <c r="A514" s="1">
        <v>513</v>
      </c>
      <c r="B514" s="1" t="s">
        <v>422</v>
      </c>
      <c r="C514" s="1">
        <v>4</v>
      </c>
      <c r="D514" s="1">
        <v>47</v>
      </c>
      <c r="E514" s="1">
        <v>2</v>
      </c>
      <c r="F514" s="1">
        <v>3</v>
      </c>
    </row>
    <row r="515" spans="1:6" x14ac:dyDescent="0.3">
      <c r="A515" s="1">
        <v>514</v>
      </c>
      <c r="B515" s="1" t="s">
        <v>423</v>
      </c>
      <c r="C515" s="1">
        <v>0</v>
      </c>
      <c r="D515" s="1">
        <v>36</v>
      </c>
      <c r="E515" s="1">
        <v>5</v>
      </c>
      <c r="F515" s="1">
        <v>2</v>
      </c>
    </row>
    <row r="516" spans="1:6" x14ac:dyDescent="0.3">
      <c r="A516" s="1">
        <v>515</v>
      </c>
      <c r="B516" s="1" t="s">
        <v>424</v>
      </c>
      <c r="C516" s="1">
        <v>2</v>
      </c>
      <c r="D516" s="1">
        <v>39</v>
      </c>
      <c r="E516" s="1">
        <v>2</v>
      </c>
      <c r="F516" s="1">
        <v>3</v>
      </c>
    </row>
    <row r="517" spans="1:6" x14ac:dyDescent="0.3">
      <c r="A517" s="1">
        <v>516</v>
      </c>
      <c r="B517" s="1" t="s">
        <v>425</v>
      </c>
      <c r="C517" s="1">
        <v>4</v>
      </c>
      <c r="D517" s="1">
        <v>46</v>
      </c>
      <c r="E517" s="1">
        <v>2</v>
      </c>
      <c r="F517" s="1">
        <v>3</v>
      </c>
    </row>
    <row r="518" spans="1:6" x14ac:dyDescent="0.3">
      <c r="A518" s="1">
        <v>517</v>
      </c>
      <c r="B518" s="1" t="s">
        <v>13</v>
      </c>
      <c r="C518" s="1">
        <v>2</v>
      </c>
      <c r="D518" s="1">
        <v>31</v>
      </c>
      <c r="E518" s="1">
        <v>2</v>
      </c>
      <c r="F518" s="1">
        <v>3</v>
      </c>
    </row>
    <row r="519" spans="1:6" x14ac:dyDescent="0.3">
      <c r="A519" s="1">
        <v>518</v>
      </c>
      <c r="B519" s="1" t="s">
        <v>14</v>
      </c>
      <c r="C519" s="1">
        <v>4</v>
      </c>
      <c r="D519" s="1">
        <v>51</v>
      </c>
      <c r="E519" s="1">
        <v>2</v>
      </c>
      <c r="F519" s="1">
        <v>3</v>
      </c>
    </row>
    <row r="520" spans="1:6" x14ac:dyDescent="0.3">
      <c r="A520" s="1">
        <v>519</v>
      </c>
      <c r="B520" s="1" t="s">
        <v>426</v>
      </c>
      <c r="C520" s="1">
        <v>3</v>
      </c>
      <c r="D520" s="1">
        <v>50</v>
      </c>
      <c r="E520" s="1">
        <v>2</v>
      </c>
      <c r="F520" s="1">
        <v>3</v>
      </c>
    </row>
    <row r="521" spans="1:6" x14ac:dyDescent="0.3">
      <c r="A521" s="1">
        <v>520</v>
      </c>
      <c r="B521" s="1" t="s">
        <v>16</v>
      </c>
      <c r="C521" s="1">
        <v>2</v>
      </c>
      <c r="D521" s="1">
        <v>40</v>
      </c>
      <c r="E521" s="1">
        <v>3</v>
      </c>
      <c r="F521" s="1">
        <v>3</v>
      </c>
    </row>
    <row r="522" spans="1:6" x14ac:dyDescent="0.3">
      <c r="A522" s="1">
        <v>521</v>
      </c>
      <c r="B522" s="1" t="s">
        <v>16</v>
      </c>
      <c r="C522" s="1">
        <v>4</v>
      </c>
      <c r="D522" s="1">
        <v>52</v>
      </c>
      <c r="E522" s="1">
        <v>3</v>
      </c>
      <c r="F522" s="1">
        <v>3</v>
      </c>
    </row>
    <row r="523" spans="1:6" x14ac:dyDescent="0.3">
      <c r="A523" s="1">
        <v>522</v>
      </c>
      <c r="B523" s="1" t="s">
        <v>427</v>
      </c>
      <c r="C523" s="1">
        <v>3</v>
      </c>
      <c r="D523" s="1">
        <v>46</v>
      </c>
      <c r="E523" s="1">
        <v>4</v>
      </c>
      <c r="F523" s="1">
        <v>3</v>
      </c>
    </row>
    <row r="524" spans="1:6" x14ac:dyDescent="0.3">
      <c r="A524" s="1">
        <v>523</v>
      </c>
      <c r="B524" s="1" t="s">
        <v>18</v>
      </c>
      <c r="C524" s="1">
        <v>2</v>
      </c>
      <c r="D524" s="1">
        <v>37</v>
      </c>
      <c r="E524" s="1">
        <v>2</v>
      </c>
      <c r="F524" s="1">
        <v>3</v>
      </c>
    </row>
    <row r="525" spans="1:6" x14ac:dyDescent="0.3">
      <c r="A525" s="1">
        <v>524</v>
      </c>
      <c r="B525" s="1" t="s">
        <v>183</v>
      </c>
      <c r="C525" s="1">
        <v>1</v>
      </c>
      <c r="D525" s="1">
        <v>22</v>
      </c>
      <c r="E525" s="1">
        <v>2</v>
      </c>
      <c r="F525" s="1">
        <v>1</v>
      </c>
    </row>
    <row r="526" spans="1:6" x14ac:dyDescent="0.3">
      <c r="A526" s="1">
        <v>525</v>
      </c>
      <c r="B526" s="1" t="s">
        <v>183</v>
      </c>
      <c r="C526" s="1">
        <v>3</v>
      </c>
      <c r="D526" s="1">
        <v>43</v>
      </c>
      <c r="E526" s="1">
        <v>2</v>
      </c>
      <c r="F526" s="1">
        <v>3</v>
      </c>
    </row>
    <row r="527" spans="1:6" x14ac:dyDescent="0.3">
      <c r="A527" s="1">
        <v>526</v>
      </c>
      <c r="B527" s="1" t="s">
        <v>428</v>
      </c>
      <c r="C527" s="1">
        <v>3</v>
      </c>
      <c r="D527" s="1">
        <v>29</v>
      </c>
      <c r="E527" s="1">
        <v>2</v>
      </c>
      <c r="F527" s="1">
        <v>3</v>
      </c>
    </row>
    <row r="528" spans="1:6" x14ac:dyDescent="0.3">
      <c r="A528" s="1">
        <v>527</v>
      </c>
      <c r="B528" s="1" t="s">
        <v>429</v>
      </c>
      <c r="C528" s="1">
        <v>3</v>
      </c>
      <c r="D528" s="1">
        <v>45</v>
      </c>
      <c r="E528" s="1">
        <v>2</v>
      </c>
      <c r="F528" s="1">
        <v>3</v>
      </c>
    </row>
    <row r="529" spans="1:6" x14ac:dyDescent="0.3">
      <c r="A529" s="1">
        <v>528</v>
      </c>
      <c r="B529" s="1" t="s">
        <v>430</v>
      </c>
      <c r="C529" s="1">
        <v>4</v>
      </c>
      <c r="D529" s="1">
        <v>41</v>
      </c>
      <c r="E529" s="1">
        <v>1</v>
      </c>
      <c r="F529" s="1">
        <v>3</v>
      </c>
    </row>
    <row r="530" spans="1:6" x14ac:dyDescent="0.3">
      <c r="A530" s="1">
        <v>529</v>
      </c>
      <c r="B530" s="1" t="s">
        <v>24</v>
      </c>
      <c r="C530" s="1">
        <v>2</v>
      </c>
      <c r="D530" s="1">
        <v>27</v>
      </c>
      <c r="E530" s="1">
        <v>2</v>
      </c>
      <c r="F530" s="1">
        <v>3</v>
      </c>
    </row>
    <row r="531" spans="1:6" x14ac:dyDescent="0.3">
      <c r="A531" s="1">
        <v>530</v>
      </c>
      <c r="B531" s="1" t="s">
        <v>431</v>
      </c>
      <c r="C531" s="1">
        <v>5</v>
      </c>
      <c r="D531" s="1">
        <v>50</v>
      </c>
      <c r="E531" s="1">
        <v>2</v>
      </c>
      <c r="F531" s="1">
        <v>3</v>
      </c>
    </row>
    <row r="532" spans="1:6" x14ac:dyDescent="0.3">
      <c r="A532" s="1">
        <v>531</v>
      </c>
      <c r="B532" s="1" t="s">
        <v>432</v>
      </c>
      <c r="C532" s="1">
        <v>1</v>
      </c>
      <c r="D532" s="1">
        <v>66</v>
      </c>
      <c r="E532" s="1">
        <v>1</v>
      </c>
      <c r="F532" s="1">
        <v>2</v>
      </c>
    </row>
    <row r="533" spans="1:6" x14ac:dyDescent="0.3">
      <c r="A533" s="1">
        <v>532</v>
      </c>
      <c r="B533" s="1" t="s">
        <v>433</v>
      </c>
      <c r="C533" s="1">
        <v>1</v>
      </c>
      <c r="D533" s="1">
        <v>43</v>
      </c>
      <c r="E533" s="1">
        <v>3</v>
      </c>
      <c r="F533" s="1">
        <v>1</v>
      </c>
    </row>
    <row r="534" spans="1:6" x14ac:dyDescent="0.3">
      <c r="A534" s="1">
        <v>533</v>
      </c>
      <c r="B534" s="1" t="s">
        <v>434</v>
      </c>
      <c r="C534" s="1">
        <v>6</v>
      </c>
      <c r="D534" s="1">
        <v>56</v>
      </c>
      <c r="E534" s="1">
        <v>4</v>
      </c>
      <c r="F534" s="1">
        <v>3</v>
      </c>
    </row>
    <row r="535" spans="1:6" x14ac:dyDescent="0.3">
      <c r="A535" s="1">
        <v>534</v>
      </c>
      <c r="B535" s="1" t="s">
        <v>435</v>
      </c>
      <c r="C535" s="1">
        <v>3</v>
      </c>
      <c r="D535" s="1">
        <v>57</v>
      </c>
      <c r="E535" s="1">
        <v>2</v>
      </c>
      <c r="F535" s="1">
        <v>3</v>
      </c>
    </row>
    <row r="536" spans="1:6" x14ac:dyDescent="0.3">
      <c r="A536" s="1">
        <v>535</v>
      </c>
      <c r="B536" s="1" t="s">
        <v>436</v>
      </c>
      <c r="C536" s="1">
        <v>3</v>
      </c>
      <c r="D536" s="1">
        <v>38</v>
      </c>
      <c r="E536" s="1">
        <v>2</v>
      </c>
      <c r="F536" s="1">
        <v>3</v>
      </c>
    </row>
    <row r="537" spans="1:6" x14ac:dyDescent="0.3">
      <c r="A537" s="1">
        <v>536</v>
      </c>
      <c r="B537" s="1" t="s">
        <v>437</v>
      </c>
      <c r="C537" s="1">
        <v>2</v>
      </c>
      <c r="D537" s="1">
        <v>39</v>
      </c>
      <c r="E537" s="1">
        <v>3</v>
      </c>
      <c r="F537" s="1">
        <v>3</v>
      </c>
    </row>
    <row r="538" spans="1:6" x14ac:dyDescent="0.3">
      <c r="A538" s="1">
        <v>537</v>
      </c>
      <c r="B538" s="1" t="s">
        <v>337</v>
      </c>
      <c r="C538" s="1">
        <v>2</v>
      </c>
      <c r="D538" s="1">
        <v>31</v>
      </c>
      <c r="E538" s="1">
        <v>2</v>
      </c>
      <c r="F538" s="1">
        <v>3</v>
      </c>
    </row>
    <row r="539" spans="1:6" x14ac:dyDescent="0.3">
      <c r="A539" s="1">
        <v>538</v>
      </c>
      <c r="B539" s="1" t="s">
        <v>438</v>
      </c>
      <c r="C539" s="1">
        <v>3</v>
      </c>
      <c r="D539" s="1">
        <v>41</v>
      </c>
      <c r="E539" s="1">
        <v>2</v>
      </c>
      <c r="F539" s="1">
        <v>3</v>
      </c>
    </row>
    <row r="540" spans="1:6" x14ac:dyDescent="0.3">
      <c r="A540" s="1">
        <v>539</v>
      </c>
      <c r="B540" s="1" t="s">
        <v>439</v>
      </c>
      <c r="C540" s="1">
        <v>2</v>
      </c>
      <c r="D540" s="1">
        <v>66</v>
      </c>
      <c r="E540" s="1">
        <v>2</v>
      </c>
      <c r="F540" s="1">
        <v>3</v>
      </c>
    </row>
    <row r="541" spans="1:6" x14ac:dyDescent="0.3">
      <c r="A541" s="1">
        <v>540</v>
      </c>
      <c r="B541" s="1" t="s">
        <v>440</v>
      </c>
      <c r="C541" s="1">
        <v>2</v>
      </c>
      <c r="D541" s="1">
        <v>63</v>
      </c>
      <c r="E541" s="1">
        <v>2</v>
      </c>
      <c r="F541" s="1">
        <v>3</v>
      </c>
    </row>
    <row r="542" spans="1:6" x14ac:dyDescent="0.3">
      <c r="A542" s="1">
        <v>541</v>
      </c>
      <c r="B542" s="1" t="s">
        <v>441</v>
      </c>
      <c r="C542" s="1">
        <v>1</v>
      </c>
      <c r="D542" s="1">
        <v>65</v>
      </c>
      <c r="E542" s="1">
        <v>2</v>
      </c>
      <c r="F542" s="1">
        <v>3</v>
      </c>
    </row>
    <row r="543" spans="1:6" x14ac:dyDescent="0.3">
      <c r="A543" s="1">
        <v>542</v>
      </c>
      <c r="B543" s="1" t="s">
        <v>442</v>
      </c>
      <c r="C543" s="1">
        <v>4</v>
      </c>
      <c r="D543" s="1">
        <v>45</v>
      </c>
      <c r="E543" s="1">
        <v>4</v>
      </c>
      <c r="F543" s="1">
        <v>3</v>
      </c>
    </row>
    <row r="544" spans="1:6" x14ac:dyDescent="0.3">
      <c r="A544" s="1">
        <v>543</v>
      </c>
      <c r="B544" s="1" t="s">
        <v>40</v>
      </c>
      <c r="C544" s="1">
        <v>2</v>
      </c>
      <c r="D544" s="1">
        <v>39</v>
      </c>
      <c r="E544" s="1">
        <v>2</v>
      </c>
      <c r="F544" s="1">
        <v>3</v>
      </c>
    </row>
    <row r="545" spans="1:6" x14ac:dyDescent="0.3">
      <c r="A545" s="1">
        <v>544</v>
      </c>
      <c r="B545" s="1" t="s">
        <v>443</v>
      </c>
      <c r="C545" s="1">
        <v>1</v>
      </c>
      <c r="D545" s="1">
        <v>47</v>
      </c>
      <c r="E545" s="1">
        <v>1</v>
      </c>
      <c r="F545" s="1">
        <v>2</v>
      </c>
    </row>
    <row r="546" spans="1:6" x14ac:dyDescent="0.3">
      <c r="A546" s="1">
        <v>545</v>
      </c>
      <c r="B546" s="1" t="s">
        <v>444</v>
      </c>
      <c r="C546" s="1">
        <v>4</v>
      </c>
      <c r="D546" s="1">
        <v>40</v>
      </c>
      <c r="E546" s="1">
        <v>2</v>
      </c>
      <c r="F546" s="1">
        <v>3</v>
      </c>
    </row>
    <row r="547" spans="1:6" x14ac:dyDescent="0.3">
      <c r="A547" s="1">
        <v>546</v>
      </c>
      <c r="B547" s="1" t="s">
        <v>44</v>
      </c>
      <c r="C547" s="1">
        <v>2</v>
      </c>
      <c r="D547" s="1">
        <v>75</v>
      </c>
      <c r="E547" s="1">
        <v>2</v>
      </c>
      <c r="F547" s="1">
        <v>3</v>
      </c>
    </row>
    <row r="548" spans="1:6" x14ac:dyDescent="0.3">
      <c r="A548" s="1">
        <v>547</v>
      </c>
      <c r="B548" s="1" t="s">
        <v>445</v>
      </c>
      <c r="C548" s="1">
        <v>1</v>
      </c>
      <c r="D548" s="1">
        <v>57</v>
      </c>
      <c r="E548" s="1">
        <v>2</v>
      </c>
      <c r="F548" s="1">
        <v>3</v>
      </c>
    </row>
    <row r="549" spans="1:6" x14ac:dyDescent="0.3">
      <c r="A549" s="1">
        <v>548</v>
      </c>
      <c r="B549" s="1" t="s">
        <v>446</v>
      </c>
      <c r="C549" s="1">
        <v>0</v>
      </c>
      <c r="D549" s="1">
        <v>29</v>
      </c>
      <c r="E549" s="1">
        <v>3</v>
      </c>
      <c r="F549" s="1">
        <v>1</v>
      </c>
    </row>
    <row r="550" spans="1:6" x14ac:dyDescent="0.3">
      <c r="A550" s="1">
        <v>549</v>
      </c>
      <c r="B550" s="1" t="s">
        <v>56</v>
      </c>
      <c r="C550" s="1">
        <v>2</v>
      </c>
      <c r="D550" s="1">
        <v>24</v>
      </c>
      <c r="E550" s="1">
        <v>2</v>
      </c>
      <c r="F550" s="1">
        <v>3</v>
      </c>
    </row>
    <row r="551" spans="1:6" x14ac:dyDescent="0.3">
      <c r="A551" s="1">
        <v>550</v>
      </c>
      <c r="B551" s="1" t="s">
        <v>59</v>
      </c>
      <c r="C551" s="1">
        <v>4</v>
      </c>
      <c r="D551" s="1">
        <v>47</v>
      </c>
      <c r="E551" s="1">
        <v>2</v>
      </c>
      <c r="F551" s="1">
        <v>3</v>
      </c>
    </row>
    <row r="552" spans="1:6" x14ac:dyDescent="0.3">
      <c r="A552" s="1">
        <v>551</v>
      </c>
      <c r="B552" s="1" t="s">
        <v>447</v>
      </c>
      <c r="C552" s="1">
        <v>0</v>
      </c>
      <c r="D552" s="1">
        <v>81</v>
      </c>
      <c r="E552" s="1">
        <v>1</v>
      </c>
      <c r="F552" s="1">
        <v>2</v>
      </c>
    </row>
    <row r="553" spans="1:6" x14ac:dyDescent="0.3">
      <c r="A553" s="1">
        <v>552</v>
      </c>
      <c r="B553" s="1" t="s">
        <v>448</v>
      </c>
      <c r="C553" s="1">
        <v>1</v>
      </c>
      <c r="D553" s="1">
        <v>40</v>
      </c>
      <c r="E553" s="1">
        <v>1</v>
      </c>
      <c r="F553" s="1">
        <v>2</v>
      </c>
    </row>
    <row r="554" spans="1:6" x14ac:dyDescent="0.3">
      <c r="A554" s="1">
        <v>553</v>
      </c>
      <c r="B554" s="1" t="s">
        <v>70</v>
      </c>
      <c r="C554" s="1">
        <v>2</v>
      </c>
      <c r="D554" s="1">
        <v>28</v>
      </c>
      <c r="E554" s="1">
        <v>2</v>
      </c>
      <c r="F554" s="1">
        <v>3</v>
      </c>
    </row>
    <row r="555" spans="1:6" x14ac:dyDescent="0.3">
      <c r="A555" s="1">
        <v>554</v>
      </c>
      <c r="B555" s="1" t="s">
        <v>226</v>
      </c>
      <c r="C555" s="1">
        <v>4</v>
      </c>
      <c r="D555" s="1">
        <v>38</v>
      </c>
      <c r="E555" s="1">
        <v>2</v>
      </c>
      <c r="F555" s="1">
        <v>3</v>
      </c>
    </row>
    <row r="556" spans="1:6" x14ac:dyDescent="0.3">
      <c r="A556" s="1">
        <v>555</v>
      </c>
      <c r="B556" s="1" t="s">
        <v>449</v>
      </c>
      <c r="C556" s="1">
        <v>0</v>
      </c>
      <c r="D556" s="1">
        <v>81</v>
      </c>
      <c r="E556" s="1">
        <v>1</v>
      </c>
      <c r="F556" s="1">
        <v>2</v>
      </c>
    </row>
    <row r="557" spans="1:6" x14ac:dyDescent="0.3">
      <c r="A557" s="1">
        <v>556</v>
      </c>
      <c r="B557" s="1" t="s">
        <v>450</v>
      </c>
      <c r="C557" s="1">
        <v>2</v>
      </c>
      <c r="D557" s="1">
        <v>62</v>
      </c>
      <c r="E557" s="1">
        <v>3</v>
      </c>
      <c r="F557" s="1">
        <v>3</v>
      </c>
    </row>
    <row r="558" spans="1:6" x14ac:dyDescent="0.3">
      <c r="A558" s="1">
        <v>557</v>
      </c>
      <c r="B558" s="1" t="s">
        <v>77</v>
      </c>
      <c r="C558" s="1">
        <v>3</v>
      </c>
      <c r="D558" s="1">
        <v>46</v>
      </c>
      <c r="E558" s="1">
        <v>3</v>
      </c>
      <c r="F558" s="1">
        <v>3</v>
      </c>
    </row>
    <row r="559" spans="1:6" x14ac:dyDescent="0.3">
      <c r="A559" s="1">
        <v>558</v>
      </c>
      <c r="B559" s="1" t="s">
        <v>451</v>
      </c>
      <c r="C559" s="1">
        <v>1</v>
      </c>
      <c r="D559" s="1">
        <v>60</v>
      </c>
      <c r="E559" s="1">
        <v>2</v>
      </c>
      <c r="F559" s="1">
        <v>2</v>
      </c>
    </row>
    <row r="560" spans="1:6" x14ac:dyDescent="0.3">
      <c r="A560" s="1">
        <v>559</v>
      </c>
      <c r="B560" s="1" t="s">
        <v>452</v>
      </c>
      <c r="C560" s="1">
        <v>2</v>
      </c>
      <c r="D560" s="1">
        <v>68</v>
      </c>
      <c r="E560" s="1">
        <v>5</v>
      </c>
      <c r="F560" s="1">
        <v>3</v>
      </c>
    </row>
    <row r="561" spans="1:6" x14ac:dyDescent="0.3">
      <c r="A561" s="1">
        <v>560</v>
      </c>
      <c r="B561" s="1" t="s">
        <v>453</v>
      </c>
      <c r="C561" s="1">
        <v>1</v>
      </c>
      <c r="D561" s="1">
        <v>76</v>
      </c>
      <c r="E561" s="1">
        <v>1</v>
      </c>
      <c r="F561" s="1">
        <v>2</v>
      </c>
    </row>
    <row r="562" spans="1:6" x14ac:dyDescent="0.3">
      <c r="A562" s="1">
        <v>561</v>
      </c>
      <c r="B562" s="1" t="s">
        <v>83</v>
      </c>
      <c r="C562" s="1">
        <v>3</v>
      </c>
      <c r="D562" s="1">
        <v>41</v>
      </c>
      <c r="E562" s="1">
        <v>2</v>
      </c>
      <c r="F562" s="1">
        <v>3</v>
      </c>
    </row>
    <row r="563" spans="1:6" x14ac:dyDescent="0.3">
      <c r="A563" s="1">
        <v>562</v>
      </c>
      <c r="B563" s="1" t="s">
        <v>85</v>
      </c>
      <c r="C563" s="1">
        <v>3</v>
      </c>
      <c r="D563" s="1">
        <v>29</v>
      </c>
      <c r="E563" s="1">
        <v>3</v>
      </c>
      <c r="F563" s="1">
        <v>3</v>
      </c>
    </row>
    <row r="564" spans="1:6" x14ac:dyDescent="0.3">
      <c r="A564" s="1">
        <v>563</v>
      </c>
      <c r="B564" s="1" t="s">
        <v>454</v>
      </c>
      <c r="C564" s="1">
        <v>6</v>
      </c>
      <c r="D564" s="1">
        <v>43</v>
      </c>
      <c r="E564" s="1">
        <v>2</v>
      </c>
      <c r="F564" s="1">
        <v>3</v>
      </c>
    </row>
    <row r="565" spans="1:6" x14ac:dyDescent="0.3">
      <c r="A565" s="1">
        <v>564</v>
      </c>
      <c r="B565" s="1" t="s">
        <v>455</v>
      </c>
      <c r="C565" s="1">
        <v>2</v>
      </c>
      <c r="D565" s="1">
        <v>30</v>
      </c>
      <c r="E565" s="1">
        <v>2</v>
      </c>
      <c r="F565" s="1">
        <v>3</v>
      </c>
    </row>
    <row r="566" spans="1:6" x14ac:dyDescent="0.3">
      <c r="A566" s="1">
        <v>565</v>
      </c>
      <c r="B566" s="1" t="s">
        <v>456</v>
      </c>
      <c r="C566" s="1">
        <v>3</v>
      </c>
      <c r="D566" s="1">
        <v>56</v>
      </c>
      <c r="E566" s="1">
        <v>1</v>
      </c>
      <c r="F566" s="1">
        <v>2</v>
      </c>
    </row>
    <row r="567" spans="1:6" x14ac:dyDescent="0.3">
      <c r="A567" s="1">
        <v>566</v>
      </c>
      <c r="B567" s="1" t="s">
        <v>457</v>
      </c>
      <c r="C567" s="1">
        <v>3</v>
      </c>
      <c r="D567" s="1">
        <v>66</v>
      </c>
      <c r="E567" s="1">
        <v>4</v>
      </c>
      <c r="F567" s="1">
        <v>3</v>
      </c>
    </row>
    <row r="568" spans="1:6" x14ac:dyDescent="0.3">
      <c r="A568" s="1">
        <v>567</v>
      </c>
      <c r="B568" s="1" t="s">
        <v>458</v>
      </c>
      <c r="C568" s="1">
        <v>0</v>
      </c>
      <c r="D568" s="1">
        <v>68</v>
      </c>
      <c r="E568" s="1">
        <v>2</v>
      </c>
      <c r="F568" s="1">
        <v>2</v>
      </c>
    </row>
    <row r="569" spans="1:6" x14ac:dyDescent="0.3">
      <c r="A569" s="1">
        <v>568</v>
      </c>
      <c r="B569" s="1" t="s">
        <v>459</v>
      </c>
      <c r="C569" s="1">
        <v>1</v>
      </c>
      <c r="D569" s="1">
        <v>66</v>
      </c>
      <c r="E569" s="1">
        <v>2</v>
      </c>
      <c r="F569" s="1">
        <v>2</v>
      </c>
    </row>
    <row r="570" spans="1:6" x14ac:dyDescent="0.3">
      <c r="A570" s="1">
        <v>569</v>
      </c>
      <c r="B570" s="1" t="s">
        <v>460</v>
      </c>
      <c r="C570" s="1">
        <v>2</v>
      </c>
      <c r="D570" s="1">
        <v>41</v>
      </c>
      <c r="E570" s="1">
        <v>3</v>
      </c>
      <c r="F570" s="1">
        <v>3</v>
      </c>
    </row>
    <row r="571" spans="1:6" x14ac:dyDescent="0.3">
      <c r="A571" s="1">
        <v>570</v>
      </c>
      <c r="B571" s="1" t="s">
        <v>460</v>
      </c>
      <c r="C571" s="1">
        <v>1</v>
      </c>
      <c r="D571" s="1">
        <v>80</v>
      </c>
      <c r="E571" s="1">
        <v>2</v>
      </c>
      <c r="F571" s="1">
        <v>3</v>
      </c>
    </row>
    <row r="572" spans="1:6" x14ac:dyDescent="0.3">
      <c r="A572" s="1">
        <v>571</v>
      </c>
      <c r="B572" s="1" t="s">
        <v>461</v>
      </c>
      <c r="C572" s="1">
        <v>2</v>
      </c>
      <c r="D572" s="1">
        <v>60</v>
      </c>
      <c r="E572" s="1">
        <v>2</v>
      </c>
      <c r="F572" s="1">
        <v>3</v>
      </c>
    </row>
    <row r="573" spans="1:6" x14ac:dyDescent="0.3">
      <c r="A573" s="1">
        <v>572</v>
      </c>
      <c r="B573" s="1" t="s">
        <v>461</v>
      </c>
      <c r="C573" s="1">
        <v>2</v>
      </c>
      <c r="D573" s="1">
        <v>48</v>
      </c>
      <c r="E573" s="1">
        <v>3</v>
      </c>
      <c r="F573" s="1">
        <v>3</v>
      </c>
    </row>
    <row r="574" spans="1:6" x14ac:dyDescent="0.3">
      <c r="A574" s="1">
        <v>573</v>
      </c>
      <c r="B574" s="1" t="s">
        <v>258</v>
      </c>
      <c r="C574" s="1">
        <v>2</v>
      </c>
      <c r="D574" s="1">
        <v>28</v>
      </c>
      <c r="E574" s="1">
        <v>2</v>
      </c>
      <c r="F574" s="1">
        <v>3</v>
      </c>
    </row>
    <row r="575" spans="1:6" x14ac:dyDescent="0.3">
      <c r="A575" s="1">
        <v>574</v>
      </c>
      <c r="B575" s="1" t="s">
        <v>462</v>
      </c>
      <c r="C575" s="1">
        <v>2</v>
      </c>
      <c r="D575" s="1">
        <v>59</v>
      </c>
      <c r="E575" s="1">
        <v>2</v>
      </c>
      <c r="F575" s="1">
        <v>3</v>
      </c>
    </row>
    <row r="576" spans="1:6" x14ac:dyDescent="0.3">
      <c r="A576" s="1">
        <v>575</v>
      </c>
      <c r="B576" s="1" t="s">
        <v>463</v>
      </c>
      <c r="C576" s="1">
        <v>0</v>
      </c>
      <c r="D576" s="1">
        <v>23</v>
      </c>
      <c r="E576" s="1">
        <v>1</v>
      </c>
      <c r="F576" s="1">
        <v>1</v>
      </c>
    </row>
    <row r="577" spans="1:6" x14ac:dyDescent="0.3">
      <c r="A577" s="1">
        <v>576</v>
      </c>
      <c r="B577" s="1" t="s">
        <v>464</v>
      </c>
      <c r="C577" s="1">
        <v>3</v>
      </c>
      <c r="D577" s="1">
        <v>48</v>
      </c>
      <c r="E577" s="1">
        <v>2</v>
      </c>
      <c r="F577" s="1">
        <v>3</v>
      </c>
    </row>
    <row r="578" spans="1:6" x14ac:dyDescent="0.3">
      <c r="A578" s="1">
        <v>577</v>
      </c>
      <c r="B578" s="1" t="s">
        <v>464</v>
      </c>
      <c r="C578" s="1">
        <v>7</v>
      </c>
      <c r="D578" s="1">
        <v>56</v>
      </c>
      <c r="E578" s="1">
        <v>2</v>
      </c>
      <c r="F578" s="1">
        <v>3</v>
      </c>
    </row>
    <row r="579" spans="1:6" x14ac:dyDescent="0.3">
      <c r="A579" s="1">
        <v>578</v>
      </c>
      <c r="B579" s="1" t="s">
        <v>465</v>
      </c>
      <c r="C579" s="1">
        <v>4</v>
      </c>
      <c r="D579" s="1">
        <v>38</v>
      </c>
      <c r="E579" s="1">
        <v>2</v>
      </c>
      <c r="F579" s="1">
        <v>3</v>
      </c>
    </row>
    <row r="580" spans="1:6" x14ac:dyDescent="0.3">
      <c r="A580" s="1">
        <v>579</v>
      </c>
      <c r="B580" s="1" t="s">
        <v>466</v>
      </c>
      <c r="C580" s="1">
        <v>2</v>
      </c>
      <c r="D580" s="1">
        <v>36</v>
      </c>
      <c r="E580" s="1">
        <v>2</v>
      </c>
      <c r="F580" s="1">
        <v>3</v>
      </c>
    </row>
    <row r="581" spans="1:6" x14ac:dyDescent="0.3">
      <c r="A581" s="1">
        <v>580</v>
      </c>
      <c r="B581" s="1" t="s">
        <v>467</v>
      </c>
      <c r="C581" s="1">
        <v>2</v>
      </c>
      <c r="D581" s="1">
        <v>63</v>
      </c>
      <c r="E581" s="1">
        <v>2</v>
      </c>
      <c r="F581" s="1">
        <v>3</v>
      </c>
    </row>
    <row r="582" spans="1:6" x14ac:dyDescent="0.3">
      <c r="A582" s="1">
        <v>581</v>
      </c>
      <c r="B582" s="1" t="s">
        <v>468</v>
      </c>
      <c r="C582" s="1">
        <v>3</v>
      </c>
      <c r="D582" s="1">
        <v>42</v>
      </c>
      <c r="E582" s="1">
        <v>2</v>
      </c>
      <c r="F582" s="1">
        <v>3</v>
      </c>
    </row>
    <row r="583" spans="1:6" x14ac:dyDescent="0.3">
      <c r="A583" s="1">
        <v>582</v>
      </c>
      <c r="B583" s="1" t="s">
        <v>469</v>
      </c>
      <c r="C583" s="1">
        <v>3</v>
      </c>
      <c r="D583" s="1">
        <v>48</v>
      </c>
      <c r="E583" s="1">
        <v>2</v>
      </c>
      <c r="F583" s="1">
        <v>3</v>
      </c>
    </row>
    <row r="584" spans="1:6" x14ac:dyDescent="0.3">
      <c r="A584" s="1">
        <v>583</v>
      </c>
      <c r="B584" s="1" t="s">
        <v>393</v>
      </c>
      <c r="C584" s="1">
        <v>2</v>
      </c>
      <c r="D584" s="1">
        <v>44</v>
      </c>
      <c r="E584" s="1">
        <v>2</v>
      </c>
      <c r="F584" s="1">
        <v>3</v>
      </c>
    </row>
    <row r="585" spans="1:6" x14ac:dyDescent="0.3">
      <c r="A585" s="1">
        <v>584</v>
      </c>
      <c r="B585" s="1" t="s">
        <v>125</v>
      </c>
      <c r="C585" s="1">
        <v>3</v>
      </c>
      <c r="D585" s="1">
        <v>47</v>
      </c>
      <c r="E585" s="1">
        <v>2</v>
      </c>
      <c r="F585" s="1">
        <v>3</v>
      </c>
    </row>
    <row r="586" spans="1:6" x14ac:dyDescent="0.3">
      <c r="A586" s="1">
        <v>585</v>
      </c>
      <c r="B586" s="1" t="s">
        <v>470</v>
      </c>
      <c r="C586" s="1">
        <v>2</v>
      </c>
      <c r="D586" s="1">
        <v>35</v>
      </c>
      <c r="E586" s="1">
        <v>5</v>
      </c>
      <c r="F586" s="1">
        <v>3</v>
      </c>
    </row>
    <row r="587" spans="1:6" x14ac:dyDescent="0.3">
      <c r="A587" s="1">
        <v>586</v>
      </c>
      <c r="B587" s="1" t="s">
        <v>394</v>
      </c>
      <c r="C587" s="1">
        <v>3</v>
      </c>
      <c r="D587" s="1">
        <v>56</v>
      </c>
      <c r="E587" s="1">
        <v>2</v>
      </c>
      <c r="F587" s="1">
        <v>3</v>
      </c>
    </row>
    <row r="588" spans="1:6" x14ac:dyDescent="0.3">
      <c r="A588" s="1">
        <v>587</v>
      </c>
      <c r="B588" s="1" t="s">
        <v>471</v>
      </c>
      <c r="C588" s="1">
        <v>3</v>
      </c>
      <c r="D588" s="1">
        <v>48</v>
      </c>
      <c r="E588" s="1">
        <v>2</v>
      </c>
      <c r="F588" s="1">
        <v>3</v>
      </c>
    </row>
    <row r="589" spans="1:6" x14ac:dyDescent="0.3">
      <c r="A589" s="1">
        <v>588</v>
      </c>
      <c r="B589" s="1" t="s">
        <v>472</v>
      </c>
      <c r="C589" s="1">
        <v>3</v>
      </c>
      <c r="D589" s="1">
        <v>48</v>
      </c>
      <c r="E589" s="1">
        <v>2</v>
      </c>
      <c r="F589" s="1">
        <v>3</v>
      </c>
    </row>
    <row r="590" spans="1:6" x14ac:dyDescent="0.3">
      <c r="A590" s="1">
        <v>589</v>
      </c>
      <c r="B590" s="1" t="s">
        <v>473</v>
      </c>
      <c r="C590" s="1">
        <v>2</v>
      </c>
      <c r="D590" s="1">
        <v>31</v>
      </c>
      <c r="E590" s="1">
        <v>2</v>
      </c>
      <c r="F590" s="1">
        <v>3</v>
      </c>
    </row>
    <row r="591" spans="1:6" x14ac:dyDescent="0.3">
      <c r="A591" s="1">
        <v>590</v>
      </c>
      <c r="B591" s="1" t="s">
        <v>130</v>
      </c>
      <c r="C591" s="1">
        <v>0</v>
      </c>
      <c r="D591" s="1">
        <v>31</v>
      </c>
      <c r="E591" s="1">
        <v>1</v>
      </c>
      <c r="F591" s="1">
        <v>1</v>
      </c>
    </row>
    <row r="592" spans="1:6" x14ac:dyDescent="0.3">
      <c r="A592" s="1">
        <v>591</v>
      </c>
      <c r="B592" s="1" t="s">
        <v>132</v>
      </c>
      <c r="C592" s="1">
        <v>0</v>
      </c>
      <c r="D592" s="1">
        <v>94</v>
      </c>
      <c r="E592" s="1">
        <v>1</v>
      </c>
      <c r="F592" s="1">
        <v>2</v>
      </c>
    </row>
    <row r="593" spans="1:6" x14ac:dyDescent="0.3">
      <c r="A593" s="1">
        <v>592</v>
      </c>
      <c r="B593" s="1" t="s">
        <v>132</v>
      </c>
      <c r="C593" s="1">
        <v>0</v>
      </c>
      <c r="D593" s="1">
        <v>63</v>
      </c>
      <c r="E593" s="1">
        <v>2</v>
      </c>
      <c r="F593" s="1">
        <v>3</v>
      </c>
    </row>
    <row r="594" spans="1:6" x14ac:dyDescent="0.3">
      <c r="A594" s="1">
        <v>593</v>
      </c>
      <c r="B594" s="1" t="s">
        <v>474</v>
      </c>
      <c r="C594" s="1">
        <v>0</v>
      </c>
      <c r="D594" s="1">
        <v>22</v>
      </c>
      <c r="E594" s="1">
        <v>2</v>
      </c>
      <c r="F594" s="1">
        <v>1</v>
      </c>
    </row>
    <row r="595" spans="1:6" x14ac:dyDescent="0.3">
      <c r="A595" s="1">
        <v>594</v>
      </c>
      <c r="B595" s="1" t="s">
        <v>475</v>
      </c>
      <c r="C595" s="1">
        <v>2</v>
      </c>
      <c r="D595" s="1">
        <v>29</v>
      </c>
      <c r="E595" s="1">
        <v>2</v>
      </c>
      <c r="F595" s="1">
        <v>3</v>
      </c>
    </row>
    <row r="596" spans="1:6" x14ac:dyDescent="0.3">
      <c r="A596" s="1">
        <v>595</v>
      </c>
      <c r="B596" s="1" t="s">
        <v>476</v>
      </c>
      <c r="C596" s="1">
        <v>2</v>
      </c>
      <c r="D596" s="1">
        <v>38</v>
      </c>
      <c r="E596" s="1">
        <v>2</v>
      </c>
      <c r="F596" s="1">
        <v>3</v>
      </c>
    </row>
    <row r="597" spans="1:6" x14ac:dyDescent="0.3">
      <c r="A597" s="1">
        <v>596</v>
      </c>
      <c r="B597" s="1" t="s">
        <v>477</v>
      </c>
      <c r="C597" s="1">
        <v>3</v>
      </c>
      <c r="D597" s="1">
        <v>65</v>
      </c>
      <c r="E597" s="1">
        <v>2</v>
      </c>
      <c r="F597" s="1">
        <v>3</v>
      </c>
    </row>
    <row r="598" spans="1:6" x14ac:dyDescent="0.3">
      <c r="A598" s="1">
        <v>597</v>
      </c>
      <c r="B598" s="1" t="s">
        <v>478</v>
      </c>
      <c r="C598" s="1">
        <v>2</v>
      </c>
      <c r="D598" s="1">
        <v>25</v>
      </c>
      <c r="E598" s="1">
        <v>2</v>
      </c>
      <c r="F598" s="1">
        <v>3</v>
      </c>
    </row>
    <row r="599" spans="1:6" x14ac:dyDescent="0.3">
      <c r="A599" s="1">
        <v>598</v>
      </c>
      <c r="B599" s="1" t="s">
        <v>407</v>
      </c>
      <c r="C599" s="1">
        <v>0</v>
      </c>
      <c r="D599" s="1">
        <v>68</v>
      </c>
      <c r="E599" s="1">
        <v>3</v>
      </c>
      <c r="F599" s="1">
        <v>2</v>
      </c>
    </row>
    <row r="600" spans="1:6" x14ac:dyDescent="0.3">
      <c r="A600" s="1">
        <v>599</v>
      </c>
      <c r="B600" s="1" t="s">
        <v>479</v>
      </c>
      <c r="C600" s="1">
        <v>1</v>
      </c>
      <c r="D600" s="1">
        <v>56</v>
      </c>
      <c r="E600" s="1">
        <v>2</v>
      </c>
      <c r="F600" s="1">
        <v>3</v>
      </c>
    </row>
    <row r="601" spans="1:6" x14ac:dyDescent="0.3">
      <c r="A601" s="1">
        <v>600</v>
      </c>
      <c r="B601" s="1" t="s">
        <v>480</v>
      </c>
      <c r="C601" s="1">
        <v>3</v>
      </c>
      <c r="D601" s="1">
        <v>42</v>
      </c>
      <c r="E601" s="1">
        <v>5</v>
      </c>
      <c r="F601" s="1">
        <v>3</v>
      </c>
    </row>
    <row r="602" spans="1:6" x14ac:dyDescent="0.3">
      <c r="A602" s="1">
        <v>601</v>
      </c>
      <c r="B602" s="1" t="s">
        <v>481</v>
      </c>
      <c r="C602" s="1">
        <v>2</v>
      </c>
      <c r="D602" s="1">
        <v>51</v>
      </c>
      <c r="E602" s="1">
        <v>2</v>
      </c>
      <c r="F602" s="1">
        <v>3</v>
      </c>
    </row>
    <row r="603" spans="1:6" x14ac:dyDescent="0.3">
      <c r="A603" s="1">
        <v>602</v>
      </c>
      <c r="B603" s="1" t="s">
        <v>482</v>
      </c>
      <c r="C603" s="1">
        <v>0</v>
      </c>
      <c r="D603" s="1">
        <v>27</v>
      </c>
      <c r="E603" s="1">
        <v>3</v>
      </c>
      <c r="F603" s="1">
        <v>1</v>
      </c>
    </row>
    <row r="604" spans="1:6" x14ac:dyDescent="0.3">
      <c r="A604" s="1">
        <v>603</v>
      </c>
      <c r="B604" s="1" t="s">
        <v>483</v>
      </c>
      <c r="C604" s="1">
        <v>3</v>
      </c>
      <c r="D604" s="1">
        <v>52</v>
      </c>
      <c r="E604" s="1">
        <v>2</v>
      </c>
      <c r="F604" s="1">
        <v>3</v>
      </c>
    </row>
    <row r="605" spans="1:6" x14ac:dyDescent="0.3">
      <c r="A605" s="1">
        <v>604</v>
      </c>
      <c r="B605" s="1" t="s">
        <v>484</v>
      </c>
      <c r="C605" s="1">
        <v>1</v>
      </c>
      <c r="D605" s="1">
        <v>33</v>
      </c>
      <c r="E605" s="1">
        <v>1</v>
      </c>
      <c r="F605" s="1">
        <v>3</v>
      </c>
    </row>
    <row r="606" spans="1:6" x14ac:dyDescent="0.3">
      <c r="A606" s="1">
        <v>605</v>
      </c>
      <c r="B606" s="1" t="s">
        <v>485</v>
      </c>
      <c r="C606" s="1">
        <v>3</v>
      </c>
      <c r="D606" s="1">
        <v>41</v>
      </c>
      <c r="E606" s="1">
        <v>1</v>
      </c>
      <c r="F606" s="1">
        <v>3</v>
      </c>
    </row>
    <row r="607" spans="1:6" x14ac:dyDescent="0.3">
      <c r="A607" s="1">
        <v>606</v>
      </c>
      <c r="B607" s="1" t="s">
        <v>411</v>
      </c>
      <c r="C607" s="1">
        <v>4</v>
      </c>
      <c r="D607" s="1">
        <v>51</v>
      </c>
      <c r="E607" s="1">
        <v>2</v>
      </c>
      <c r="F607" s="1">
        <v>3</v>
      </c>
    </row>
    <row r="608" spans="1:6" x14ac:dyDescent="0.3">
      <c r="A608" s="1">
        <v>607</v>
      </c>
      <c r="B608" s="1" t="s">
        <v>486</v>
      </c>
      <c r="C608" s="1">
        <v>2</v>
      </c>
      <c r="D608" s="1">
        <v>55</v>
      </c>
      <c r="E608" s="1">
        <v>2</v>
      </c>
      <c r="F608" s="1">
        <v>3</v>
      </c>
    </row>
    <row r="609" spans="1:6" x14ac:dyDescent="0.3">
      <c r="A609" s="1">
        <v>608</v>
      </c>
      <c r="B609" s="1" t="s">
        <v>487</v>
      </c>
      <c r="C609" s="1">
        <v>1</v>
      </c>
      <c r="D609" s="1">
        <v>35</v>
      </c>
      <c r="E609" s="1">
        <v>1</v>
      </c>
      <c r="F609" s="1">
        <v>2</v>
      </c>
    </row>
    <row r="610" spans="1:6" x14ac:dyDescent="0.3">
      <c r="A610" s="1">
        <v>609</v>
      </c>
      <c r="B610" s="1" t="s">
        <v>157</v>
      </c>
      <c r="C610" s="1">
        <v>4</v>
      </c>
      <c r="D610" s="1">
        <v>38</v>
      </c>
      <c r="E610" s="1">
        <v>2</v>
      </c>
      <c r="F610" s="1">
        <v>3</v>
      </c>
    </row>
    <row r="611" spans="1:6" x14ac:dyDescent="0.3">
      <c r="A611" s="1">
        <v>610</v>
      </c>
      <c r="B611" s="1" t="s">
        <v>488</v>
      </c>
      <c r="C611" s="1">
        <v>2</v>
      </c>
      <c r="D611" s="1">
        <v>25</v>
      </c>
      <c r="E611" s="1">
        <v>2</v>
      </c>
      <c r="F611" s="1">
        <v>3</v>
      </c>
    </row>
    <row r="612" spans="1:6" x14ac:dyDescent="0.3">
      <c r="A612" s="1">
        <v>611</v>
      </c>
      <c r="B612" s="1" t="s">
        <v>489</v>
      </c>
      <c r="C612" s="1">
        <v>5</v>
      </c>
      <c r="D612" s="1">
        <v>44</v>
      </c>
      <c r="E612" s="1">
        <v>2</v>
      </c>
      <c r="F612" s="1">
        <v>3</v>
      </c>
    </row>
    <row r="613" spans="1:6" x14ac:dyDescent="0.3">
      <c r="A613" s="1">
        <v>612</v>
      </c>
      <c r="B613" s="1" t="s">
        <v>490</v>
      </c>
      <c r="C613" s="1">
        <v>4</v>
      </c>
      <c r="D613" s="1">
        <v>45</v>
      </c>
      <c r="E613" s="1">
        <v>2</v>
      </c>
      <c r="F613" s="1">
        <v>3</v>
      </c>
    </row>
    <row r="614" spans="1:6" x14ac:dyDescent="0.3">
      <c r="A614" s="1">
        <v>613</v>
      </c>
      <c r="B614" s="1" t="s">
        <v>169</v>
      </c>
      <c r="C614" s="1">
        <v>3</v>
      </c>
      <c r="D614" s="1">
        <v>75</v>
      </c>
      <c r="E614" s="1">
        <v>2</v>
      </c>
      <c r="F614" s="1">
        <v>3</v>
      </c>
    </row>
    <row r="615" spans="1:6" x14ac:dyDescent="0.3">
      <c r="A615" s="1">
        <v>614</v>
      </c>
      <c r="B615" s="1" t="s">
        <v>169</v>
      </c>
      <c r="C615" s="1">
        <v>3</v>
      </c>
      <c r="D615" s="1">
        <v>33</v>
      </c>
      <c r="E615" s="1">
        <v>5</v>
      </c>
      <c r="F615" s="1">
        <v>3</v>
      </c>
    </row>
    <row r="616" spans="1:6" x14ac:dyDescent="0.3">
      <c r="A616" s="1">
        <v>615</v>
      </c>
      <c r="B616" s="1" t="s">
        <v>491</v>
      </c>
      <c r="C616" s="1">
        <v>3</v>
      </c>
      <c r="D616" s="1">
        <v>34</v>
      </c>
      <c r="E616" s="1">
        <v>5</v>
      </c>
      <c r="F616" s="1">
        <v>3</v>
      </c>
    </row>
    <row r="617" spans="1:6" x14ac:dyDescent="0.3">
      <c r="A617" s="1">
        <v>616</v>
      </c>
      <c r="B617" s="1" t="s">
        <v>4</v>
      </c>
      <c r="C617" s="1">
        <v>4</v>
      </c>
      <c r="D617" s="1">
        <v>44</v>
      </c>
      <c r="E617" s="1">
        <v>2</v>
      </c>
      <c r="F617" s="1">
        <v>3</v>
      </c>
    </row>
    <row r="618" spans="1:6" x14ac:dyDescent="0.3">
      <c r="A618" s="1">
        <v>617</v>
      </c>
      <c r="B618" s="1" t="s">
        <v>492</v>
      </c>
      <c r="C618" s="1">
        <v>1</v>
      </c>
      <c r="D618" s="1">
        <v>65</v>
      </c>
      <c r="E618" s="1">
        <v>2</v>
      </c>
      <c r="F618" s="1">
        <v>2</v>
      </c>
    </row>
    <row r="619" spans="1:6" x14ac:dyDescent="0.3">
      <c r="A619" s="1">
        <v>618</v>
      </c>
      <c r="B619" s="1" t="s">
        <v>493</v>
      </c>
      <c r="C619" s="1">
        <v>3</v>
      </c>
      <c r="D619" s="1">
        <v>42</v>
      </c>
      <c r="E619" s="1">
        <v>3</v>
      </c>
      <c r="F619" s="1">
        <v>3</v>
      </c>
    </row>
    <row r="620" spans="1:6" x14ac:dyDescent="0.3">
      <c r="A620" s="1">
        <v>619</v>
      </c>
      <c r="B620" s="1" t="s">
        <v>494</v>
      </c>
      <c r="C620" s="1">
        <v>1</v>
      </c>
      <c r="D620" s="1">
        <v>70</v>
      </c>
      <c r="E620" s="1">
        <v>2</v>
      </c>
      <c r="F620" s="1">
        <v>3</v>
      </c>
    </row>
    <row r="621" spans="1:6" x14ac:dyDescent="0.3">
      <c r="A621" s="1">
        <v>620</v>
      </c>
      <c r="B621" s="1" t="s">
        <v>495</v>
      </c>
      <c r="C621" s="1">
        <v>3</v>
      </c>
      <c r="D621" s="1">
        <v>51</v>
      </c>
      <c r="E621" s="1">
        <v>4</v>
      </c>
      <c r="F621" s="1">
        <v>3</v>
      </c>
    </row>
    <row r="622" spans="1:6" x14ac:dyDescent="0.3">
      <c r="A622" s="1">
        <v>621</v>
      </c>
      <c r="B622" s="1" t="s">
        <v>495</v>
      </c>
      <c r="C622" s="1">
        <v>3</v>
      </c>
      <c r="D622" s="1">
        <v>51</v>
      </c>
      <c r="E622" s="1">
        <v>5</v>
      </c>
      <c r="F622" s="1">
        <v>3</v>
      </c>
    </row>
    <row r="623" spans="1:6" x14ac:dyDescent="0.3">
      <c r="A623" s="1">
        <v>622</v>
      </c>
      <c r="B623" s="1" t="s">
        <v>496</v>
      </c>
      <c r="C623" s="1">
        <v>3</v>
      </c>
      <c r="D623" s="1">
        <v>38</v>
      </c>
      <c r="E623" s="1">
        <v>3</v>
      </c>
      <c r="F623" s="1">
        <v>3</v>
      </c>
    </row>
    <row r="624" spans="1:6" x14ac:dyDescent="0.3">
      <c r="A624" s="1">
        <v>623</v>
      </c>
      <c r="B624" s="1" t="s">
        <v>497</v>
      </c>
      <c r="C624" s="1">
        <v>1</v>
      </c>
      <c r="D624" s="1">
        <v>71</v>
      </c>
      <c r="E624" s="1">
        <v>2</v>
      </c>
      <c r="F624" s="1">
        <v>3</v>
      </c>
    </row>
    <row r="625" spans="1:6" x14ac:dyDescent="0.3">
      <c r="A625" s="1">
        <v>624</v>
      </c>
      <c r="B625" s="1" t="s">
        <v>498</v>
      </c>
      <c r="C625" s="1">
        <v>5</v>
      </c>
      <c r="D625" s="1">
        <v>61</v>
      </c>
      <c r="E625" s="1">
        <v>2</v>
      </c>
      <c r="F625" s="1">
        <v>3</v>
      </c>
    </row>
    <row r="626" spans="1:6" x14ac:dyDescent="0.3">
      <c r="A626" s="1">
        <v>625</v>
      </c>
      <c r="B626" s="1" t="s">
        <v>499</v>
      </c>
      <c r="C626" s="1">
        <v>1</v>
      </c>
      <c r="D626" s="1">
        <v>78</v>
      </c>
      <c r="E626" s="1">
        <v>2</v>
      </c>
      <c r="F626" s="1">
        <v>3</v>
      </c>
    </row>
    <row r="627" spans="1:6" x14ac:dyDescent="0.3">
      <c r="A627" s="1">
        <v>626</v>
      </c>
      <c r="B627" s="1" t="s">
        <v>500</v>
      </c>
      <c r="C627" s="1">
        <v>4</v>
      </c>
      <c r="D627" s="1">
        <v>48</v>
      </c>
      <c r="E627" s="1">
        <v>5</v>
      </c>
      <c r="F627" s="1">
        <v>3</v>
      </c>
    </row>
    <row r="628" spans="1:6" x14ac:dyDescent="0.3">
      <c r="A628" s="1">
        <v>627</v>
      </c>
      <c r="B628" s="1" t="s">
        <v>501</v>
      </c>
      <c r="C628" s="1">
        <v>2</v>
      </c>
      <c r="D628" s="1">
        <v>90</v>
      </c>
      <c r="E628" s="1">
        <v>1</v>
      </c>
      <c r="F628" s="1">
        <v>2</v>
      </c>
    </row>
    <row r="629" spans="1:6" x14ac:dyDescent="0.3">
      <c r="A629" s="1">
        <v>628</v>
      </c>
      <c r="B629" s="1" t="s">
        <v>502</v>
      </c>
      <c r="C629" s="1">
        <v>4</v>
      </c>
      <c r="D629" s="1">
        <v>58</v>
      </c>
      <c r="E629" s="1">
        <v>2</v>
      </c>
      <c r="F629" s="1">
        <v>3</v>
      </c>
    </row>
    <row r="630" spans="1:6" x14ac:dyDescent="0.3">
      <c r="A630" s="1">
        <v>629</v>
      </c>
      <c r="B630" s="1" t="s">
        <v>503</v>
      </c>
      <c r="C630" s="1">
        <v>3</v>
      </c>
      <c r="D630" s="1">
        <v>60</v>
      </c>
      <c r="E630" s="1">
        <v>2</v>
      </c>
      <c r="F630" s="1">
        <v>3</v>
      </c>
    </row>
    <row r="631" spans="1:6" x14ac:dyDescent="0.3">
      <c r="A631" s="1">
        <v>630</v>
      </c>
      <c r="B631" s="1" t="s">
        <v>504</v>
      </c>
      <c r="C631" s="1">
        <v>1</v>
      </c>
      <c r="D631" s="1">
        <v>75</v>
      </c>
      <c r="E631" s="1">
        <v>2</v>
      </c>
      <c r="F631" s="1">
        <v>3</v>
      </c>
    </row>
    <row r="632" spans="1:6" x14ac:dyDescent="0.3">
      <c r="A632" s="1">
        <v>631</v>
      </c>
      <c r="B632" s="1" t="s">
        <v>505</v>
      </c>
      <c r="C632" s="1">
        <v>3</v>
      </c>
      <c r="D632" s="1">
        <v>40</v>
      </c>
      <c r="E632" s="1">
        <v>3</v>
      </c>
      <c r="F632" s="1">
        <v>3</v>
      </c>
    </row>
    <row r="633" spans="1:6" x14ac:dyDescent="0.3">
      <c r="A633" s="1">
        <v>632</v>
      </c>
      <c r="B633" s="1" t="s">
        <v>506</v>
      </c>
      <c r="C633" s="1">
        <v>0</v>
      </c>
      <c r="D633" s="1">
        <v>63</v>
      </c>
      <c r="E633" s="1">
        <v>1</v>
      </c>
      <c r="F633" s="1">
        <v>2</v>
      </c>
    </row>
    <row r="634" spans="1:6" x14ac:dyDescent="0.3">
      <c r="A634" s="1">
        <v>633</v>
      </c>
      <c r="B634" s="1" t="s">
        <v>40</v>
      </c>
      <c r="C634" s="1">
        <v>3</v>
      </c>
      <c r="D634" s="1">
        <v>57</v>
      </c>
      <c r="E634" s="1">
        <v>5</v>
      </c>
      <c r="F634" s="1">
        <v>3</v>
      </c>
    </row>
    <row r="635" spans="1:6" x14ac:dyDescent="0.3">
      <c r="A635" s="1">
        <v>634</v>
      </c>
      <c r="B635" s="1" t="s">
        <v>42</v>
      </c>
      <c r="C635" s="1">
        <v>4</v>
      </c>
      <c r="D635" s="1">
        <v>46</v>
      </c>
      <c r="E635" s="1">
        <v>2</v>
      </c>
      <c r="F635" s="1">
        <v>3</v>
      </c>
    </row>
    <row r="636" spans="1:6" x14ac:dyDescent="0.3">
      <c r="A636" s="1">
        <v>635</v>
      </c>
      <c r="B636" s="1" t="s">
        <v>507</v>
      </c>
      <c r="C636" s="1">
        <v>4</v>
      </c>
      <c r="D636" s="1">
        <v>33</v>
      </c>
      <c r="E636" s="1">
        <v>2</v>
      </c>
      <c r="F636" s="1">
        <v>3</v>
      </c>
    </row>
    <row r="637" spans="1:6" x14ac:dyDescent="0.3">
      <c r="A637" s="1">
        <v>636</v>
      </c>
      <c r="B637" s="1" t="s">
        <v>508</v>
      </c>
      <c r="C637" s="1">
        <v>4</v>
      </c>
      <c r="D637" s="1">
        <v>43</v>
      </c>
      <c r="E637" s="1">
        <v>2</v>
      </c>
      <c r="F637" s="1">
        <v>3</v>
      </c>
    </row>
    <row r="638" spans="1:6" x14ac:dyDescent="0.3">
      <c r="A638" s="1">
        <v>637</v>
      </c>
      <c r="B638" s="1" t="s">
        <v>509</v>
      </c>
      <c r="C638" s="1">
        <v>3</v>
      </c>
      <c r="D638" s="1">
        <v>39</v>
      </c>
      <c r="E638" s="1">
        <v>3</v>
      </c>
      <c r="F638" s="1">
        <v>3</v>
      </c>
    </row>
    <row r="639" spans="1:6" x14ac:dyDescent="0.3">
      <c r="A639" s="1">
        <v>638</v>
      </c>
      <c r="B639" s="1" t="s">
        <v>510</v>
      </c>
      <c r="C639" s="1">
        <v>3</v>
      </c>
      <c r="D639" s="1">
        <v>40</v>
      </c>
      <c r="E639" s="1">
        <v>3</v>
      </c>
      <c r="F639" s="1">
        <v>3</v>
      </c>
    </row>
    <row r="640" spans="1:6" x14ac:dyDescent="0.3">
      <c r="A640" s="1">
        <v>639</v>
      </c>
      <c r="B640" s="1" t="s">
        <v>511</v>
      </c>
      <c r="C640" s="1">
        <v>0</v>
      </c>
      <c r="D640" s="1">
        <v>102</v>
      </c>
      <c r="E640" s="1">
        <v>1</v>
      </c>
      <c r="F640" s="1">
        <v>2</v>
      </c>
    </row>
    <row r="641" spans="1:6" x14ac:dyDescent="0.3">
      <c r="A641" s="1">
        <v>640</v>
      </c>
      <c r="B641" s="1" t="s">
        <v>512</v>
      </c>
      <c r="C641" s="1">
        <v>3</v>
      </c>
      <c r="D641" s="1">
        <v>36</v>
      </c>
      <c r="E641" s="1">
        <v>3</v>
      </c>
      <c r="F641" s="1">
        <v>3</v>
      </c>
    </row>
    <row r="642" spans="1:6" x14ac:dyDescent="0.3">
      <c r="A642" s="1">
        <v>641</v>
      </c>
      <c r="B642" s="1" t="s">
        <v>513</v>
      </c>
      <c r="C642" s="1">
        <v>2</v>
      </c>
      <c r="D642" s="1">
        <v>66</v>
      </c>
      <c r="E642" s="1">
        <v>2</v>
      </c>
      <c r="F642" s="1">
        <v>3</v>
      </c>
    </row>
    <row r="643" spans="1:6" x14ac:dyDescent="0.3">
      <c r="A643" s="1">
        <v>642</v>
      </c>
      <c r="B643" s="1" t="s">
        <v>514</v>
      </c>
      <c r="C643" s="1">
        <v>2</v>
      </c>
      <c r="D643" s="1">
        <v>57</v>
      </c>
      <c r="E643" s="1">
        <v>2</v>
      </c>
      <c r="F643" s="1">
        <v>3</v>
      </c>
    </row>
    <row r="644" spans="1:6" x14ac:dyDescent="0.3">
      <c r="A644" s="1">
        <v>643</v>
      </c>
      <c r="B644" s="1" t="s">
        <v>238</v>
      </c>
      <c r="C644" s="1">
        <v>0</v>
      </c>
      <c r="D644" s="1">
        <v>65</v>
      </c>
      <c r="E644" s="1">
        <v>2</v>
      </c>
      <c r="F644" s="1">
        <v>2</v>
      </c>
    </row>
    <row r="645" spans="1:6" x14ac:dyDescent="0.3">
      <c r="A645" s="1">
        <v>644</v>
      </c>
      <c r="B645" s="1" t="s">
        <v>515</v>
      </c>
      <c r="C645" s="1">
        <v>2</v>
      </c>
      <c r="D645" s="1">
        <v>50</v>
      </c>
      <c r="E645" s="1">
        <v>5</v>
      </c>
      <c r="F645" s="1">
        <v>3</v>
      </c>
    </row>
    <row r="646" spans="1:6" x14ac:dyDescent="0.3">
      <c r="A646" s="1">
        <v>645</v>
      </c>
      <c r="B646" s="1" t="s">
        <v>372</v>
      </c>
      <c r="C646" s="1">
        <v>3</v>
      </c>
      <c r="D646" s="1">
        <v>51</v>
      </c>
      <c r="E646" s="1">
        <v>1</v>
      </c>
      <c r="F646" s="1">
        <v>3</v>
      </c>
    </row>
    <row r="647" spans="1:6" x14ac:dyDescent="0.3">
      <c r="A647" s="1">
        <v>646</v>
      </c>
      <c r="B647" s="1" t="s">
        <v>377</v>
      </c>
      <c r="C647" s="1">
        <v>2</v>
      </c>
      <c r="D647" s="1">
        <v>54</v>
      </c>
      <c r="E647" s="1">
        <v>2</v>
      </c>
      <c r="F647" s="1">
        <v>3</v>
      </c>
    </row>
    <row r="648" spans="1:6" x14ac:dyDescent="0.3">
      <c r="A648" s="1">
        <v>647</v>
      </c>
      <c r="B648" s="1" t="s">
        <v>516</v>
      </c>
      <c r="C648" s="1">
        <v>1</v>
      </c>
      <c r="D648" s="1">
        <v>84</v>
      </c>
      <c r="E648" s="1">
        <v>2</v>
      </c>
      <c r="F648" s="1">
        <v>3</v>
      </c>
    </row>
    <row r="649" spans="1:6" x14ac:dyDescent="0.3">
      <c r="A649" s="1">
        <v>648</v>
      </c>
      <c r="B649" s="1" t="s">
        <v>517</v>
      </c>
      <c r="C649" s="1">
        <v>3</v>
      </c>
      <c r="D649" s="1">
        <v>43</v>
      </c>
      <c r="E649" s="1">
        <v>2</v>
      </c>
      <c r="F649" s="1">
        <v>3</v>
      </c>
    </row>
    <row r="650" spans="1:6" x14ac:dyDescent="0.3">
      <c r="A650" s="1">
        <v>649</v>
      </c>
      <c r="B650" s="1" t="s">
        <v>518</v>
      </c>
      <c r="C650" s="1">
        <v>0</v>
      </c>
      <c r="D650" s="1">
        <v>43</v>
      </c>
      <c r="E650" s="1">
        <v>1</v>
      </c>
      <c r="F650" s="1">
        <v>1</v>
      </c>
    </row>
    <row r="651" spans="1:6" x14ac:dyDescent="0.3">
      <c r="A651" s="1">
        <v>650</v>
      </c>
      <c r="B651" s="1" t="s">
        <v>254</v>
      </c>
      <c r="C651" s="1">
        <v>2</v>
      </c>
      <c r="D651" s="1">
        <v>50</v>
      </c>
      <c r="E651" s="1">
        <v>2</v>
      </c>
      <c r="F651" s="1">
        <v>3</v>
      </c>
    </row>
    <row r="652" spans="1:6" x14ac:dyDescent="0.3">
      <c r="A652" s="1">
        <v>651</v>
      </c>
      <c r="B652" s="1" t="s">
        <v>519</v>
      </c>
      <c r="C652" s="1">
        <v>2</v>
      </c>
      <c r="D652" s="1">
        <v>53</v>
      </c>
      <c r="E652" s="1">
        <v>2</v>
      </c>
      <c r="F652" s="1">
        <v>3</v>
      </c>
    </row>
    <row r="653" spans="1:6" x14ac:dyDescent="0.3">
      <c r="A653" s="1">
        <v>652</v>
      </c>
      <c r="B653" s="1" t="s">
        <v>107</v>
      </c>
      <c r="C653" s="1">
        <v>1</v>
      </c>
      <c r="D653" s="1">
        <v>54</v>
      </c>
      <c r="E653" s="1">
        <v>5</v>
      </c>
      <c r="F653" s="1">
        <v>3</v>
      </c>
    </row>
    <row r="654" spans="1:6" x14ac:dyDescent="0.3">
      <c r="A654" s="1">
        <v>653</v>
      </c>
      <c r="B654" s="1" t="s">
        <v>107</v>
      </c>
      <c r="C654" s="1">
        <v>3</v>
      </c>
      <c r="D654" s="1">
        <v>40</v>
      </c>
      <c r="E654" s="1">
        <v>2</v>
      </c>
      <c r="F654" s="1">
        <v>3</v>
      </c>
    </row>
    <row r="655" spans="1:6" x14ac:dyDescent="0.3">
      <c r="A655" s="1">
        <v>654</v>
      </c>
      <c r="B655" s="1" t="s">
        <v>464</v>
      </c>
      <c r="C655" s="1">
        <v>2</v>
      </c>
      <c r="D655" s="1">
        <v>62</v>
      </c>
      <c r="E655" s="1">
        <v>5</v>
      </c>
      <c r="F655" s="1">
        <v>3</v>
      </c>
    </row>
    <row r="656" spans="1:6" x14ac:dyDescent="0.3">
      <c r="A656" s="1">
        <v>655</v>
      </c>
      <c r="B656" s="1" t="s">
        <v>520</v>
      </c>
      <c r="C656" s="1">
        <v>3</v>
      </c>
      <c r="D656" s="1">
        <v>36</v>
      </c>
      <c r="E656" s="1">
        <v>2</v>
      </c>
      <c r="F656" s="1">
        <v>3</v>
      </c>
    </row>
    <row r="657" spans="1:6" x14ac:dyDescent="0.3">
      <c r="A657" s="1">
        <v>656</v>
      </c>
      <c r="B657" s="1" t="s">
        <v>521</v>
      </c>
      <c r="C657" s="1">
        <v>2</v>
      </c>
      <c r="D657" s="1">
        <v>66</v>
      </c>
      <c r="E657" s="1">
        <v>2</v>
      </c>
      <c r="F657" s="1">
        <v>3</v>
      </c>
    </row>
    <row r="658" spans="1:6" x14ac:dyDescent="0.3">
      <c r="A658" s="1">
        <v>657</v>
      </c>
      <c r="B658" s="1" t="s">
        <v>522</v>
      </c>
      <c r="C658" s="1">
        <v>2</v>
      </c>
      <c r="D658" s="1">
        <v>27</v>
      </c>
      <c r="E658" s="1">
        <v>5</v>
      </c>
      <c r="F658" s="1">
        <v>3</v>
      </c>
    </row>
    <row r="659" spans="1:6" x14ac:dyDescent="0.3">
      <c r="A659" s="1">
        <v>658</v>
      </c>
      <c r="B659" s="1" t="s">
        <v>523</v>
      </c>
      <c r="C659" s="1">
        <v>0</v>
      </c>
      <c r="D659" s="1">
        <v>72</v>
      </c>
      <c r="E659" s="1">
        <v>1</v>
      </c>
      <c r="F659" s="1">
        <v>2</v>
      </c>
    </row>
    <row r="660" spans="1:6" x14ac:dyDescent="0.3">
      <c r="A660" s="1">
        <v>659</v>
      </c>
      <c r="B660" s="1" t="s">
        <v>524</v>
      </c>
      <c r="C660" s="1">
        <v>1</v>
      </c>
      <c r="D660" s="1">
        <v>63</v>
      </c>
      <c r="E660" s="1">
        <v>2</v>
      </c>
      <c r="F660" s="1">
        <v>3</v>
      </c>
    </row>
    <row r="661" spans="1:6" x14ac:dyDescent="0.3">
      <c r="A661" s="1">
        <v>660</v>
      </c>
      <c r="B661" s="1" t="s">
        <v>525</v>
      </c>
      <c r="C661" s="1">
        <v>4</v>
      </c>
      <c r="D661" s="1">
        <v>61</v>
      </c>
      <c r="E661" s="1">
        <v>4</v>
      </c>
      <c r="F661" s="1">
        <v>3</v>
      </c>
    </row>
    <row r="662" spans="1:6" x14ac:dyDescent="0.3">
      <c r="A662" s="1">
        <v>661</v>
      </c>
      <c r="B662" s="1" t="s">
        <v>526</v>
      </c>
      <c r="C662" s="1">
        <v>3</v>
      </c>
      <c r="D662" s="1">
        <v>37</v>
      </c>
      <c r="E662" s="1">
        <v>2</v>
      </c>
      <c r="F662" s="1">
        <v>3</v>
      </c>
    </row>
    <row r="663" spans="1:6" x14ac:dyDescent="0.3">
      <c r="A663" s="1">
        <v>662</v>
      </c>
      <c r="B663" s="1" t="s">
        <v>125</v>
      </c>
      <c r="C663" s="1">
        <v>3</v>
      </c>
      <c r="D663" s="1">
        <v>42</v>
      </c>
      <c r="E663" s="1">
        <v>5</v>
      </c>
      <c r="F663" s="1">
        <v>3</v>
      </c>
    </row>
    <row r="664" spans="1:6" x14ac:dyDescent="0.3">
      <c r="A664" s="1">
        <v>663</v>
      </c>
      <c r="B664" s="1" t="s">
        <v>527</v>
      </c>
      <c r="C664" s="1">
        <v>4</v>
      </c>
      <c r="D664" s="1">
        <v>41</v>
      </c>
      <c r="E664" s="1">
        <v>5</v>
      </c>
      <c r="F664" s="1">
        <v>3</v>
      </c>
    </row>
    <row r="665" spans="1:6" x14ac:dyDescent="0.3">
      <c r="A665" s="1">
        <v>664</v>
      </c>
      <c r="B665" s="1" t="s">
        <v>528</v>
      </c>
      <c r="C665" s="1">
        <v>2</v>
      </c>
      <c r="D665" s="1">
        <v>50</v>
      </c>
      <c r="E665" s="1">
        <v>2</v>
      </c>
      <c r="F665" s="1">
        <v>3</v>
      </c>
    </row>
    <row r="666" spans="1:6" x14ac:dyDescent="0.3">
      <c r="A666" s="1">
        <v>665</v>
      </c>
      <c r="B666" s="1" t="s">
        <v>529</v>
      </c>
      <c r="C666" s="1">
        <v>3</v>
      </c>
      <c r="D666" s="1">
        <v>42</v>
      </c>
      <c r="E666" s="1">
        <v>5</v>
      </c>
      <c r="F666" s="1">
        <v>3</v>
      </c>
    </row>
    <row r="667" spans="1:6" x14ac:dyDescent="0.3">
      <c r="A667" s="1">
        <v>666</v>
      </c>
      <c r="B667" s="1" t="s">
        <v>530</v>
      </c>
      <c r="C667" s="1">
        <v>0</v>
      </c>
      <c r="D667" s="1">
        <v>67</v>
      </c>
      <c r="E667" s="1">
        <v>2</v>
      </c>
      <c r="F667" s="1">
        <v>1</v>
      </c>
    </row>
    <row r="668" spans="1:6" x14ac:dyDescent="0.3">
      <c r="A668" s="1">
        <v>667</v>
      </c>
      <c r="B668" s="1" t="s">
        <v>132</v>
      </c>
      <c r="C668" s="1">
        <v>1</v>
      </c>
      <c r="D668" s="1">
        <v>56</v>
      </c>
      <c r="E668" s="1">
        <v>2</v>
      </c>
      <c r="F668" s="1">
        <v>3</v>
      </c>
    </row>
    <row r="669" spans="1:6" x14ac:dyDescent="0.3">
      <c r="A669" s="1">
        <v>668</v>
      </c>
      <c r="B669" s="1" t="s">
        <v>403</v>
      </c>
      <c r="C669" s="1">
        <v>2</v>
      </c>
      <c r="D669" s="1">
        <v>65</v>
      </c>
      <c r="E669" s="1">
        <v>2</v>
      </c>
      <c r="F669" s="1">
        <v>3</v>
      </c>
    </row>
    <row r="670" spans="1:6" x14ac:dyDescent="0.3">
      <c r="A670" s="1">
        <v>669</v>
      </c>
      <c r="B670" s="1" t="s">
        <v>138</v>
      </c>
      <c r="C670" s="1">
        <v>3</v>
      </c>
      <c r="D670" s="1">
        <v>43</v>
      </c>
      <c r="E670" s="1">
        <v>2</v>
      </c>
      <c r="F670" s="1">
        <v>3</v>
      </c>
    </row>
    <row r="671" spans="1:6" x14ac:dyDescent="0.3">
      <c r="A671" s="1">
        <v>670</v>
      </c>
      <c r="B671" s="1" t="s">
        <v>531</v>
      </c>
      <c r="C671" s="1">
        <v>1</v>
      </c>
      <c r="D671" s="1">
        <v>55</v>
      </c>
      <c r="E671" s="1">
        <v>2</v>
      </c>
      <c r="F671" s="1">
        <v>3</v>
      </c>
    </row>
    <row r="672" spans="1:6" x14ac:dyDescent="0.3">
      <c r="A672" s="1">
        <v>671</v>
      </c>
      <c r="B672" s="1" t="s">
        <v>532</v>
      </c>
      <c r="C672" s="1">
        <v>3</v>
      </c>
      <c r="D672" s="1">
        <v>54</v>
      </c>
      <c r="E672" s="1">
        <v>4</v>
      </c>
      <c r="F672" s="1">
        <v>3</v>
      </c>
    </row>
    <row r="673" spans="1:6" x14ac:dyDescent="0.3">
      <c r="A673" s="1">
        <v>672</v>
      </c>
      <c r="B673" s="1" t="s">
        <v>148</v>
      </c>
      <c r="C673" s="1">
        <v>2</v>
      </c>
      <c r="D673" s="1">
        <v>26</v>
      </c>
      <c r="E673" s="1">
        <v>2</v>
      </c>
      <c r="F673" s="1">
        <v>3</v>
      </c>
    </row>
    <row r="674" spans="1:6" x14ac:dyDescent="0.3">
      <c r="A674" s="1">
        <v>673</v>
      </c>
      <c r="B674" s="1" t="s">
        <v>150</v>
      </c>
      <c r="C674" s="1">
        <v>2</v>
      </c>
      <c r="D674" s="1">
        <v>49</v>
      </c>
      <c r="E674" s="1">
        <v>2</v>
      </c>
      <c r="F674" s="1">
        <v>2</v>
      </c>
    </row>
    <row r="675" spans="1:6" x14ac:dyDescent="0.3">
      <c r="A675" s="1">
        <v>674</v>
      </c>
      <c r="B675" s="1" t="s">
        <v>533</v>
      </c>
      <c r="C675" s="1">
        <v>2</v>
      </c>
      <c r="D675" s="1">
        <v>51</v>
      </c>
      <c r="E675" s="1">
        <v>5</v>
      </c>
      <c r="F675" s="1">
        <v>3</v>
      </c>
    </row>
    <row r="676" spans="1:6" x14ac:dyDescent="0.3">
      <c r="A676" s="1">
        <v>675</v>
      </c>
      <c r="B676" s="1" t="s">
        <v>534</v>
      </c>
      <c r="C676" s="1">
        <v>0</v>
      </c>
      <c r="D676" s="1">
        <v>42</v>
      </c>
      <c r="E676" s="1">
        <v>1</v>
      </c>
      <c r="F676" s="1">
        <v>2</v>
      </c>
    </row>
    <row r="677" spans="1:6" x14ac:dyDescent="0.3">
      <c r="A677" s="1">
        <v>676</v>
      </c>
      <c r="B677" s="1" t="s">
        <v>154</v>
      </c>
      <c r="C677" s="1">
        <v>3</v>
      </c>
      <c r="D677" s="1">
        <v>37</v>
      </c>
      <c r="E677" s="1">
        <v>2</v>
      </c>
      <c r="F677" s="1">
        <v>3</v>
      </c>
    </row>
    <row r="678" spans="1:6" x14ac:dyDescent="0.3">
      <c r="A678" s="1">
        <v>677</v>
      </c>
      <c r="B678" s="1" t="s">
        <v>411</v>
      </c>
      <c r="C678" s="1">
        <v>3</v>
      </c>
      <c r="D678" s="1">
        <v>36</v>
      </c>
      <c r="E678" s="1">
        <v>4</v>
      </c>
      <c r="F678" s="1">
        <v>3</v>
      </c>
    </row>
    <row r="679" spans="1:6" x14ac:dyDescent="0.3">
      <c r="A679" s="1">
        <v>678</v>
      </c>
      <c r="B679" s="1" t="s">
        <v>157</v>
      </c>
      <c r="C679" s="1">
        <v>3</v>
      </c>
      <c r="D679" s="1">
        <v>45</v>
      </c>
      <c r="E679" s="1">
        <v>2</v>
      </c>
      <c r="F679" s="1">
        <v>3</v>
      </c>
    </row>
    <row r="680" spans="1:6" x14ac:dyDescent="0.3">
      <c r="A680" s="1">
        <v>679</v>
      </c>
      <c r="B680" s="1" t="s">
        <v>535</v>
      </c>
      <c r="C680" s="1">
        <v>4</v>
      </c>
      <c r="D680" s="1">
        <v>57</v>
      </c>
      <c r="E680" s="1">
        <v>2</v>
      </c>
      <c r="F680" s="1">
        <v>3</v>
      </c>
    </row>
    <row r="681" spans="1:6" x14ac:dyDescent="0.3">
      <c r="A681" s="1">
        <v>680</v>
      </c>
      <c r="B681" s="1" t="s">
        <v>536</v>
      </c>
      <c r="C681" s="1">
        <v>1</v>
      </c>
      <c r="D681" s="1">
        <v>46</v>
      </c>
      <c r="E681" s="1">
        <v>1</v>
      </c>
      <c r="F681" s="1">
        <v>2</v>
      </c>
    </row>
    <row r="682" spans="1:6" x14ac:dyDescent="0.3">
      <c r="A682" s="1">
        <v>681</v>
      </c>
      <c r="B682" s="1" t="s">
        <v>537</v>
      </c>
      <c r="C682" s="1">
        <v>3</v>
      </c>
      <c r="D682" s="1">
        <v>46</v>
      </c>
      <c r="E682" s="1">
        <v>2</v>
      </c>
      <c r="F682" s="1">
        <v>3</v>
      </c>
    </row>
    <row r="683" spans="1:6" x14ac:dyDescent="0.3">
      <c r="A683" s="1">
        <v>682</v>
      </c>
      <c r="B683" s="1" t="s">
        <v>16</v>
      </c>
      <c r="C683" s="1">
        <v>2</v>
      </c>
      <c r="D683" s="1">
        <v>38</v>
      </c>
      <c r="E683" s="1">
        <v>2</v>
      </c>
      <c r="F683" s="1">
        <v>3</v>
      </c>
    </row>
    <row r="684" spans="1:6" x14ac:dyDescent="0.3">
      <c r="A684" s="1">
        <v>683</v>
      </c>
      <c r="B684" s="1" t="s">
        <v>538</v>
      </c>
      <c r="C684" s="1">
        <v>2</v>
      </c>
      <c r="D684" s="1">
        <v>54</v>
      </c>
      <c r="E684" s="1">
        <v>2</v>
      </c>
      <c r="F684" s="1">
        <v>3</v>
      </c>
    </row>
    <row r="685" spans="1:6" x14ac:dyDescent="0.3">
      <c r="A685" s="1">
        <v>684</v>
      </c>
      <c r="B685" s="1" t="s">
        <v>539</v>
      </c>
      <c r="C685" s="1">
        <v>1</v>
      </c>
      <c r="D685" s="1">
        <v>66</v>
      </c>
      <c r="E685" s="1">
        <v>2</v>
      </c>
      <c r="F685" s="1">
        <v>3</v>
      </c>
    </row>
    <row r="686" spans="1:6" x14ac:dyDescent="0.3">
      <c r="A686" s="1">
        <v>685</v>
      </c>
      <c r="B686" s="1" t="s">
        <v>540</v>
      </c>
      <c r="C686" s="1">
        <v>3</v>
      </c>
      <c r="D686" s="1">
        <v>55</v>
      </c>
      <c r="E686" s="1">
        <v>5</v>
      </c>
      <c r="F686" s="1">
        <v>2</v>
      </c>
    </row>
    <row r="687" spans="1:6" x14ac:dyDescent="0.3">
      <c r="A687" s="1">
        <v>686</v>
      </c>
      <c r="B687" s="1" t="s">
        <v>541</v>
      </c>
      <c r="C687" s="1">
        <v>2</v>
      </c>
      <c r="D687" s="1">
        <v>73</v>
      </c>
      <c r="E687" s="1">
        <v>2</v>
      </c>
      <c r="F687" s="1">
        <v>3</v>
      </c>
    </row>
    <row r="688" spans="1:6" x14ac:dyDescent="0.3">
      <c r="A688" s="1">
        <v>687</v>
      </c>
      <c r="B688" s="1" t="s">
        <v>340</v>
      </c>
      <c r="C688" s="1">
        <v>1</v>
      </c>
      <c r="D688" s="1">
        <v>71</v>
      </c>
      <c r="E688" s="1">
        <v>2</v>
      </c>
      <c r="F688" s="1">
        <v>3</v>
      </c>
    </row>
    <row r="689" spans="1:6" x14ac:dyDescent="0.3">
      <c r="A689" s="1">
        <v>688</v>
      </c>
      <c r="B689" s="1" t="s">
        <v>542</v>
      </c>
      <c r="C689" s="1">
        <v>1</v>
      </c>
      <c r="D689" s="1">
        <v>57</v>
      </c>
      <c r="E689" s="1">
        <v>2</v>
      </c>
      <c r="F689" s="1">
        <v>2</v>
      </c>
    </row>
    <row r="690" spans="1:6" x14ac:dyDescent="0.3">
      <c r="A690" s="1">
        <v>689</v>
      </c>
      <c r="B690" s="1" t="s">
        <v>543</v>
      </c>
      <c r="C690" s="1">
        <v>3</v>
      </c>
      <c r="D690" s="1">
        <v>36</v>
      </c>
      <c r="E690" s="1">
        <v>2</v>
      </c>
      <c r="F690" s="1">
        <v>3</v>
      </c>
    </row>
    <row r="691" spans="1:6" x14ac:dyDescent="0.3">
      <c r="A691" s="1">
        <v>690</v>
      </c>
      <c r="B691" s="1" t="s">
        <v>544</v>
      </c>
      <c r="C691" s="1">
        <v>1</v>
      </c>
      <c r="D691" s="1">
        <v>73</v>
      </c>
      <c r="E691" s="1">
        <v>2</v>
      </c>
      <c r="F691" s="1">
        <v>3</v>
      </c>
    </row>
    <row r="692" spans="1:6" x14ac:dyDescent="0.3">
      <c r="A692" s="1">
        <v>691</v>
      </c>
      <c r="B692" s="1" t="s">
        <v>545</v>
      </c>
      <c r="C692" s="1">
        <v>4</v>
      </c>
      <c r="D692" s="1">
        <v>47</v>
      </c>
      <c r="E692" s="1">
        <v>5</v>
      </c>
      <c r="F692" s="1">
        <v>3</v>
      </c>
    </row>
    <row r="693" spans="1:6" x14ac:dyDescent="0.3">
      <c r="A693" s="1">
        <v>692</v>
      </c>
      <c r="B693" s="1" t="s">
        <v>546</v>
      </c>
      <c r="C693" s="1">
        <v>2</v>
      </c>
      <c r="D693" s="1">
        <v>35</v>
      </c>
      <c r="E693" s="1">
        <v>3</v>
      </c>
      <c r="F693" s="1">
        <v>3</v>
      </c>
    </row>
    <row r="694" spans="1:6" x14ac:dyDescent="0.3">
      <c r="A694" s="1">
        <v>693</v>
      </c>
      <c r="B694" s="1" t="s">
        <v>547</v>
      </c>
      <c r="C694" s="1">
        <v>1</v>
      </c>
      <c r="D694" s="1">
        <v>83</v>
      </c>
      <c r="E694" s="1">
        <v>2</v>
      </c>
      <c r="F694" s="1">
        <v>3</v>
      </c>
    </row>
    <row r="695" spans="1:6" x14ac:dyDescent="0.3">
      <c r="A695" s="1">
        <v>694</v>
      </c>
      <c r="B695" s="1" t="s">
        <v>548</v>
      </c>
      <c r="C695" s="1">
        <v>0</v>
      </c>
      <c r="D695" s="1">
        <v>78</v>
      </c>
      <c r="E695" s="1">
        <v>1</v>
      </c>
      <c r="F695" s="1">
        <v>2</v>
      </c>
    </row>
    <row r="696" spans="1:6" x14ac:dyDescent="0.3">
      <c r="A696" s="1">
        <v>695</v>
      </c>
      <c r="B696" s="1" t="s">
        <v>549</v>
      </c>
      <c r="C696" s="1">
        <v>2</v>
      </c>
      <c r="D696" s="1">
        <v>50</v>
      </c>
      <c r="E696" s="1">
        <v>2</v>
      </c>
      <c r="F696" s="1">
        <v>3</v>
      </c>
    </row>
    <row r="697" spans="1:6" x14ac:dyDescent="0.3">
      <c r="A697" s="1">
        <v>696</v>
      </c>
      <c r="B697" s="1" t="s">
        <v>550</v>
      </c>
      <c r="C697" s="1">
        <v>1</v>
      </c>
      <c r="D697" s="1">
        <v>70</v>
      </c>
      <c r="E697" s="1">
        <v>2</v>
      </c>
      <c r="F697" s="1">
        <v>3</v>
      </c>
    </row>
    <row r="698" spans="1:6" x14ac:dyDescent="0.3">
      <c r="A698" s="1">
        <v>697</v>
      </c>
      <c r="B698" s="1" t="s">
        <v>551</v>
      </c>
      <c r="C698" s="1">
        <v>2</v>
      </c>
      <c r="D698" s="1">
        <v>68</v>
      </c>
      <c r="E698" s="1">
        <v>1</v>
      </c>
      <c r="F698" s="1">
        <v>2</v>
      </c>
    </row>
    <row r="699" spans="1:6" x14ac:dyDescent="0.3">
      <c r="A699" s="1">
        <v>698</v>
      </c>
      <c r="B699" s="1" t="s">
        <v>552</v>
      </c>
      <c r="C699" s="1">
        <v>2</v>
      </c>
      <c r="D699" s="1">
        <v>38</v>
      </c>
      <c r="E699" s="1">
        <v>5</v>
      </c>
      <c r="F699" s="1">
        <v>3</v>
      </c>
    </row>
    <row r="700" spans="1:6" x14ac:dyDescent="0.3">
      <c r="A700" s="1">
        <v>699</v>
      </c>
      <c r="B700" s="1" t="s">
        <v>553</v>
      </c>
      <c r="C700" s="1">
        <v>3</v>
      </c>
      <c r="D700" s="1">
        <v>37</v>
      </c>
      <c r="E700" s="1">
        <v>2</v>
      </c>
      <c r="F700" s="1">
        <v>3</v>
      </c>
    </row>
    <row r="701" spans="1:6" x14ac:dyDescent="0.3">
      <c r="A701" s="1">
        <v>700</v>
      </c>
      <c r="B701" s="1" t="s">
        <v>554</v>
      </c>
      <c r="C701" s="1">
        <v>3</v>
      </c>
      <c r="D701" s="1">
        <v>45</v>
      </c>
      <c r="E701" s="1">
        <v>5</v>
      </c>
      <c r="F701" s="1">
        <v>3</v>
      </c>
    </row>
    <row r="702" spans="1:6" x14ac:dyDescent="0.3">
      <c r="A702" s="1">
        <v>701</v>
      </c>
      <c r="B702" s="1" t="s">
        <v>555</v>
      </c>
      <c r="C702" s="1">
        <v>2</v>
      </c>
      <c r="D702" s="1">
        <v>26</v>
      </c>
      <c r="E702" s="1">
        <v>2</v>
      </c>
      <c r="F702" s="1">
        <v>3</v>
      </c>
    </row>
    <row r="703" spans="1:6" x14ac:dyDescent="0.3">
      <c r="A703" s="1">
        <v>702</v>
      </c>
      <c r="B703" s="1" t="s">
        <v>556</v>
      </c>
      <c r="C703" s="1">
        <v>3</v>
      </c>
      <c r="D703" s="1">
        <v>52</v>
      </c>
      <c r="E703" s="1">
        <v>1</v>
      </c>
      <c r="F703" s="1">
        <v>2</v>
      </c>
    </row>
    <row r="704" spans="1:6" x14ac:dyDescent="0.3">
      <c r="A704" s="1">
        <v>703</v>
      </c>
      <c r="B704" s="1" t="s">
        <v>495</v>
      </c>
      <c r="C704" s="1">
        <v>4</v>
      </c>
      <c r="D704" s="1">
        <v>36</v>
      </c>
      <c r="E704" s="1">
        <v>2</v>
      </c>
      <c r="F704" s="1">
        <v>3</v>
      </c>
    </row>
    <row r="705" spans="1:6" x14ac:dyDescent="0.3">
      <c r="A705" s="1">
        <v>704</v>
      </c>
      <c r="B705" s="1" t="s">
        <v>557</v>
      </c>
      <c r="C705" s="1">
        <v>4</v>
      </c>
      <c r="D705" s="1">
        <v>46</v>
      </c>
      <c r="E705" s="1">
        <v>2</v>
      </c>
      <c r="F705" s="1">
        <v>3</v>
      </c>
    </row>
    <row r="706" spans="1:6" x14ac:dyDescent="0.3">
      <c r="A706" s="1">
        <v>705</v>
      </c>
      <c r="B706" s="1" t="s">
        <v>558</v>
      </c>
      <c r="C706" s="1">
        <v>2</v>
      </c>
      <c r="D706" s="1">
        <v>41</v>
      </c>
      <c r="E706" s="1">
        <v>1</v>
      </c>
      <c r="F706" s="1">
        <v>2</v>
      </c>
    </row>
    <row r="707" spans="1:6" x14ac:dyDescent="0.3">
      <c r="A707" s="1">
        <v>706</v>
      </c>
      <c r="B707" s="1" t="s">
        <v>559</v>
      </c>
      <c r="C707" s="1">
        <v>4</v>
      </c>
      <c r="D707" s="1">
        <v>35</v>
      </c>
      <c r="E707" s="1">
        <v>3</v>
      </c>
      <c r="F707" s="1">
        <v>3</v>
      </c>
    </row>
    <row r="708" spans="1:6" x14ac:dyDescent="0.3">
      <c r="A708" s="1">
        <v>707</v>
      </c>
      <c r="B708" s="1" t="s">
        <v>560</v>
      </c>
      <c r="C708" s="1">
        <v>1</v>
      </c>
      <c r="D708" s="1">
        <v>34</v>
      </c>
      <c r="E708" s="1">
        <v>3</v>
      </c>
      <c r="F708" s="1">
        <v>3</v>
      </c>
    </row>
    <row r="709" spans="1:6" x14ac:dyDescent="0.3">
      <c r="A709" s="1">
        <v>708</v>
      </c>
      <c r="B709" s="1" t="s">
        <v>561</v>
      </c>
      <c r="C709" s="1">
        <v>3</v>
      </c>
      <c r="D709" s="1">
        <v>26</v>
      </c>
      <c r="E709" s="1">
        <v>2</v>
      </c>
      <c r="F709" s="1">
        <v>3</v>
      </c>
    </row>
    <row r="710" spans="1:6" x14ac:dyDescent="0.3">
      <c r="A710" s="1">
        <v>709</v>
      </c>
      <c r="B710" s="1" t="s">
        <v>562</v>
      </c>
      <c r="C710" s="1">
        <v>1</v>
      </c>
      <c r="D710" s="1">
        <v>105</v>
      </c>
      <c r="E710" s="1">
        <v>2</v>
      </c>
      <c r="F710" s="1">
        <v>3</v>
      </c>
    </row>
    <row r="711" spans="1:6" x14ac:dyDescent="0.3">
      <c r="A711" s="1">
        <v>710</v>
      </c>
      <c r="B711" s="1" t="s">
        <v>563</v>
      </c>
      <c r="C711" s="1">
        <v>3</v>
      </c>
      <c r="D711" s="1">
        <v>26</v>
      </c>
      <c r="E711" s="1">
        <v>2</v>
      </c>
      <c r="F711" s="1">
        <v>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5B87-B0E0-4156-AAAA-59EB9D50CAC3}">
  <dimension ref="A1:AT712"/>
  <sheetViews>
    <sheetView tabSelected="1" topLeftCell="AB1" zoomScale="41" workbookViewId="0">
      <selection activeCell="AT4" sqref="AT4"/>
    </sheetView>
  </sheetViews>
  <sheetFormatPr defaultRowHeight="14.4" x14ac:dyDescent="0.3"/>
  <cols>
    <col min="1" max="1" width="58" bestFit="1" customWidth="1"/>
    <col min="2" max="2" width="8.109375" bestFit="1" customWidth="1"/>
    <col min="3" max="3" width="10.21875" bestFit="1" customWidth="1"/>
    <col min="4" max="4" width="9.5546875" bestFit="1" customWidth="1"/>
    <col min="6" max="6" width="36.5546875" bestFit="1" customWidth="1"/>
    <col min="7" max="7" width="34.109375" bestFit="1" customWidth="1"/>
    <col min="8" max="8" width="26.33203125" bestFit="1" customWidth="1"/>
    <col min="9" max="9" width="7.21875" bestFit="1" customWidth="1"/>
    <col min="10" max="10" width="14.109375" bestFit="1" customWidth="1"/>
    <col min="11" max="11" width="9.77734375" bestFit="1" customWidth="1"/>
    <col min="13" max="13" width="43.88671875" bestFit="1" customWidth="1"/>
    <col min="14" max="14" width="26.33203125" bestFit="1" customWidth="1"/>
    <col min="15" max="17" width="14.5546875" bestFit="1" customWidth="1"/>
    <col min="19" max="19" width="54.44140625" bestFit="1" customWidth="1"/>
    <col min="20" max="20" width="26.33203125" bestFit="1" customWidth="1"/>
    <col min="21" max="23" width="14.5546875" bestFit="1" customWidth="1"/>
    <col min="25" max="25" width="54.6640625" bestFit="1" customWidth="1"/>
    <col min="26" max="26" width="26.33203125" bestFit="1" customWidth="1"/>
    <col min="27" max="29" width="14.5546875" bestFit="1" customWidth="1"/>
    <col min="31" max="31" width="81" bestFit="1" customWidth="1"/>
    <col min="32" max="32" width="20" bestFit="1" customWidth="1"/>
    <col min="33" max="33" width="13.33203125" bestFit="1" customWidth="1"/>
    <col min="34" max="34" width="14.109375" bestFit="1" customWidth="1"/>
    <col min="35" max="35" width="13.77734375" bestFit="1" customWidth="1"/>
    <col min="37" max="37" width="40.5546875" bestFit="1" customWidth="1"/>
    <col min="38" max="39" width="14.5546875" bestFit="1" customWidth="1"/>
    <col min="41" max="41" width="39.5546875" bestFit="1" customWidth="1"/>
    <col min="42" max="42" width="14.5546875" bestFit="1" customWidth="1"/>
    <col min="44" max="44" width="42.88671875" bestFit="1" customWidth="1"/>
    <col min="45" max="45" width="14.5546875" bestFit="1" customWidth="1"/>
    <col min="46" max="46" width="13.109375" bestFit="1" customWidth="1"/>
  </cols>
  <sheetData>
    <row r="1" spans="1:46" x14ac:dyDescent="0.3">
      <c r="A1" s="3" t="s">
        <v>566</v>
      </c>
      <c r="B1" s="4"/>
      <c r="C1" s="4"/>
      <c r="D1" s="4"/>
      <c r="F1" s="3" t="s">
        <v>578</v>
      </c>
      <c r="G1" s="9"/>
      <c r="H1" s="9"/>
      <c r="I1" s="9"/>
      <c r="J1" s="9"/>
      <c r="K1" s="4"/>
      <c r="M1" s="13" t="s">
        <v>579</v>
      </c>
      <c r="N1" s="4"/>
      <c r="O1" s="4"/>
      <c r="P1" s="4"/>
      <c r="Q1" s="4"/>
      <c r="S1" s="14" t="s">
        <v>580</v>
      </c>
      <c r="T1" s="15"/>
      <c r="U1" s="15"/>
      <c r="V1" s="15"/>
      <c r="W1" s="15"/>
      <c r="Y1" s="14" t="s">
        <v>581</v>
      </c>
      <c r="Z1" s="14"/>
      <c r="AA1" s="14"/>
      <c r="AB1" s="14"/>
      <c r="AC1" s="14"/>
      <c r="AE1" s="14" t="s">
        <v>582</v>
      </c>
      <c r="AF1" s="15"/>
      <c r="AG1" s="15"/>
      <c r="AH1" s="15"/>
      <c r="AI1" s="15"/>
      <c r="AK1" s="14" t="s">
        <v>589</v>
      </c>
      <c r="AL1" s="15"/>
      <c r="AM1" s="15"/>
      <c r="AO1" s="18" t="s">
        <v>1302</v>
      </c>
      <c r="AP1" s="15"/>
      <c r="AR1" s="14" t="s">
        <v>2014</v>
      </c>
      <c r="AS1" s="15"/>
      <c r="AT1" s="15"/>
    </row>
    <row r="2" spans="1:46" ht="28.8" x14ac:dyDescent="0.3">
      <c r="A2" s="10" t="s">
        <v>567</v>
      </c>
      <c r="B2" s="10" t="s">
        <v>568</v>
      </c>
      <c r="C2" s="11" t="s">
        <v>569</v>
      </c>
      <c r="D2" s="12" t="s">
        <v>570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564</v>
      </c>
      <c r="K2" s="2" t="s">
        <v>565</v>
      </c>
      <c r="M2" s="2" t="s">
        <v>1</v>
      </c>
      <c r="N2" s="2" t="s">
        <v>2</v>
      </c>
      <c r="O2" s="2" t="s">
        <v>3</v>
      </c>
      <c r="P2" s="2" t="s">
        <v>564</v>
      </c>
      <c r="Q2" s="2" t="s">
        <v>565</v>
      </c>
      <c r="S2" s="2" t="s">
        <v>1</v>
      </c>
      <c r="T2" s="2" t="s">
        <v>2</v>
      </c>
      <c r="U2" s="2" t="s">
        <v>3</v>
      </c>
      <c r="V2" s="2" t="s">
        <v>564</v>
      </c>
      <c r="W2" s="2" t="s">
        <v>565</v>
      </c>
      <c r="Y2" s="2" t="s">
        <v>1</v>
      </c>
      <c r="Z2" s="2" t="s">
        <v>2</v>
      </c>
      <c r="AA2" s="2" t="s">
        <v>3</v>
      </c>
      <c r="AB2" s="2" t="s">
        <v>564</v>
      </c>
      <c r="AC2" s="2" t="s">
        <v>565</v>
      </c>
      <c r="AE2" s="19" t="s">
        <v>567</v>
      </c>
      <c r="AF2" s="19" t="s">
        <v>583</v>
      </c>
      <c r="AG2" s="19" t="s">
        <v>584</v>
      </c>
      <c r="AH2" s="19" t="s">
        <v>585</v>
      </c>
      <c r="AI2" s="19" t="s">
        <v>586</v>
      </c>
      <c r="AK2" s="20"/>
      <c r="AL2" s="21" t="s">
        <v>590</v>
      </c>
      <c r="AM2" s="21" t="s">
        <v>591</v>
      </c>
      <c r="AO2" s="20"/>
      <c r="AP2" s="21" t="s">
        <v>1303</v>
      </c>
      <c r="AR2" s="22" t="s">
        <v>2015</v>
      </c>
      <c r="AS2" s="23" t="s">
        <v>2016</v>
      </c>
      <c r="AT2" s="24" t="s">
        <v>2017</v>
      </c>
    </row>
    <row r="3" spans="1:46" x14ac:dyDescent="0.3">
      <c r="A3" s="6" t="s">
        <v>2</v>
      </c>
      <c r="B3" s="6" t="s">
        <v>571</v>
      </c>
      <c r="C3" s="7" t="s">
        <v>572</v>
      </c>
      <c r="D3" s="8">
        <v>0.3</v>
      </c>
      <c r="F3" s="1">
        <v>1</v>
      </c>
      <c r="G3" s="1" t="s">
        <v>4</v>
      </c>
      <c r="H3" s="1">
        <v>2</v>
      </c>
      <c r="I3" s="1">
        <v>78</v>
      </c>
      <c r="J3" s="1">
        <v>2</v>
      </c>
      <c r="K3" s="1">
        <v>3</v>
      </c>
      <c r="M3" s="1" t="s">
        <v>4</v>
      </c>
      <c r="N3" s="1">
        <f>H3/MAX($H$3:$H$712)</f>
        <v>0.2857142857142857</v>
      </c>
      <c r="O3" s="1">
        <f>I3/MAX($I$3:$I$712)</f>
        <v>0.74285714285714288</v>
      </c>
      <c r="P3" s="1">
        <f>MIN($J$3:$J$712)/J3</f>
        <v>0.5</v>
      </c>
      <c r="Q3" s="1">
        <f>K3/MAX($K$3:$K$712)</f>
        <v>1</v>
      </c>
      <c r="S3" s="1" t="s">
        <v>4</v>
      </c>
      <c r="T3" s="1">
        <f>N3/SQRT(SUMSQ($N$3:$N$712))</f>
        <v>2.8583097523751523E-2</v>
      </c>
      <c r="U3" s="1">
        <f>O3/SQRT(SUMSQ($O$3:$O$712))</f>
        <v>5.658056667800386E-2</v>
      </c>
      <c r="V3" s="1">
        <f>P3/SQRT(SUMSQ($P$3:$P$712))</f>
        <v>3.1574382095289864E-2</v>
      </c>
      <c r="W3" s="1">
        <f>Q3/SQRT(SUMSQ($Q$3:$Q$712))</f>
        <v>4.0360367639778717E-2</v>
      </c>
      <c r="Y3" s="1" t="s">
        <v>4</v>
      </c>
      <c r="Z3" s="1">
        <f>T3*$D$3</f>
        <v>8.5749292571254566E-3</v>
      </c>
      <c r="AA3" s="1">
        <f>U3*$D$4</f>
        <v>1.1316113335600772E-2</v>
      </c>
      <c r="AB3" s="1">
        <f>V3*$D$5</f>
        <v>9.4723146285869593E-3</v>
      </c>
      <c r="AC3" s="1">
        <f>W3*$D$6</f>
        <v>8.0720735279557441E-3</v>
      </c>
      <c r="AE3" s="16" t="s">
        <v>587</v>
      </c>
      <c r="AF3" s="16">
        <f>MAX($Z$3:$Z$712)</f>
        <v>3.0012252399939099E-2</v>
      </c>
      <c r="AG3" s="16">
        <f>MAX($AA$3:$AA$712)</f>
        <v>1.5233229490231809E-2</v>
      </c>
      <c r="AH3" s="16">
        <f>MIN($AB$3:$AB$712)</f>
        <v>3.7889258514347836E-3</v>
      </c>
      <c r="AI3" s="16">
        <f>MAX($AC$3:$AC$712)</f>
        <v>8.0720735279557441E-3</v>
      </c>
      <c r="AK3" s="17" t="s">
        <v>592</v>
      </c>
      <c r="AL3" s="17">
        <f>SQRT( ($AF$3-Z3)^2 + ($AG$3-AA3)^2 + ($AH$3-AB3)^2 + ($AI$3-AC3)^2 )</f>
        <v>2.2521179598114841E-2</v>
      </c>
      <c r="AM3" s="17">
        <f>SQRT( (Z3-$AF$4)^2 + (AA3-$AG$4)^2 + (AB3-$AH$4)^2 + (AC3-$AI$4)^2 )</f>
        <v>1.6069198170029195E-2</v>
      </c>
      <c r="AO3" s="17" t="s">
        <v>1304</v>
      </c>
      <c r="AP3" s="17">
        <f>AM3/AL3+AM3</f>
        <v>0.72958414084977607</v>
      </c>
      <c r="AR3" s="1" t="s">
        <v>4</v>
      </c>
      <c r="AS3" s="17">
        <f>AP3</f>
        <v>0.72958414084977607</v>
      </c>
      <c r="AT3" s="17">
        <f>RANK(AS3,$AS$3:$AS$712,0)</f>
        <v>326</v>
      </c>
    </row>
    <row r="4" spans="1:46" x14ac:dyDescent="0.3">
      <c r="A4" s="6" t="s">
        <v>3</v>
      </c>
      <c r="B4" s="6" t="s">
        <v>573</v>
      </c>
      <c r="C4" s="7" t="s">
        <v>572</v>
      </c>
      <c r="D4" s="8">
        <v>0.2</v>
      </c>
      <c r="F4" s="1">
        <v>2</v>
      </c>
      <c r="G4" s="1" t="s">
        <v>5</v>
      </c>
      <c r="H4" s="1">
        <v>2</v>
      </c>
      <c r="I4" s="1">
        <v>77</v>
      </c>
      <c r="J4" s="1">
        <v>2</v>
      </c>
      <c r="K4" s="1">
        <v>2</v>
      </c>
      <c r="M4" s="1" t="s">
        <v>5</v>
      </c>
      <c r="N4" s="1">
        <f t="shared" ref="N4:N67" si="0">H4/MAX($H$3:$H$712)</f>
        <v>0.2857142857142857</v>
      </c>
      <c r="O4" s="1">
        <f t="shared" ref="O4:O67" si="1">I4/MAX($I$3:$I$712)</f>
        <v>0.73333333333333328</v>
      </c>
      <c r="P4" s="1">
        <f t="shared" ref="P4:P67" si="2">MIN($J$3:$J$712)/J4</f>
        <v>0.5</v>
      </c>
      <c r="Q4" s="1">
        <f t="shared" ref="Q4:Q67" si="3">K4/MAX($K$3:$K$712)</f>
        <v>0.66666666666666663</v>
      </c>
      <c r="S4" s="1" t="s">
        <v>5</v>
      </c>
      <c r="T4" s="1">
        <f>N4/SQRT(SUMSQ($N$3:$N$712))</f>
        <v>2.8583097523751523E-2</v>
      </c>
      <c r="U4" s="1">
        <f t="shared" ref="U4:U67" si="4">O4/SQRT(SUMSQ($O$3:$O$712))</f>
        <v>5.5855174797516623E-2</v>
      </c>
      <c r="V4" s="1">
        <f t="shared" ref="V4:V67" si="5">P4/SQRT(SUMSQ($P$3:$P$712))</f>
        <v>3.1574382095289864E-2</v>
      </c>
      <c r="W4" s="1">
        <f t="shared" ref="W4:W67" si="6">Q4/SQRT(SUMSQ($Q$3:$Q$712))</f>
        <v>2.6906911759852478E-2</v>
      </c>
      <c r="Y4" s="1" t="s">
        <v>5</v>
      </c>
      <c r="Z4" s="1">
        <f t="shared" ref="Z4:Z67" si="7">T4*$D$3</f>
        <v>8.5749292571254566E-3</v>
      </c>
      <c r="AA4" s="1">
        <f t="shared" ref="AA4:AA67" si="8">U4*$D$4</f>
        <v>1.1171034959503326E-2</v>
      </c>
      <c r="AB4" s="1">
        <f t="shared" ref="AB4:AB67" si="9">V4*$D$5</f>
        <v>9.4723146285869593E-3</v>
      </c>
      <c r="AC4" s="1">
        <f t="shared" ref="AC4:AC67" si="10">W4*$D$6</f>
        <v>5.3813823519704958E-3</v>
      </c>
      <c r="AE4" s="16" t="s">
        <v>588</v>
      </c>
      <c r="AF4" s="16">
        <f>MIN($Z$3:$Z$712)</f>
        <v>0</v>
      </c>
      <c r="AG4" s="16">
        <f>MIN($AA$3:$AA$712)</f>
        <v>3.1917242741438079E-3</v>
      </c>
      <c r="AH4" s="16">
        <f>MAX($AB$3:$AB$712)</f>
        <v>1.8944629257173919E-2</v>
      </c>
      <c r="AI4" s="16">
        <f>MIN($AC$3:$AC$712)</f>
        <v>2.6906911759852479E-3</v>
      </c>
      <c r="AK4" s="17" t="s">
        <v>593</v>
      </c>
      <c r="AL4" s="17">
        <f t="shared" ref="AL4:AL67" si="11">SQRT( ($AF$3-Z4)^2 + ($AG$3-AA4)^2 + ($AH$3-AB4)^2 + ($AI$3-AC4)^2 )</f>
        <v>2.2706848634975265E-2</v>
      </c>
      <c r="AM4" s="17">
        <f t="shared" ref="AM4:AM67" si="12">SQRT( (Z4-$AF$4)^2 + (AA4-$AG$4)^2 + (AB4-$AH$4)^2 + (AC4-$AI$4)^2 )</f>
        <v>1.5302397661989642E-2</v>
      </c>
      <c r="AO4" s="17" t="s">
        <v>1305</v>
      </c>
      <c r="AP4" s="17">
        <f t="shared" ref="AP4:AP67" si="13">AM4/AL4+AM4</f>
        <v>0.68921351179252655</v>
      </c>
      <c r="AR4" s="1" t="s">
        <v>5</v>
      </c>
      <c r="AS4" s="17">
        <f t="shared" ref="AS4:AS67" si="14">AP4</f>
        <v>0.68921351179252655</v>
      </c>
      <c r="AT4" s="17">
        <f t="shared" ref="AT4:AT67" si="15">RANK(AS4,$AS$3:$AS$712,0)</f>
        <v>355</v>
      </c>
    </row>
    <row r="5" spans="1:46" x14ac:dyDescent="0.3">
      <c r="A5" s="6" t="s">
        <v>564</v>
      </c>
      <c r="B5" s="6" t="s">
        <v>574</v>
      </c>
      <c r="C5" s="7" t="s">
        <v>575</v>
      </c>
      <c r="D5" s="8">
        <v>0.3</v>
      </c>
      <c r="F5" s="1">
        <v>3</v>
      </c>
      <c r="G5" s="1" t="s">
        <v>6</v>
      </c>
      <c r="H5" s="1">
        <v>2</v>
      </c>
      <c r="I5" s="1">
        <v>65</v>
      </c>
      <c r="J5" s="1">
        <v>2</v>
      </c>
      <c r="K5" s="1">
        <v>3</v>
      </c>
      <c r="M5" s="1" t="s">
        <v>6</v>
      </c>
      <c r="N5" s="1">
        <f t="shared" si="0"/>
        <v>0.2857142857142857</v>
      </c>
      <c r="O5" s="1">
        <f t="shared" si="1"/>
        <v>0.61904761904761907</v>
      </c>
      <c r="P5" s="1">
        <f t="shared" si="2"/>
        <v>0.5</v>
      </c>
      <c r="Q5" s="1">
        <f t="shared" si="3"/>
        <v>1</v>
      </c>
      <c r="S5" s="1" t="s">
        <v>6</v>
      </c>
      <c r="T5" s="1">
        <f t="shared" ref="T4:T67" si="16">N5/SQRT(SUMSQ($N$3:$N$712))</f>
        <v>2.8583097523751523E-2</v>
      </c>
      <c r="U5" s="1">
        <f t="shared" si="4"/>
        <v>4.7150472231669883E-2</v>
      </c>
      <c r="V5" s="1">
        <f t="shared" si="5"/>
        <v>3.1574382095289864E-2</v>
      </c>
      <c r="W5" s="1">
        <f t="shared" si="6"/>
        <v>4.0360367639778717E-2</v>
      </c>
      <c r="Y5" s="1" t="s">
        <v>6</v>
      </c>
      <c r="Z5" s="1">
        <f t="shared" si="7"/>
        <v>8.5749292571254566E-3</v>
      </c>
      <c r="AA5" s="1">
        <f t="shared" si="8"/>
        <v>9.4300944463339767E-3</v>
      </c>
      <c r="AB5" s="1">
        <f t="shared" si="9"/>
        <v>9.4723146285869593E-3</v>
      </c>
      <c r="AC5" s="1">
        <f t="shared" si="10"/>
        <v>8.0720735279557441E-3</v>
      </c>
      <c r="AK5" s="17" t="s">
        <v>594</v>
      </c>
      <c r="AL5" s="17">
        <f t="shared" si="11"/>
        <v>2.2924574322315951E-2</v>
      </c>
      <c r="AM5" s="17">
        <f t="shared" si="12"/>
        <v>1.5202983082639412E-2</v>
      </c>
      <c r="AO5" s="17" t="s">
        <v>1306</v>
      </c>
      <c r="AP5" s="17">
        <f t="shared" si="13"/>
        <v>0.67837704550525346</v>
      </c>
      <c r="AR5" s="1" t="s">
        <v>6</v>
      </c>
      <c r="AS5" s="17">
        <f t="shared" si="14"/>
        <v>0.67837704550525346</v>
      </c>
      <c r="AT5" s="17">
        <f t="shared" si="15"/>
        <v>361</v>
      </c>
    </row>
    <row r="6" spans="1:46" x14ac:dyDescent="0.3">
      <c r="A6" s="6" t="s">
        <v>565</v>
      </c>
      <c r="B6" s="6" t="s">
        <v>576</v>
      </c>
      <c r="C6" s="7" t="s">
        <v>572</v>
      </c>
      <c r="D6" s="8">
        <v>0.2</v>
      </c>
      <c r="F6" s="1">
        <v>4</v>
      </c>
      <c r="G6" s="1" t="s">
        <v>7</v>
      </c>
      <c r="H6" s="1">
        <v>4</v>
      </c>
      <c r="I6" s="1">
        <v>41</v>
      </c>
      <c r="J6" s="1">
        <v>5</v>
      </c>
      <c r="K6" s="1">
        <v>3</v>
      </c>
      <c r="M6" s="1" t="s">
        <v>7</v>
      </c>
      <c r="N6" s="1">
        <f>H6/MAX($H$3:$H$712)</f>
        <v>0.5714285714285714</v>
      </c>
      <c r="O6" s="1">
        <f t="shared" si="1"/>
        <v>0.39047619047619048</v>
      </c>
      <c r="P6" s="1">
        <f t="shared" si="2"/>
        <v>0.2</v>
      </c>
      <c r="Q6" s="1">
        <f t="shared" si="3"/>
        <v>1</v>
      </c>
      <c r="S6" s="1" t="s">
        <v>7</v>
      </c>
      <c r="T6" s="1">
        <f t="shared" si="16"/>
        <v>5.7166195047503046E-2</v>
      </c>
      <c r="U6" s="1">
        <f t="shared" si="4"/>
        <v>2.9741067099976388E-2</v>
      </c>
      <c r="V6" s="1">
        <f t="shared" si="5"/>
        <v>1.2629752838115946E-2</v>
      </c>
      <c r="W6" s="1">
        <f t="shared" si="6"/>
        <v>4.0360367639778717E-2</v>
      </c>
      <c r="Y6" s="1" t="s">
        <v>7</v>
      </c>
      <c r="Z6" s="1">
        <f t="shared" si="7"/>
        <v>1.7149858514250913E-2</v>
      </c>
      <c r="AA6" s="1">
        <f t="shared" si="8"/>
        <v>5.9482134199952781E-3</v>
      </c>
      <c r="AB6" s="1">
        <f t="shared" si="9"/>
        <v>3.7889258514347836E-3</v>
      </c>
      <c r="AC6" s="1">
        <f t="shared" si="10"/>
        <v>8.0720735279557441E-3</v>
      </c>
      <c r="AK6" s="17" t="s">
        <v>595</v>
      </c>
      <c r="AL6" s="17">
        <f t="shared" si="11"/>
        <v>1.5863565169757378E-2</v>
      </c>
      <c r="AM6" s="17">
        <f t="shared" si="12"/>
        <v>2.3672146104881445E-2</v>
      </c>
      <c r="AO6" s="17" t="s">
        <v>1307</v>
      </c>
      <c r="AP6" s="17">
        <f t="shared" si="13"/>
        <v>1.5159058181428988</v>
      </c>
      <c r="AR6" s="1" t="s">
        <v>7</v>
      </c>
      <c r="AS6" s="17">
        <f t="shared" si="14"/>
        <v>1.5159058181428988</v>
      </c>
      <c r="AT6" s="17">
        <f t="shared" si="15"/>
        <v>39</v>
      </c>
    </row>
    <row r="7" spans="1:46" x14ac:dyDescent="0.3">
      <c r="A7" s="29" t="s">
        <v>577</v>
      </c>
      <c r="B7" s="30"/>
      <c r="C7" s="31"/>
      <c r="D7" s="5">
        <f>SUM(D3:D6)</f>
        <v>1</v>
      </c>
      <c r="F7" s="1">
        <v>5</v>
      </c>
      <c r="G7" s="1" t="s">
        <v>8</v>
      </c>
      <c r="H7" s="1">
        <v>1</v>
      </c>
      <c r="I7" s="1">
        <v>52</v>
      </c>
      <c r="J7" s="1">
        <v>2</v>
      </c>
      <c r="K7" s="1">
        <v>3</v>
      </c>
      <c r="M7" s="1" t="s">
        <v>8</v>
      </c>
      <c r="N7" s="1">
        <f t="shared" si="0"/>
        <v>0.14285714285714285</v>
      </c>
      <c r="O7" s="1">
        <f t="shared" si="1"/>
        <v>0.49523809523809526</v>
      </c>
      <c r="P7" s="1">
        <f t="shared" si="2"/>
        <v>0.5</v>
      </c>
      <c r="Q7" s="1">
        <f t="shared" si="3"/>
        <v>1</v>
      </c>
      <c r="S7" s="1" t="s">
        <v>8</v>
      </c>
      <c r="T7" s="1">
        <f t="shared" si="16"/>
        <v>1.4291548761875762E-2</v>
      </c>
      <c r="U7" s="1">
        <f t="shared" si="4"/>
        <v>3.7720377785335907E-2</v>
      </c>
      <c r="V7" s="1">
        <f t="shared" si="5"/>
        <v>3.1574382095289864E-2</v>
      </c>
      <c r="W7" s="1">
        <f t="shared" si="6"/>
        <v>4.0360367639778717E-2</v>
      </c>
      <c r="Y7" s="1" t="s">
        <v>8</v>
      </c>
      <c r="Z7" s="1">
        <f t="shared" si="7"/>
        <v>4.2874646285627283E-3</v>
      </c>
      <c r="AA7" s="1">
        <f t="shared" si="8"/>
        <v>7.5440755570671814E-3</v>
      </c>
      <c r="AB7" s="1">
        <f t="shared" si="9"/>
        <v>9.4723146285869593E-3</v>
      </c>
      <c r="AC7" s="1">
        <f t="shared" si="10"/>
        <v>8.0720735279557441E-3</v>
      </c>
      <c r="AK7" s="17" t="s">
        <v>596</v>
      </c>
      <c r="AL7" s="17">
        <f t="shared" si="11"/>
        <v>2.7444283595723821E-2</v>
      </c>
      <c r="AM7" s="17">
        <f t="shared" si="12"/>
        <v>1.2490369693174949E-2</v>
      </c>
      <c r="AO7" s="17" t="s">
        <v>1308</v>
      </c>
      <c r="AP7" s="17">
        <f t="shared" si="13"/>
        <v>0.46760772225985348</v>
      </c>
      <c r="AR7" s="1" t="s">
        <v>8</v>
      </c>
      <c r="AS7" s="17">
        <f t="shared" si="14"/>
        <v>0.46760772225985348</v>
      </c>
      <c r="AT7" s="17">
        <f t="shared" si="15"/>
        <v>559</v>
      </c>
    </row>
    <row r="8" spans="1:46" x14ac:dyDescent="0.3">
      <c r="F8" s="1">
        <v>6</v>
      </c>
      <c r="G8" s="1" t="s">
        <v>9</v>
      </c>
      <c r="H8" s="1">
        <v>3</v>
      </c>
      <c r="I8" s="1">
        <v>65</v>
      </c>
      <c r="J8" s="1">
        <v>1</v>
      </c>
      <c r="K8" s="1">
        <v>3</v>
      </c>
      <c r="M8" s="1" t="s">
        <v>9</v>
      </c>
      <c r="N8" s="1">
        <f t="shared" si="0"/>
        <v>0.42857142857142855</v>
      </c>
      <c r="O8" s="1">
        <f t="shared" si="1"/>
        <v>0.61904761904761907</v>
      </c>
      <c r="P8" s="1">
        <f t="shared" si="2"/>
        <v>1</v>
      </c>
      <c r="Q8" s="1">
        <f t="shared" si="3"/>
        <v>1</v>
      </c>
      <c r="S8" s="1" t="s">
        <v>9</v>
      </c>
      <c r="T8" s="1">
        <f t="shared" si="16"/>
        <v>4.2874646285627281E-2</v>
      </c>
      <c r="U8" s="1">
        <f t="shared" si="4"/>
        <v>4.7150472231669883E-2</v>
      </c>
      <c r="V8" s="1">
        <f t="shared" si="5"/>
        <v>6.3148764190579729E-2</v>
      </c>
      <c r="W8" s="1">
        <f t="shared" si="6"/>
        <v>4.0360367639778717E-2</v>
      </c>
      <c r="Y8" s="1" t="s">
        <v>9</v>
      </c>
      <c r="Z8" s="1">
        <f t="shared" si="7"/>
        <v>1.2862393885688184E-2</v>
      </c>
      <c r="AA8" s="1">
        <f t="shared" si="8"/>
        <v>9.4300944463339767E-3</v>
      </c>
      <c r="AB8" s="1">
        <f t="shared" si="9"/>
        <v>1.8944629257173919E-2</v>
      </c>
      <c r="AC8" s="1">
        <f t="shared" si="10"/>
        <v>8.0720735279557441E-3</v>
      </c>
      <c r="AK8" s="17" t="s">
        <v>597</v>
      </c>
      <c r="AL8" s="17">
        <f t="shared" si="11"/>
        <v>2.3611212783744773E-2</v>
      </c>
      <c r="AM8" s="17">
        <f t="shared" si="12"/>
        <v>1.5274741074530864E-2</v>
      </c>
      <c r="AO8" s="17" t="s">
        <v>1309</v>
      </c>
      <c r="AP8" s="17">
        <f t="shared" si="13"/>
        <v>0.66220216553308364</v>
      </c>
      <c r="AR8" s="1" t="s">
        <v>9</v>
      </c>
      <c r="AS8" s="17">
        <f t="shared" si="14"/>
        <v>0.66220216553308364</v>
      </c>
      <c r="AT8" s="17">
        <f t="shared" si="15"/>
        <v>375</v>
      </c>
    </row>
    <row r="9" spans="1:46" x14ac:dyDescent="0.3">
      <c r="F9" s="1">
        <v>7</v>
      </c>
      <c r="G9" s="1" t="s">
        <v>10</v>
      </c>
      <c r="H9" s="1">
        <v>0</v>
      </c>
      <c r="I9" s="1">
        <v>75</v>
      </c>
      <c r="J9" s="1">
        <v>2</v>
      </c>
      <c r="K9" s="1">
        <v>2</v>
      </c>
      <c r="M9" s="1" t="s">
        <v>10</v>
      </c>
      <c r="N9" s="1">
        <f t="shared" si="0"/>
        <v>0</v>
      </c>
      <c r="O9" s="1">
        <f t="shared" si="1"/>
        <v>0.7142857142857143</v>
      </c>
      <c r="P9" s="1">
        <f t="shared" si="2"/>
        <v>0.5</v>
      </c>
      <c r="Q9" s="1">
        <f t="shared" si="3"/>
        <v>0.66666666666666663</v>
      </c>
      <c r="S9" s="1" t="s">
        <v>10</v>
      </c>
      <c r="T9" s="1">
        <f t="shared" si="16"/>
        <v>0</v>
      </c>
      <c r="U9" s="1">
        <f t="shared" si="4"/>
        <v>5.4404391036542175E-2</v>
      </c>
      <c r="V9" s="1">
        <f t="shared" si="5"/>
        <v>3.1574382095289864E-2</v>
      </c>
      <c r="W9" s="1">
        <f t="shared" si="6"/>
        <v>2.6906911759852478E-2</v>
      </c>
      <c r="Y9" s="1" t="s">
        <v>10</v>
      </c>
      <c r="Z9" s="1">
        <f t="shared" si="7"/>
        <v>0</v>
      </c>
      <c r="AA9" s="1">
        <f t="shared" si="8"/>
        <v>1.0880878207308436E-2</v>
      </c>
      <c r="AB9" s="1">
        <f t="shared" si="9"/>
        <v>9.4723146285869593E-3</v>
      </c>
      <c r="AC9" s="1">
        <f t="shared" si="10"/>
        <v>5.3813823519704958E-3</v>
      </c>
      <c r="AK9" s="17" t="s">
        <v>598</v>
      </c>
      <c r="AL9" s="17">
        <f t="shared" si="11"/>
        <v>3.0971260594370373E-2</v>
      </c>
      <c r="AM9" s="17">
        <f t="shared" si="12"/>
        <v>1.2493504377690371E-2</v>
      </c>
      <c r="AO9" s="17" t="s">
        <v>1310</v>
      </c>
      <c r="AP9" s="17">
        <f t="shared" si="13"/>
        <v>0.41588374868570888</v>
      </c>
      <c r="AR9" s="1" t="s">
        <v>10</v>
      </c>
      <c r="AS9" s="17">
        <f t="shared" si="14"/>
        <v>0.41588374868570888</v>
      </c>
      <c r="AT9" s="17">
        <f t="shared" si="15"/>
        <v>587</v>
      </c>
    </row>
    <row r="10" spans="1:46" x14ac:dyDescent="0.3">
      <c r="F10" s="1">
        <v>8</v>
      </c>
      <c r="G10" s="1" t="s">
        <v>11</v>
      </c>
      <c r="H10" s="1">
        <v>2</v>
      </c>
      <c r="I10" s="1">
        <v>25</v>
      </c>
      <c r="J10" s="1">
        <v>5</v>
      </c>
      <c r="K10" s="1">
        <v>3</v>
      </c>
      <c r="M10" s="1" t="s">
        <v>11</v>
      </c>
      <c r="N10" s="1">
        <f t="shared" si="0"/>
        <v>0.2857142857142857</v>
      </c>
      <c r="O10" s="1">
        <f t="shared" si="1"/>
        <v>0.23809523809523808</v>
      </c>
      <c r="P10" s="1">
        <f t="shared" si="2"/>
        <v>0.2</v>
      </c>
      <c r="Q10" s="1">
        <f t="shared" si="3"/>
        <v>1</v>
      </c>
      <c r="S10" s="1" t="s">
        <v>11</v>
      </c>
      <c r="T10" s="1">
        <f t="shared" si="16"/>
        <v>2.8583097523751523E-2</v>
      </c>
      <c r="U10" s="1">
        <f t="shared" si="4"/>
        <v>1.8134797012180723E-2</v>
      </c>
      <c r="V10" s="1">
        <f t="shared" si="5"/>
        <v>1.2629752838115946E-2</v>
      </c>
      <c r="W10" s="1">
        <f t="shared" si="6"/>
        <v>4.0360367639778717E-2</v>
      </c>
      <c r="Y10" s="1" t="s">
        <v>11</v>
      </c>
      <c r="Z10" s="1">
        <f t="shared" si="7"/>
        <v>8.5749292571254566E-3</v>
      </c>
      <c r="AA10" s="1">
        <f t="shared" si="8"/>
        <v>3.6269594024361447E-3</v>
      </c>
      <c r="AB10" s="1">
        <f t="shared" si="9"/>
        <v>3.7889258514347836E-3</v>
      </c>
      <c r="AC10" s="1">
        <f t="shared" si="10"/>
        <v>8.0720735279557441E-3</v>
      </c>
      <c r="AK10" s="17" t="s">
        <v>599</v>
      </c>
      <c r="AL10" s="17">
        <f t="shared" si="11"/>
        <v>2.4377537383424804E-2</v>
      </c>
      <c r="AM10" s="17">
        <f t="shared" si="12"/>
        <v>1.8231112503696478E-2</v>
      </c>
      <c r="AO10" s="17" t="s">
        <v>1311</v>
      </c>
      <c r="AP10" s="17">
        <f t="shared" si="13"/>
        <v>0.76609633846751723</v>
      </c>
      <c r="AR10" s="1" t="s">
        <v>11</v>
      </c>
      <c r="AS10" s="17">
        <f t="shared" si="14"/>
        <v>0.76609633846751723</v>
      </c>
      <c r="AT10" s="17">
        <f t="shared" si="15"/>
        <v>320</v>
      </c>
    </row>
    <row r="11" spans="1:46" x14ac:dyDescent="0.3">
      <c r="F11" s="1">
        <v>9</v>
      </c>
      <c r="G11" s="1" t="s">
        <v>12</v>
      </c>
      <c r="H11" s="1">
        <v>0</v>
      </c>
      <c r="I11" s="1">
        <v>41</v>
      </c>
      <c r="J11" s="1">
        <v>2</v>
      </c>
      <c r="K11" s="1">
        <v>1</v>
      </c>
      <c r="M11" s="1" t="s">
        <v>12</v>
      </c>
      <c r="N11" s="1">
        <f t="shared" si="0"/>
        <v>0</v>
      </c>
      <c r="O11" s="1">
        <f t="shared" si="1"/>
        <v>0.39047619047619048</v>
      </c>
      <c r="P11" s="1">
        <f t="shared" si="2"/>
        <v>0.5</v>
      </c>
      <c r="Q11" s="1">
        <f t="shared" si="3"/>
        <v>0.33333333333333331</v>
      </c>
      <c r="S11" s="1" t="s">
        <v>12</v>
      </c>
      <c r="T11" s="1">
        <f t="shared" si="16"/>
        <v>0</v>
      </c>
      <c r="U11" s="1">
        <f t="shared" si="4"/>
        <v>2.9741067099976388E-2</v>
      </c>
      <c r="V11" s="1">
        <f t="shared" si="5"/>
        <v>3.1574382095289864E-2</v>
      </c>
      <c r="W11" s="1">
        <f t="shared" si="6"/>
        <v>1.3453455879926239E-2</v>
      </c>
      <c r="Y11" s="1" t="s">
        <v>12</v>
      </c>
      <c r="Z11" s="1">
        <f t="shared" si="7"/>
        <v>0</v>
      </c>
      <c r="AA11" s="1">
        <f t="shared" si="8"/>
        <v>5.9482134199952781E-3</v>
      </c>
      <c r="AB11" s="1">
        <f t="shared" si="9"/>
        <v>9.4723146285869593E-3</v>
      </c>
      <c r="AC11" s="1">
        <f t="shared" si="10"/>
        <v>2.6906911759852479E-3</v>
      </c>
      <c r="AK11" s="17" t="s">
        <v>600</v>
      </c>
      <c r="AL11" s="17">
        <f t="shared" si="11"/>
        <v>3.2376025104273683E-2</v>
      </c>
      <c r="AM11" s="17">
        <f t="shared" si="12"/>
        <v>9.865240840148783E-3</v>
      </c>
      <c r="AO11" s="17" t="s">
        <v>1312</v>
      </c>
      <c r="AP11" s="17">
        <f t="shared" si="13"/>
        <v>0.31457345651442425</v>
      </c>
      <c r="AR11" s="1" t="s">
        <v>12</v>
      </c>
      <c r="AS11" s="17">
        <f t="shared" si="14"/>
        <v>0.31457345651442425</v>
      </c>
      <c r="AT11" s="17">
        <f t="shared" si="15"/>
        <v>646</v>
      </c>
    </row>
    <row r="12" spans="1:46" x14ac:dyDescent="0.3">
      <c r="F12" s="1">
        <v>10</v>
      </c>
      <c r="G12" s="1" t="s">
        <v>13</v>
      </c>
      <c r="H12" s="1">
        <v>3</v>
      </c>
      <c r="I12" s="1">
        <v>33</v>
      </c>
      <c r="J12" s="1">
        <v>5</v>
      </c>
      <c r="K12" s="1">
        <v>3</v>
      </c>
      <c r="M12" s="1" t="s">
        <v>13</v>
      </c>
      <c r="N12" s="1">
        <f t="shared" si="0"/>
        <v>0.42857142857142855</v>
      </c>
      <c r="O12" s="1">
        <f t="shared" si="1"/>
        <v>0.31428571428571428</v>
      </c>
      <c r="P12" s="1">
        <f t="shared" si="2"/>
        <v>0.2</v>
      </c>
      <c r="Q12" s="1">
        <f t="shared" si="3"/>
        <v>1</v>
      </c>
      <c r="S12" s="1" t="s">
        <v>13</v>
      </c>
      <c r="T12" s="1">
        <f t="shared" si="16"/>
        <v>4.2874646285627281E-2</v>
      </c>
      <c r="U12" s="1">
        <f t="shared" si="4"/>
        <v>2.3937932056078554E-2</v>
      </c>
      <c r="V12" s="1">
        <f t="shared" si="5"/>
        <v>1.2629752838115946E-2</v>
      </c>
      <c r="W12" s="1">
        <f t="shared" si="6"/>
        <v>4.0360367639778717E-2</v>
      </c>
      <c r="Y12" s="1" t="s">
        <v>13</v>
      </c>
      <c r="Z12" s="1">
        <f t="shared" si="7"/>
        <v>1.2862393885688184E-2</v>
      </c>
      <c r="AA12" s="1">
        <f t="shared" si="8"/>
        <v>4.7875864112157107E-3</v>
      </c>
      <c r="AB12" s="1">
        <f t="shared" si="9"/>
        <v>3.7889258514347836E-3</v>
      </c>
      <c r="AC12" s="1">
        <f t="shared" si="10"/>
        <v>8.0720735279557441E-3</v>
      </c>
      <c r="AK12" s="17" t="s">
        <v>601</v>
      </c>
      <c r="AL12" s="17">
        <f t="shared" si="11"/>
        <v>2.0080565390272795E-2</v>
      </c>
      <c r="AM12" s="17">
        <f t="shared" si="12"/>
        <v>2.0655327985097713E-2</v>
      </c>
      <c r="AO12" s="17" t="s">
        <v>1313</v>
      </c>
      <c r="AP12" s="17">
        <f t="shared" si="13"/>
        <v>1.0492781572557983</v>
      </c>
      <c r="AR12" s="1" t="s">
        <v>13</v>
      </c>
      <c r="AS12" s="17">
        <f t="shared" si="14"/>
        <v>1.0492781572557983</v>
      </c>
      <c r="AT12" s="17">
        <f t="shared" si="15"/>
        <v>123</v>
      </c>
    </row>
    <row r="13" spans="1:46" x14ac:dyDescent="0.3">
      <c r="F13" s="1">
        <v>11</v>
      </c>
      <c r="G13" s="1" t="s">
        <v>14</v>
      </c>
      <c r="H13" s="1">
        <v>4</v>
      </c>
      <c r="I13" s="1">
        <v>50</v>
      </c>
      <c r="J13" s="1">
        <v>2</v>
      </c>
      <c r="K13" s="1">
        <v>3</v>
      </c>
      <c r="M13" s="1" t="s">
        <v>14</v>
      </c>
      <c r="N13" s="1">
        <f t="shared" si="0"/>
        <v>0.5714285714285714</v>
      </c>
      <c r="O13" s="1">
        <f t="shared" si="1"/>
        <v>0.47619047619047616</v>
      </c>
      <c r="P13" s="1">
        <f t="shared" si="2"/>
        <v>0.5</v>
      </c>
      <c r="Q13" s="1">
        <f t="shared" si="3"/>
        <v>1</v>
      </c>
      <c r="S13" s="1" t="s">
        <v>14</v>
      </c>
      <c r="T13" s="1">
        <f t="shared" si="16"/>
        <v>5.7166195047503046E-2</v>
      </c>
      <c r="U13" s="1">
        <f t="shared" si="4"/>
        <v>3.6269594024361446E-2</v>
      </c>
      <c r="V13" s="1">
        <f t="shared" si="5"/>
        <v>3.1574382095289864E-2</v>
      </c>
      <c r="W13" s="1">
        <f t="shared" si="6"/>
        <v>4.0360367639778717E-2</v>
      </c>
      <c r="Y13" s="1" t="s">
        <v>14</v>
      </c>
      <c r="Z13" s="1">
        <f t="shared" si="7"/>
        <v>1.7149858514250913E-2</v>
      </c>
      <c r="AA13" s="1">
        <f t="shared" si="8"/>
        <v>7.2539188048722893E-3</v>
      </c>
      <c r="AB13" s="1">
        <f t="shared" si="9"/>
        <v>9.4723146285869593E-3</v>
      </c>
      <c r="AC13" s="1">
        <f t="shared" si="10"/>
        <v>8.0720735279557441E-3</v>
      </c>
      <c r="AK13" s="17" t="s">
        <v>602</v>
      </c>
      <c r="AL13" s="17">
        <f t="shared" si="11"/>
        <v>1.616822449981261E-2</v>
      </c>
      <c r="AM13" s="17">
        <f t="shared" si="12"/>
        <v>2.0719630592878506E-2</v>
      </c>
      <c r="AO13" s="17" t="s">
        <v>1314</v>
      </c>
      <c r="AP13" s="17">
        <f t="shared" si="13"/>
        <v>1.3022227785185303</v>
      </c>
      <c r="AR13" s="1" t="s">
        <v>14</v>
      </c>
      <c r="AS13" s="17">
        <f t="shared" si="14"/>
        <v>1.3022227785185303</v>
      </c>
      <c r="AT13" s="17">
        <f t="shared" si="15"/>
        <v>62</v>
      </c>
    </row>
    <row r="14" spans="1:46" x14ac:dyDescent="0.3">
      <c r="F14" s="1">
        <v>12</v>
      </c>
      <c r="G14" s="1" t="s">
        <v>15</v>
      </c>
      <c r="H14" s="1">
        <v>3</v>
      </c>
      <c r="I14" s="1">
        <v>65</v>
      </c>
      <c r="J14" s="1">
        <v>2</v>
      </c>
      <c r="K14" s="1">
        <v>3</v>
      </c>
      <c r="M14" s="1" t="s">
        <v>15</v>
      </c>
      <c r="N14" s="1">
        <f t="shared" si="0"/>
        <v>0.42857142857142855</v>
      </c>
      <c r="O14" s="1">
        <f t="shared" si="1"/>
        <v>0.61904761904761907</v>
      </c>
      <c r="P14" s="1">
        <f t="shared" si="2"/>
        <v>0.5</v>
      </c>
      <c r="Q14" s="1">
        <f t="shared" si="3"/>
        <v>1</v>
      </c>
      <c r="S14" s="1" t="s">
        <v>15</v>
      </c>
      <c r="T14" s="1">
        <f t="shared" si="16"/>
        <v>4.2874646285627281E-2</v>
      </c>
      <c r="U14" s="1">
        <f t="shared" si="4"/>
        <v>4.7150472231669883E-2</v>
      </c>
      <c r="V14" s="1">
        <f t="shared" si="5"/>
        <v>3.1574382095289864E-2</v>
      </c>
      <c r="W14" s="1">
        <f t="shared" si="6"/>
        <v>4.0360367639778717E-2</v>
      </c>
      <c r="Y14" s="1" t="s">
        <v>15</v>
      </c>
      <c r="Z14" s="1">
        <f t="shared" si="7"/>
        <v>1.2862393885688184E-2</v>
      </c>
      <c r="AA14" s="1">
        <f t="shared" si="8"/>
        <v>9.4300944463339767E-3</v>
      </c>
      <c r="AB14" s="1">
        <f t="shared" si="9"/>
        <v>9.4723146285869593E-3</v>
      </c>
      <c r="AC14" s="1">
        <f t="shared" si="10"/>
        <v>8.0720735279557441E-3</v>
      </c>
      <c r="AK14" s="17" t="s">
        <v>603</v>
      </c>
      <c r="AL14" s="17">
        <f t="shared" si="11"/>
        <v>1.8976167457861428E-2</v>
      </c>
      <c r="AM14" s="17">
        <f t="shared" si="12"/>
        <v>1.7973381966588892E-2</v>
      </c>
      <c r="AO14" s="17" t="s">
        <v>1315</v>
      </c>
      <c r="AP14" s="17">
        <f t="shared" si="13"/>
        <v>0.96512891305581827</v>
      </c>
      <c r="AR14" s="1" t="s">
        <v>15</v>
      </c>
      <c r="AS14" s="17">
        <f t="shared" si="14"/>
        <v>0.96512891305581827</v>
      </c>
      <c r="AT14" s="17">
        <f t="shared" si="15"/>
        <v>151</v>
      </c>
    </row>
    <row r="15" spans="1:46" x14ac:dyDescent="0.3">
      <c r="F15" s="1">
        <v>13</v>
      </c>
      <c r="G15" s="1" t="s">
        <v>16</v>
      </c>
      <c r="H15" s="1">
        <v>3</v>
      </c>
      <c r="I15" s="1">
        <v>36</v>
      </c>
      <c r="J15" s="1">
        <v>2</v>
      </c>
      <c r="K15" s="1">
        <v>3</v>
      </c>
      <c r="M15" s="1" t="s">
        <v>16</v>
      </c>
      <c r="N15" s="1">
        <f t="shared" si="0"/>
        <v>0.42857142857142855</v>
      </c>
      <c r="O15" s="1">
        <f t="shared" si="1"/>
        <v>0.34285714285714286</v>
      </c>
      <c r="P15" s="1">
        <f t="shared" si="2"/>
        <v>0.5</v>
      </c>
      <c r="Q15" s="1">
        <f t="shared" si="3"/>
        <v>1</v>
      </c>
      <c r="S15" s="1" t="s">
        <v>16</v>
      </c>
      <c r="T15" s="1">
        <f t="shared" si="16"/>
        <v>4.2874646285627281E-2</v>
      </c>
      <c r="U15" s="1">
        <f t="shared" si="4"/>
        <v>2.6114107697540242E-2</v>
      </c>
      <c r="V15" s="1">
        <f t="shared" si="5"/>
        <v>3.1574382095289864E-2</v>
      </c>
      <c r="W15" s="1">
        <f t="shared" si="6"/>
        <v>4.0360367639778717E-2</v>
      </c>
      <c r="Y15" s="1" t="s">
        <v>16</v>
      </c>
      <c r="Z15" s="1">
        <f t="shared" si="7"/>
        <v>1.2862393885688184E-2</v>
      </c>
      <c r="AA15" s="1">
        <f t="shared" si="8"/>
        <v>5.2228215395080484E-3</v>
      </c>
      <c r="AB15" s="1">
        <f t="shared" si="9"/>
        <v>9.4723146285869593E-3</v>
      </c>
      <c r="AC15" s="1">
        <f t="shared" si="10"/>
        <v>8.0720735279557441E-3</v>
      </c>
      <c r="AK15" s="17" t="s">
        <v>604</v>
      </c>
      <c r="AL15" s="17">
        <f t="shared" si="11"/>
        <v>2.0654946680904247E-2</v>
      </c>
      <c r="AM15" s="17">
        <f t="shared" si="12"/>
        <v>1.697794313257648E-2</v>
      </c>
      <c r="AO15" s="17" t="s">
        <v>1316</v>
      </c>
      <c r="AP15" s="17">
        <f t="shared" si="13"/>
        <v>0.83895746188257159</v>
      </c>
      <c r="AR15" s="1" t="s">
        <v>16</v>
      </c>
      <c r="AS15" s="17">
        <f t="shared" si="14"/>
        <v>0.83895746188257159</v>
      </c>
      <c r="AT15" s="17">
        <f t="shared" si="15"/>
        <v>276</v>
      </c>
    </row>
    <row r="16" spans="1:46" x14ac:dyDescent="0.3">
      <c r="F16" s="1">
        <v>14</v>
      </c>
      <c r="G16" s="1" t="s">
        <v>16</v>
      </c>
      <c r="H16" s="1">
        <v>1</v>
      </c>
      <c r="I16" s="1">
        <v>32</v>
      </c>
      <c r="J16" s="1">
        <v>2</v>
      </c>
      <c r="K16" s="1">
        <v>3</v>
      </c>
      <c r="M16" s="1" t="s">
        <v>16</v>
      </c>
      <c r="N16" s="1">
        <f t="shared" si="0"/>
        <v>0.14285714285714285</v>
      </c>
      <c r="O16" s="1">
        <f t="shared" si="1"/>
        <v>0.30476190476190479</v>
      </c>
      <c r="P16" s="1">
        <f t="shared" si="2"/>
        <v>0.5</v>
      </c>
      <c r="Q16" s="1">
        <f t="shared" si="3"/>
        <v>1</v>
      </c>
      <c r="S16" s="1" t="s">
        <v>16</v>
      </c>
      <c r="T16" s="1">
        <f t="shared" si="16"/>
        <v>1.4291548761875762E-2</v>
      </c>
      <c r="U16" s="1">
        <f t="shared" si="4"/>
        <v>2.321254017559133E-2</v>
      </c>
      <c r="V16" s="1">
        <f t="shared" si="5"/>
        <v>3.1574382095289864E-2</v>
      </c>
      <c r="W16" s="1">
        <f t="shared" si="6"/>
        <v>4.0360367639778717E-2</v>
      </c>
      <c r="Y16" s="1" t="s">
        <v>16</v>
      </c>
      <c r="Z16" s="1">
        <f t="shared" si="7"/>
        <v>4.2874646285627283E-3</v>
      </c>
      <c r="AA16" s="1">
        <f t="shared" si="8"/>
        <v>4.642508035118266E-3</v>
      </c>
      <c r="AB16" s="1">
        <f t="shared" si="9"/>
        <v>9.4723146285869593E-3</v>
      </c>
      <c r="AC16" s="1">
        <f t="shared" si="10"/>
        <v>8.0720735279557441E-3</v>
      </c>
      <c r="AK16" s="17" t="s">
        <v>605</v>
      </c>
      <c r="AL16" s="17">
        <f t="shared" si="11"/>
        <v>2.8394171845898535E-2</v>
      </c>
      <c r="AM16" s="17">
        <f t="shared" si="12"/>
        <v>1.1797082135143662E-2</v>
      </c>
      <c r="AO16" s="17" t="s">
        <v>1317</v>
      </c>
      <c r="AP16" s="17">
        <f t="shared" si="13"/>
        <v>0.42727256066535202</v>
      </c>
      <c r="AR16" s="1" t="s">
        <v>16</v>
      </c>
      <c r="AS16" s="17">
        <f t="shared" si="14"/>
        <v>0.42727256066535202</v>
      </c>
      <c r="AT16" s="17">
        <f t="shared" si="15"/>
        <v>580</v>
      </c>
    </row>
    <row r="17" spans="6:46" x14ac:dyDescent="0.3">
      <c r="F17" s="1">
        <v>15</v>
      </c>
      <c r="G17" s="1" t="s">
        <v>16</v>
      </c>
      <c r="H17" s="1">
        <v>3</v>
      </c>
      <c r="I17" s="1">
        <v>37</v>
      </c>
      <c r="J17" s="1">
        <v>1</v>
      </c>
      <c r="K17" s="1">
        <v>3</v>
      </c>
      <c r="M17" s="1" t="s">
        <v>16</v>
      </c>
      <c r="N17" s="1">
        <f t="shared" si="0"/>
        <v>0.42857142857142855</v>
      </c>
      <c r="O17" s="1">
        <f t="shared" si="1"/>
        <v>0.35238095238095241</v>
      </c>
      <c r="P17" s="1">
        <f t="shared" si="2"/>
        <v>1</v>
      </c>
      <c r="Q17" s="1">
        <f t="shared" si="3"/>
        <v>1</v>
      </c>
      <c r="S17" s="1" t="s">
        <v>16</v>
      </c>
      <c r="T17" s="1">
        <f t="shared" si="16"/>
        <v>4.2874646285627281E-2</v>
      </c>
      <c r="U17" s="1">
        <f t="shared" si="4"/>
        <v>2.6839499578027472E-2</v>
      </c>
      <c r="V17" s="1">
        <f t="shared" si="5"/>
        <v>6.3148764190579729E-2</v>
      </c>
      <c r="W17" s="1">
        <f t="shared" si="6"/>
        <v>4.0360367639778717E-2</v>
      </c>
      <c r="Y17" s="1" t="s">
        <v>16</v>
      </c>
      <c r="Z17" s="1">
        <f t="shared" si="7"/>
        <v>1.2862393885688184E-2</v>
      </c>
      <c r="AA17" s="1">
        <f t="shared" si="8"/>
        <v>5.3678999156054948E-3</v>
      </c>
      <c r="AB17" s="1">
        <f t="shared" si="9"/>
        <v>1.8944629257173919E-2</v>
      </c>
      <c r="AC17" s="1">
        <f t="shared" si="10"/>
        <v>8.0720735279557441E-3</v>
      </c>
      <c r="AK17" s="17" t="s">
        <v>606</v>
      </c>
      <c r="AL17" s="17">
        <f t="shared" si="11"/>
        <v>2.4922634700158691E-2</v>
      </c>
      <c r="AM17" s="17">
        <f t="shared" si="12"/>
        <v>1.4111562383775209E-2</v>
      </c>
      <c r="AO17" s="17" t="s">
        <v>1318</v>
      </c>
      <c r="AP17" s="17">
        <f t="shared" si="13"/>
        <v>0.58032627256790181</v>
      </c>
      <c r="AR17" s="1" t="s">
        <v>16</v>
      </c>
      <c r="AS17" s="17">
        <f t="shared" si="14"/>
        <v>0.58032627256790181</v>
      </c>
      <c r="AT17" s="17">
        <f t="shared" si="15"/>
        <v>469</v>
      </c>
    </row>
    <row r="18" spans="6:46" x14ac:dyDescent="0.3">
      <c r="F18" s="1">
        <v>16</v>
      </c>
      <c r="G18" s="1" t="s">
        <v>17</v>
      </c>
      <c r="H18" s="1">
        <v>2</v>
      </c>
      <c r="I18" s="1">
        <v>25</v>
      </c>
      <c r="J18" s="1">
        <v>2</v>
      </c>
      <c r="K18" s="1">
        <v>3</v>
      </c>
      <c r="M18" s="1" t="s">
        <v>17</v>
      </c>
      <c r="N18" s="1">
        <f t="shared" si="0"/>
        <v>0.2857142857142857</v>
      </c>
      <c r="O18" s="1">
        <f t="shared" si="1"/>
        <v>0.23809523809523808</v>
      </c>
      <c r="P18" s="1">
        <f t="shared" si="2"/>
        <v>0.5</v>
      </c>
      <c r="Q18" s="1">
        <f t="shared" si="3"/>
        <v>1</v>
      </c>
      <c r="S18" s="1" t="s">
        <v>17</v>
      </c>
      <c r="T18" s="1">
        <f t="shared" si="16"/>
        <v>2.8583097523751523E-2</v>
      </c>
      <c r="U18" s="1">
        <f t="shared" si="4"/>
        <v>1.8134797012180723E-2</v>
      </c>
      <c r="V18" s="1">
        <f t="shared" si="5"/>
        <v>3.1574382095289864E-2</v>
      </c>
      <c r="W18" s="1">
        <f t="shared" si="6"/>
        <v>4.0360367639778717E-2</v>
      </c>
      <c r="Y18" s="1" t="s">
        <v>17</v>
      </c>
      <c r="Z18" s="1">
        <f t="shared" si="7"/>
        <v>8.5749292571254566E-3</v>
      </c>
      <c r="AA18" s="1">
        <f t="shared" si="8"/>
        <v>3.6269594024361447E-3</v>
      </c>
      <c r="AB18" s="1">
        <f t="shared" si="9"/>
        <v>9.4723146285869593E-3</v>
      </c>
      <c r="AC18" s="1">
        <f t="shared" si="10"/>
        <v>8.0720735279557441E-3</v>
      </c>
      <c r="AK18" s="17" t="s">
        <v>607</v>
      </c>
      <c r="AL18" s="17">
        <f t="shared" si="11"/>
        <v>2.5031285162223155E-2</v>
      </c>
      <c r="AM18" s="17">
        <f t="shared" si="12"/>
        <v>1.3870935866863773E-2</v>
      </c>
      <c r="AO18" s="17" t="s">
        <v>1319</v>
      </c>
      <c r="AP18" s="17">
        <f t="shared" si="13"/>
        <v>0.56801491117491476</v>
      </c>
      <c r="AR18" s="1" t="s">
        <v>17</v>
      </c>
      <c r="AS18" s="17">
        <f t="shared" si="14"/>
        <v>0.56801491117491476</v>
      </c>
      <c r="AT18" s="17">
        <f t="shared" si="15"/>
        <v>495</v>
      </c>
    </row>
    <row r="19" spans="6:46" x14ac:dyDescent="0.3">
      <c r="F19" s="1">
        <v>17</v>
      </c>
      <c r="G19" s="1" t="s">
        <v>18</v>
      </c>
      <c r="H19" s="1">
        <v>2</v>
      </c>
      <c r="I19" s="1">
        <v>32</v>
      </c>
      <c r="J19" s="1">
        <v>1</v>
      </c>
      <c r="K19" s="1">
        <v>3</v>
      </c>
      <c r="M19" s="1" t="s">
        <v>18</v>
      </c>
      <c r="N19" s="1">
        <f t="shared" si="0"/>
        <v>0.2857142857142857</v>
      </c>
      <c r="O19" s="1">
        <f t="shared" si="1"/>
        <v>0.30476190476190479</v>
      </c>
      <c r="P19" s="1">
        <f t="shared" si="2"/>
        <v>1</v>
      </c>
      <c r="Q19" s="1">
        <f t="shared" si="3"/>
        <v>1</v>
      </c>
      <c r="S19" s="1" t="s">
        <v>18</v>
      </c>
      <c r="T19" s="1">
        <f t="shared" si="16"/>
        <v>2.8583097523751523E-2</v>
      </c>
      <c r="U19" s="1">
        <f t="shared" si="4"/>
        <v>2.321254017559133E-2</v>
      </c>
      <c r="V19" s="1">
        <f t="shared" si="5"/>
        <v>6.3148764190579729E-2</v>
      </c>
      <c r="W19" s="1">
        <f t="shared" si="6"/>
        <v>4.0360367639778717E-2</v>
      </c>
      <c r="Y19" s="1" t="s">
        <v>18</v>
      </c>
      <c r="Z19" s="1">
        <f t="shared" si="7"/>
        <v>8.5749292571254566E-3</v>
      </c>
      <c r="AA19" s="1">
        <f t="shared" si="8"/>
        <v>4.642508035118266E-3</v>
      </c>
      <c r="AB19" s="1">
        <f t="shared" si="9"/>
        <v>1.8944629257173919E-2</v>
      </c>
      <c r="AC19" s="1">
        <f t="shared" si="10"/>
        <v>8.0720735279557441E-3</v>
      </c>
      <c r="AK19" s="17" t="s">
        <v>608</v>
      </c>
      <c r="AL19" s="17">
        <f t="shared" si="11"/>
        <v>2.8309319140381116E-2</v>
      </c>
      <c r="AM19" s="17">
        <f t="shared" si="12"/>
        <v>1.0227094470274187E-2</v>
      </c>
      <c r="AO19" s="17" t="s">
        <v>1320</v>
      </c>
      <c r="AP19" s="17">
        <f t="shared" si="13"/>
        <v>0.37148956141834028</v>
      </c>
      <c r="AR19" s="1" t="s">
        <v>18</v>
      </c>
      <c r="AS19" s="17">
        <f t="shared" si="14"/>
        <v>0.37148956141834028</v>
      </c>
      <c r="AT19" s="17">
        <f t="shared" si="15"/>
        <v>618</v>
      </c>
    </row>
    <row r="20" spans="6:46" x14ac:dyDescent="0.3">
      <c r="F20" s="1">
        <v>18</v>
      </c>
      <c r="G20" s="1" t="s">
        <v>19</v>
      </c>
      <c r="H20" s="1">
        <v>3</v>
      </c>
      <c r="I20" s="1">
        <v>45</v>
      </c>
      <c r="J20" s="1">
        <v>2</v>
      </c>
      <c r="K20" s="1">
        <v>3</v>
      </c>
      <c r="M20" s="1" t="s">
        <v>19</v>
      </c>
      <c r="N20" s="1">
        <f t="shared" si="0"/>
        <v>0.42857142857142855</v>
      </c>
      <c r="O20" s="1">
        <f t="shared" si="1"/>
        <v>0.42857142857142855</v>
      </c>
      <c r="P20" s="1">
        <f t="shared" si="2"/>
        <v>0.5</v>
      </c>
      <c r="Q20" s="1">
        <f t="shared" si="3"/>
        <v>1</v>
      </c>
      <c r="S20" s="1" t="s">
        <v>19</v>
      </c>
      <c r="T20" s="1">
        <f t="shared" si="16"/>
        <v>4.2874646285627281E-2</v>
      </c>
      <c r="U20" s="1">
        <f t="shared" si="4"/>
        <v>3.26426346219253E-2</v>
      </c>
      <c r="V20" s="1">
        <f t="shared" si="5"/>
        <v>3.1574382095289864E-2</v>
      </c>
      <c r="W20" s="1">
        <f t="shared" si="6"/>
        <v>4.0360367639778717E-2</v>
      </c>
      <c r="Y20" s="1" t="s">
        <v>19</v>
      </c>
      <c r="Z20" s="1">
        <f t="shared" si="7"/>
        <v>1.2862393885688184E-2</v>
      </c>
      <c r="AA20" s="1">
        <f t="shared" si="8"/>
        <v>6.5285269243850605E-3</v>
      </c>
      <c r="AB20" s="1">
        <f t="shared" si="9"/>
        <v>9.4723146285869593E-3</v>
      </c>
      <c r="AC20" s="1">
        <f t="shared" si="10"/>
        <v>8.0720735279557441E-3</v>
      </c>
      <c r="AK20" s="17" t="s">
        <v>609</v>
      </c>
      <c r="AL20" s="17">
        <f t="shared" si="11"/>
        <v>2.0054685283268418E-2</v>
      </c>
      <c r="AM20" s="17">
        <f t="shared" si="12"/>
        <v>1.7183115225077431E-2</v>
      </c>
      <c r="AO20" s="17" t="s">
        <v>1321</v>
      </c>
      <c r="AP20" s="17">
        <f t="shared" si="13"/>
        <v>0.87399612337600907</v>
      </c>
      <c r="AR20" s="1" t="s">
        <v>19</v>
      </c>
      <c r="AS20" s="17">
        <f t="shared" si="14"/>
        <v>0.87399612337600907</v>
      </c>
      <c r="AT20" s="17">
        <f t="shared" si="15"/>
        <v>210</v>
      </c>
    </row>
    <row r="21" spans="6:46" x14ac:dyDescent="0.3">
      <c r="F21" s="1">
        <v>19</v>
      </c>
      <c r="G21" s="1" t="s">
        <v>20</v>
      </c>
      <c r="H21" s="1">
        <v>3</v>
      </c>
      <c r="I21" s="1">
        <v>35</v>
      </c>
      <c r="J21" s="1">
        <v>1</v>
      </c>
      <c r="K21" s="1">
        <v>3</v>
      </c>
      <c r="M21" s="1" t="s">
        <v>20</v>
      </c>
      <c r="N21" s="1">
        <f t="shared" si="0"/>
        <v>0.42857142857142855</v>
      </c>
      <c r="O21" s="1">
        <f t="shared" si="1"/>
        <v>0.33333333333333331</v>
      </c>
      <c r="P21" s="1">
        <f t="shared" si="2"/>
        <v>1</v>
      </c>
      <c r="Q21" s="1">
        <f t="shared" si="3"/>
        <v>1</v>
      </c>
      <c r="S21" s="1" t="s">
        <v>20</v>
      </c>
      <c r="T21" s="1">
        <f t="shared" si="16"/>
        <v>4.2874646285627281E-2</v>
      </c>
      <c r="U21" s="1">
        <f t="shared" si="4"/>
        <v>2.5388715817053011E-2</v>
      </c>
      <c r="V21" s="1">
        <f t="shared" si="5"/>
        <v>6.3148764190579729E-2</v>
      </c>
      <c r="W21" s="1">
        <f t="shared" si="6"/>
        <v>4.0360367639778717E-2</v>
      </c>
      <c r="Y21" s="1" t="s">
        <v>20</v>
      </c>
      <c r="Z21" s="1">
        <f t="shared" si="7"/>
        <v>1.2862393885688184E-2</v>
      </c>
      <c r="AA21" s="1">
        <f t="shared" si="8"/>
        <v>5.0777431634106028E-3</v>
      </c>
      <c r="AB21" s="1">
        <f t="shared" si="9"/>
        <v>1.8944629257173919E-2</v>
      </c>
      <c r="AC21" s="1">
        <f t="shared" si="10"/>
        <v>8.0720735279557441E-3</v>
      </c>
      <c r="AK21" s="17" t="s">
        <v>610</v>
      </c>
      <c r="AL21" s="17">
        <f t="shared" si="11"/>
        <v>2.5038907630242378E-2</v>
      </c>
      <c r="AM21" s="17">
        <f t="shared" si="12"/>
        <v>1.406973772816535E-2</v>
      </c>
      <c r="AO21" s="17" t="s">
        <v>1322</v>
      </c>
      <c r="AP21" s="17">
        <f t="shared" si="13"/>
        <v>0.57598473561616037</v>
      </c>
      <c r="AR21" s="1" t="s">
        <v>20</v>
      </c>
      <c r="AS21" s="17">
        <f t="shared" si="14"/>
        <v>0.57598473561616037</v>
      </c>
      <c r="AT21" s="17">
        <f t="shared" si="15"/>
        <v>480</v>
      </c>
    </row>
    <row r="22" spans="6:46" x14ac:dyDescent="0.3">
      <c r="F22" s="1">
        <v>20</v>
      </c>
      <c r="G22" s="1" t="s">
        <v>21</v>
      </c>
      <c r="H22" s="1">
        <v>2</v>
      </c>
      <c r="I22" s="1">
        <v>24</v>
      </c>
      <c r="J22" s="1">
        <v>5</v>
      </c>
      <c r="K22" s="1">
        <v>3</v>
      </c>
      <c r="M22" s="1" t="s">
        <v>21</v>
      </c>
      <c r="N22" s="1">
        <f t="shared" si="0"/>
        <v>0.2857142857142857</v>
      </c>
      <c r="O22" s="1">
        <f t="shared" si="1"/>
        <v>0.22857142857142856</v>
      </c>
      <c r="P22" s="1">
        <f t="shared" si="2"/>
        <v>0.2</v>
      </c>
      <c r="Q22" s="1">
        <f t="shared" si="3"/>
        <v>1</v>
      </c>
      <c r="S22" s="1" t="s">
        <v>21</v>
      </c>
      <c r="T22" s="1">
        <f t="shared" si="16"/>
        <v>2.8583097523751523E-2</v>
      </c>
      <c r="U22" s="1">
        <f t="shared" si="4"/>
        <v>1.7409405131693496E-2</v>
      </c>
      <c r="V22" s="1">
        <f t="shared" si="5"/>
        <v>1.2629752838115946E-2</v>
      </c>
      <c r="W22" s="1">
        <f t="shared" si="6"/>
        <v>4.0360367639778717E-2</v>
      </c>
      <c r="Y22" s="1" t="s">
        <v>21</v>
      </c>
      <c r="Z22" s="1">
        <f t="shared" si="7"/>
        <v>8.5749292571254566E-3</v>
      </c>
      <c r="AA22" s="1">
        <f t="shared" si="8"/>
        <v>3.4818810263386995E-3</v>
      </c>
      <c r="AB22" s="1">
        <f t="shared" si="9"/>
        <v>3.7889258514347836E-3</v>
      </c>
      <c r="AC22" s="1">
        <f t="shared" si="10"/>
        <v>8.0720735279557441E-3</v>
      </c>
      <c r="AK22" s="17" t="s">
        <v>611</v>
      </c>
      <c r="AL22" s="17">
        <f t="shared" si="11"/>
        <v>2.4446942840552811E-2</v>
      </c>
      <c r="AM22" s="17">
        <f t="shared" si="12"/>
        <v>1.8228226036737166E-2</v>
      </c>
      <c r="AO22" s="17" t="s">
        <v>1323</v>
      </c>
      <c r="AP22" s="17">
        <f t="shared" si="13"/>
        <v>0.76385217401357863</v>
      </c>
      <c r="AR22" s="1" t="s">
        <v>21</v>
      </c>
      <c r="AS22" s="17">
        <f t="shared" si="14"/>
        <v>0.76385217401357863</v>
      </c>
      <c r="AT22" s="17">
        <f t="shared" si="15"/>
        <v>321</v>
      </c>
    </row>
    <row r="23" spans="6:46" x14ac:dyDescent="0.3">
      <c r="F23" s="1">
        <v>21</v>
      </c>
      <c r="G23" s="1" t="s">
        <v>22</v>
      </c>
      <c r="H23" s="1">
        <v>1</v>
      </c>
      <c r="I23" s="1">
        <v>52</v>
      </c>
      <c r="J23" s="1">
        <v>4</v>
      </c>
      <c r="K23" s="1">
        <v>3</v>
      </c>
      <c r="M23" s="1" t="s">
        <v>22</v>
      </c>
      <c r="N23" s="1">
        <f t="shared" si="0"/>
        <v>0.14285714285714285</v>
      </c>
      <c r="O23" s="1">
        <f t="shared" si="1"/>
        <v>0.49523809523809526</v>
      </c>
      <c r="P23" s="1">
        <f t="shared" si="2"/>
        <v>0.25</v>
      </c>
      <c r="Q23" s="1">
        <f t="shared" si="3"/>
        <v>1</v>
      </c>
      <c r="S23" s="1" t="s">
        <v>22</v>
      </c>
      <c r="T23" s="1">
        <f t="shared" si="16"/>
        <v>1.4291548761875762E-2</v>
      </c>
      <c r="U23" s="1">
        <f t="shared" si="4"/>
        <v>3.7720377785335907E-2</v>
      </c>
      <c r="V23" s="1">
        <f t="shared" si="5"/>
        <v>1.5787191047644932E-2</v>
      </c>
      <c r="W23" s="1">
        <f t="shared" si="6"/>
        <v>4.0360367639778717E-2</v>
      </c>
      <c r="Y23" s="1" t="s">
        <v>22</v>
      </c>
      <c r="Z23" s="1">
        <f t="shared" si="7"/>
        <v>4.2874646285627283E-3</v>
      </c>
      <c r="AA23" s="1">
        <f t="shared" si="8"/>
        <v>7.5440755570671814E-3</v>
      </c>
      <c r="AB23" s="1">
        <f t="shared" si="9"/>
        <v>4.7361573142934797E-3</v>
      </c>
      <c r="AC23" s="1">
        <f t="shared" si="10"/>
        <v>8.0720735279557441E-3</v>
      </c>
      <c r="AK23" s="17" t="s">
        <v>612</v>
      </c>
      <c r="AL23" s="17">
        <f t="shared" si="11"/>
        <v>2.6866057424461926E-2</v>
      </c>
      <c r="AM23" s="17">
        <f t="shared" si="12"/>
        <v>1.637575236747495E-2</v>
      </c>
      <c r="AO23" s="17" t="s">
        <v>1324</v>
      </c>
      <c r="AP23" s="17">
        <f t="shared" si="13"/>
        <v>0.62590889333979316</v>
      </c>
      <c r="AR23" s="1" t="s">
        <v>22</v>
      </c>
      <c r="AS23" s="17">
        <f t="shared" si="14"/>
        <v>0.62590889333979316</v>
      </c>
      <c r="AT23" s="17">
        <f t="shared" si="15"/>
        <v>407</v>
      </c>
    </row>
    <row r="24" spans="6:46" x14ac:dyDescent="0.3">
      <c r="F24" s="1">
        <v>22</v>
      </c>
      <c r="G24" s="1" t="s">
        <v>23</v>
      </c>
      <c r="H24" s="1">
        <v>2</v>
      </c>
      <c r="I24" s="1">
        <v>69</v>
      </c>
      <c r="J24" s="1">
        <v>2</v>
      </c>
      <c r="K24" s="1">
        <v>3</v>
      </c>
      <c r="M24" s="1" t="s">
        <v>23</v>
      </c>
      <c r="N24" s="1">
        <f t="shared" si="0"/>
        <v>0.2857142857142857</v>
      </c>
      <c r="O24" s="1">
        <f t="shared" si="1"/>
        <v>0.65714285714285714</v>
      </c>
      <c r="P24" s="1">
        <f t="shared" si="2"/>
        <v>0.5</v>
      </c>
      <c r="Q24" s="1">
        <f t="shared" si="3"/>
        <v>1</v>
      </c>
      <c r="S24" s="1" t="s">
        <v>23</v>
      </c>
      <c r="T24" s="1">
        <f t="shared" si="16"/>
        <v>2.8583097523751523E-2</v>
      </c>
      <c r="U24" s="1">
        <f t="shared" si="4"/>
        <v>5.0052039753618799E-2</v>
      </c>
      <c r="V24" s="1">
        <f t="shared" si="5"/>
        <v>3.1574382095289864E-2</v>
      </c>
      <c r="W24" s="1">
        <f t="shared" si="6"/>
        <v>4.0360367639778717E-2</v>
      </c>
      <c r="Y24" s="1" t="s">
        <v>23</v>
      </c>
      <c r="Z24" s="1">
        <f t="shared" si="7"/>
        <v>8.5749292571254566E-3</v>
      </c>
      <c r="AA24" s="1">
        <f t="shared" si="8"/>
        <v>1.0010407950723761E-2</v>
      </c>
      <c r="AB24" s="1">
        <f t="shared" si="9"/>
        <v>9.4723146285869593E-3</v>
      </c>
      <c r="AC24" s="1">
        <f t="shared" si="10"/>
        <v>8.0720735279557441E-3</v>
      </c>
      <c r="AK24" s="17" t="s">
        <v>613</v>
      </c>
      <c r="AL24" s="17">
        <f t="shared" si="11"/>
        <v>2.2784591204479003E-2</v>
      </c>
      <c r="AM24" s="17">
        <f t="shared" si="12"/>
        <v>1.5450174085977351E-2</v>
      </c>
      <c r="AO24" s="17" t="s">
        <v>1325</v>
      </c>
      <c r="AP24" s="17">
        <f t="shared" si="13"/>
        <v>0.6935476631881804</v>
      </c>
      <c r="AR24" s="1" t="s">
        <v>23</v>
      </c>
      <c r="AS24" s="17">
        <f t="shared" si="14"/>
        <v>0.6935476631881804</v>
      </c>
      <c r="AT24" s="17">
        <f t="shared" si="15"/>
        <v>352</v>
      </c>
    </row>
    <row r="25" spans="6:46" x14ac:dyDescent="0.3">
      <c r="F25" s="1">
        <v>23</v>
      </c>
      <c r="G25" s="1" t="s">
        <v>24</v>
      </c>
      <c r="H25" s="1">
        <v>4</v>
      </c>
      <c r="I25" s="1">
        <v>49</v>
      </c>
      <c r="J25" s="1">
        <v>1</v>
      </c>
      <c r="K25" s="1">
        <v>3</v>
      </c>
      <c r="M25" s="1" t="s">
        <v>24</v>
      </c>
      <c r="N25" s="1">
        <f t="shared" si="0"/>
        <v>0.5714285714285714</v>
      </c>
      <c r="O25" s="1">
        <f t="shared" si="1"/>
        <v>0.46666666666666667</v>
      </c>
      <c r="P25" s="1">
        <f t="shared" si="2"/>
        <v>1</v>
      </c>
      <c r="Q25" s="1">
        <f t="shared" si="3"/>
        <v>1</v>
      </c>
      <c r="S25" s="1" t="s">
        <v>24</v>
      </c>
      <c r="T25" s="1">
        <f t="shared" si="16"/>
        <v>5.7166195047503046E-2</v>
      </c>
      <c r="U25" s="1">
        <f t="shared" si="4"/>
        <v>3.5544202143874222E-2</v>
      </c>
      <c r="V25" s="1">
        <f t="shared" si="5"/>
        <v>6.3148764190579729E-2</v>
      </c>
      <c r="W25" s="1">
        <f t="shared" si="6"/>
        <v>4.0360367639778717E-2</v>
      </c>
      <c r="Y25" s="1" t="s">
        <v>24</v>
      </c>
      <c r="Z25" s="1">
        <f t="shared" si="7"/>
        <v>1.7149858514250913E-2</v>
      </c>
      <c r="AA25" s="1">
        <f t="shared" si="8"/>
        <v>7.1088404287748446E-3</v>
      </c>
      <c r="AB25" s="1">
        <f t="shared" si="9"/>
        <v>1.8944629257173919E-2</v>
      </c>
      <c r="AC25" s="1">
        <f t="shared" si="10"/>
        <v>8.0720735279557441E-3</v>
      </c>
      <c r="AK25" s="17" t="s">
        <v>614</v>
      </c>
      <c r="AL25" s="17">
        <f t="shared" si="11"/>
        <v>2.1474222216770582E-2</v>
      </c>
      <c r="AM25" s="17">
        <f t="shared" si="12"/>
        <v>1.8396214883660049E-2</v>
      </c>
      <c r="AO25" s="17" t="s">
        <v>1326</v>
      </c>
      <c r="AP25" s="17">
        <f t="shared" si="13"/>
        <v>0.87506122924181817</v>
      </c>
      <c r="AR25" s="1" t="s">
        <v>24</v>
      </c>
      <c r="AS25" s="17">
        <f t="shared" si="14"/>
        <v>0.87506122924181817</v>
      </c>
      <c r="AT25" s="17">
        <f t="shared" si="15"/>
        <v>209</v>
      </c>
    </row>
    <row r="26" spans="6:46" x14ac:dyDescent="0.3">
      <c r="F26" s="1">
        <v>24</v>
      </c>
      <c r="G26" s="1" t="s">
        <v>24</v>
      </c>
      <c r="H26" s="1">
        <v>4</v>
      </c>
      <c r="I26" s="1">
        <v>52</v>
      </c>
      <c r="J26" s="1">
        <v>4</v>
      </c>
      <c r="K26" s="1">
        <v>3</v>
      </c>
      <c r="M26" s="1" t="s">
        <v>24</v>
      </c>
      <c r="N26" s="1">
        <f t="shared" si="0"/>
        <v>0.5714285714285714</v>
      </c>
      <c r="O26" s="1">
        <f t="shared" si="1"/>
        <v>0.49523809523809526</v>
      </c>
      <c r="P26" s="1">
        <f t="shared" si="2"/>
        <v>0.25</v>
      </c>
      <c r="Q26" s="1">
        <f t="shared" si="3"/>
        <v>1</v>
      </c>
      <c r="S26" s="1" t="s">
        <v>24</v>
      </c>
      <c r="T26" s="1">
        <f t="shared" si="16"/>
        <v>5.7166195047503046E-2</v>
      </c>
      <c r="U26" s="1">
        <f t="shared" si="4"/>
        <v>3.7720377785335907E-2</v>
      </c>
      <c r="V26" s="1">
        <f t="shared" si="5"/>
        <v>1.5787191047644932E-2</v>
      </c>
      <c r="W26" s="1">
        <f t="shared" si="6"/>
        <v>4.0360367639778717E-2</v>
      </c>
      <c r="Y26" s="1" t="s">
        <v>24</v>
      </c>
      <c r="Z26" s="1">
        <f t="shared" si="7"/>
        <v>1.7149858514250913E-2</v>
      </c>
      <c r="AA26" s="1">
        <f t="shared" si="8"/>
        <v>7.5440755570671814E-3</v>
      </c>
      <c r="AB26" s="1">
        <f t="shared" si="9"/>
        <v>4.7361573142934797E-3</v>
      </c>
      <c r="AC26" s="1">
        <f t="shared" si="10"/>
        <v>8.0720735279557441E-3</v>
      </c>
      <c r="AK26" s="17" t="s">
        <v>615</v>
      </c>
      <c r="AL26" s="17">
        <f t="shared" si="11"/>
        <v>1.5015375856858172E-2</v>
      </c>
      <c r="AM26" s="17">
        <f t="shared" si="12"/>
        <v>2.3321675748507211E-2</v>
      </c>
      <c r="AO26" s="17" t="s">
        <v>1327</v>
      </c>
      <c r="AP26" s="17">
        <f t="shared" si="13"/>
        <v>1.5765079543227591</v>
      </c>
      <c r="AR26" s="1" t="s">
        <v>24</v>
      </c>
      <c r="AS26" s="17">
        <f t="shared" si="14"/>
        <v>1.5765079543227591</v>
      </c>
      <c r="AT26" s="17">
        <f t="shared" si="15"/>
        <v>32</v>
      </c>
    </row>
    <row r="27" spans="6:46" x14ac:dyDescent="0.3">
      <c r="F27" s="1">
        <v>25</v>
      </c>
      <c r="G27" s="1" t="s">
        <v>24</v>
      </c>
      <c r="H27" s="1">
        <v>2</v>
      </c>
      <c r="I27" s="1">
        <v>47</v>
      </c>
      <c r="J27" s="1">
        <v>2</v>
      </c>
      <c r="K27" s="1">
        <v>3</v>
      </c>
      <c r="M27" s="1" t="s">
        <v>24</v>
      </c>
      <c r="N27" s="1">
        <f t="shared" si="0"/>
        <v>0.2857142857142857</v>
      </c>
      <c r="O27" s="1">
        <f t="shared" si="1"/>
        <v>0.44761904761904764</v>
      </c>
      <c r="P27" s="1">
        <f t="shared" si="2"/>
        <v>0.5</v>
      </c>
      <c r="Q27" s="1">
        <f t="shared" si="3"/>
        <v>1</v>
      </c>
      <c r="S27" s="1" t="s">
        <v>24</v>
      </c>
      <c r="T27" s="1">
        <f t="shared" si="16"/>
        <v>2.8583097523751523E-2</v>
      </c>
      <c r="U27" s="1">
        <f t="shared" si="4"/>
        <v>3.4093418382899761E-2</v>
      </c>
      <c r="V27" s="1">
        <f t="shared" si="5"/>
        <v>3.1574382095289864E-2</v>
      </c>
      <c r="W27" s="1">
        <f t="shared" si="6"/>
        <v>4.0360367639778717E-2</v>
      </c>
      <c r="Y27" s="1" t="s">
        <v>24</v>
      </c>
      <c r="Z27" s="1">
        <f t="shared" si="7"/>
        <v>8.5749292571254566E-3</v>
      </c>
      <c r="AA27" s="1">
        <f t="shared" si="8"/>
        <v>6.8186836765799525E-3</v>
      </c>
      <c r="AB27" s="1">
        <f t="shared" si="9"/>
        <v>9.4723146285869593E-3</v>
      </c>
      <c r="AC27" s="1">
        <f t="shared" si="10"/>
        <v>8.0720735279557441E-3</v>
      </c>
      <c r="AK27" s="17" t="s">
        <v>616</v>
      </c>
      <c r="AL27" s="17">
        <f t="shared" si="11"/>
        <v>2.3720546215711787E-2</v>
      </c>
      <c r="AM27" s="17">
        <f t="shared" si="12"/>
        <v>1.4330675724217198E-2</v>
      </c>
      <c r="AO27" s="17" t="s">
        <v>1328</v>
      </c>
      <c r="AP27" s="17">
        <f t="shared" si="13"/>
        <v>0.61847678576298948</v>
      </c>
      <c r="AR27" s="1" t="s">
        <v>24</v>
      </c>
      <c r="AS27" s="17">
        <f t="shared" si="14"/>
        <v>0.61847678576298948</v>
      </c>
      <c r="AT27" s="17">
        <f t="shared" si="15"/>
        <v>414</v>
      </c>
    </row>
    <row r="28" spans="6:46" x14ac:dyDescent="0.3">
      <c r="F28" s="1">
        <v>26</v>
      </c>
      <c r="G28" s="1" t="s">
        <v>24</v>
      </c>
      <c r="H28" s="1">
        <v>2</v>
      </c>
      <c r="I28" s="1">
        <v>51</v>
      </c>
      <c r="J28" s="1">
        <v>2</v>
      </c>
      <c r="K28" s="1">
        <v>3</v>
      </c>
      <c r="M28" s="1" t="s">
        <v>24</v>
      </c>
      <c r="N28" s="1">
        <f t="shared" si="0"/>
        <v>0.2857142857142857</v>
      </c>
      <c r="O28" s="1">
        <f t="shared" si="1"/>
        <v>0.48571428571428571</v>
      </c>
      <c r="P28" s="1">
        <f t="shared" si="2"/>
        <v>0.5</v>
      </c>
      <c r="Q28" s="1">
        <f t="shared" si="3"/>
        <v>1</v>
      </c>
      <c r="S28" s="1" t="s">
        <v>24</v>
      </c>
      <c r="T28" s="1">
        <f t="shared" si="16"/>
        <v>2.8583097523751523E-2</v>
      </c>
      <c r="U28" s="1">
        <f t="shared" si="4"/>
        <v>3.6994985904848676E-2</v>
      </c>
      <c r="V28" s="1">
        <f t="shared" si="5"/>
        <v>3.1574382095289864E-2</v>
      </c>
      <c r="W28" s="1">
        <f t="shared" si="6"/>
        <v>4.0360367639778717E-2</v>
      </c>
      <c r="Y28" s="1" t="s">
        <v>24</v>
      </c>
      <c r="Z28" s="1">
        <f t="shared" si="7"/>
        <v>8.5749292571254566E-3</v>
      </c>
      <c r="AA28" s="1">
        <f t="shared" si="8"/>
        <v>7.3989971809697358E-3</v>
      </c>
      <c r="AB28" s="1">
        <f t="shared" si="9"/>
        <v>9.4723146285869593E-3</v>
      </c>
      <c r="AC28" s="1">
        <f t="shared" si="10"/>
        <v>8.0720735279557441E-3</v>
      </c>
      <c r="AK28" s="17" t="s">
        <v>617</v>
      </c>
      <c r="AL28" s="17">
        <f t="shared" si="11"/>
        <v>2.3520946566776568E-2</v>
      </c>
      <c r="AM28" s="17">
        <f t="shared" si="12"/>
        <v>1.4488429090769629E-2</v>
      </c>
      <c r="AO28" s="17" t="s">
        <v>1329</v>
      </c>
      <c r="AP28" s="17">
        <f t="shared" si="13"/>
        <v>0.63046827708016107</v>
      </c>
      <c r="AR28" s="1" t="s">
        <v>24</v>
      </c>
      <c r="AS28" s="17">
        <f t="shared" si="14"/>
        <v>0.63046827708016107</v>
      </c>
      <c r="AT28" s="17">
        <f t="shared" si="15"/>
        <v>399</v>
      </c>
    </row>
    <row r="29" spans="6:46" x14ac:dyDescent="0.3">
      <c r="F29" s="1">
        <v>27</v>
      </c>
      <c r="G29" s="1" t="s">
        <v>24</v>
      </c>
      <c r="H29" s="1">
        <v>4</v>
      </c>
      <c r="I29" s="1">
        <v>46</v>
      </c>
      <c r="J29" s="1">
        <v>1</v>
      </c>
      <c r="K29" s="1">
        <v>3</v>
      </c>
      <c r="M29" s="1" t="s">
        <v>24</v>
      </c>
      <c r="N29" s="1">
        <f t="shared" si="0"/>
        <v>0.5714285714285714</v>
      </c>
      <c r="O29" s="1">
        <f t="shared" si="1"/>
        <v>0.43809523809523809</v>
      </c>
      <c r="P29" s="1">
        <f t="shared" si="2"/>
        <v>1</v>
      </c>
      <c r="Q29" s="1">
        <f t="shared" si="3"/>
        <v>1</v>
      </c>
      <c r="S29" s="1" t="s">
        <v>24</v>
      </c>
      <c r="T29" s="1">
        <f t="shared" si="16"/>
        <v>5.7166195047503046E-2</v>
      </c>
      <c r="U29" s="1">
        <f t="shared" si="4"/>
        <v>3.336802650241253E-2</v>
      </c>
      <c r="V29" s="1">
        <f t="shared" si="5"/>
        <v>6.3148764190579729E-2</v>
      </c>
      <c r="W29" s="1">
        <f t="shared" si="6"/>
        <v>4.0360367639778717E-2</v>
      </c>
      <c r="Y29" s="1" t="s">
        <v>24</v>
      </c>
      <c r="Z29" s="1">
        <f t="shared" si="7"/>
        <v>1.7149858514250913E-2</v>
      </c>
      <c r="AA29" s="1">
        <f t="shared" si="8"/>
        <v>6.6736053004825061E-3</v>
      </c>
      <c r="AB29" s="1">
        <f t="shared" si="9"/>
        <v>1.8944629257173919E-2</v>
      </c>
      <c r="AC29" s="1">
        <f t="shared" si="10"/>
        <v>8.0720735279557441E-3</v>
      </c>
      <c r="AK29" s="17" t="s">
        <v>618</v>
      </c>
      <c r="AL29" s="17">
        <f t="shared" si="11"/>
        <v>2.1642635894526873E-2</v>
      </c>
      <c r="AM29" s="17">
        <f t="shared" si="12"/>
        <v>1.8308479416884994E-2</v>
      </c>
      <c r="AO29" s="17" t="s">
        <v>1330</v>
      </c>
      <c r="AP29" s="17">
        <f t="shared" si="13"/>
        <v>0.86425346994897434</v>
      </c>
      <c r="AR29" s="1" t="s">
        <v>24</v>
      </c>
      <c r="AS29" s="17">
        <f t="shared" si="14"/>
        <v>0.86425346994897434</v>
      </c>
      <c r="AT29" s="17">
        <f t="shared" si="15"/>
        <v>231</v>
      </c>
    </row>
    <row r="30" spans="6:46" x14ac:dyDescent="0.3">
      <c r="F30" s="1">
        <v>28</v>
      </c>
      <c r="G30" s="1" t="s">
        <v>25</v>
      </c>
      <c r="H30" s="1">
        <v>2</v>
      </c>
      <c r="I30" s="1">
        <v>55</v>
      </c>
      <c r="J30" s="1">
        <v>2</v>
      </c>
      <c r="K30" s="1">
        <v>3</v>
      </c>
      <c r="M30" s="1" t="s">
        <v>25</v>
      </c>
      <c r="N30" s="1">
        <f t="shared" si="0"/>
        <v>0.2857142857142857</v>
      </c>
      <c r="O30" s="1">
        <f t="shared" si="1"/>
        <v>0.52380952380952384</v>
      </c>
      <c r="P30" s="1">
        <f t="shared" si="2"/>
        <v>0.5</v>
      </c>
      <c r="Q30" s="1">
        <f t="shared" si="3"/>
        <v>1</v>
      </c>
      <c r="S30" s="1" t="s">
        <v>25</v>
      </c>
      <c r="T30" s="1">
        <f t="shared" si="16"/>
        <v>2.8583097523751523E-2</v>
      </c>
      <c r="U30" s="1">
        <f t="shared" si="4"/>
        <v>3.9896553426797592E-2</v>
      </c>
      <c r="V30" s="1">
        <f t="shared" si="5"/>
        <v>3.1574382095289864E-2</v>
      </c>
      <c r="W30" s="1">
        <f t="shared" si="6"/>
        <v>4.0360367639778717E-2</v>
      </c>
      <c r="Y30" s="1" t="s">
        <v>25</v>
      </c>
      <c r="Z30" s="1">
        <f t="shared" si="7"/>
        <v>8.5749292571254566E-3</v>
      </c>
      <c r="AA30" s="1">
        <f t="shared" si="8"/>
        <v>7.979310685359519E-3</v>
      </c>
      <c r="AB30" s="1">
        <f t="shared" si="9"/>
        <v>9.4723146285869593E-3</v>
      </c>
      <c r="AC30" s="1">
        <f t="shared" si="10"/>
        <v>8.0720735279557441E-3</v>
      </c>
      <c r="AK30" s="17" t="s">
        <v>619</v>
      </c>
      <c r="AL30" s="17">
        <f t="shared" si="11"/>
        <v>2.3334075288070719E-2</v>
      </c>
      <c r="AM30" s="17">
        <f t="shared" si="12"/>
        <v>1.4667461124905206E-2</v>
      </c>
      <c r="AO30" s="17" t="s">
        <v>1331</v>
      </c>
      <c r="AP30" s="17">
        <f t="shared" si="13"/>
        <v>0.64325295010735395</v>
      </c>
      <c r="AR30" s="1" t="s">
        <v>25</v>
      </c>
      <c r="AS30" s="17">
        <f t="shared" si="14"/>
        <v>0.64325295010735395</v>
      </c>
      <c r="AT30" s="17">
        <f t="shared" si="15"/>
        <v>388</v>
      </c>
    </row>
    <row r="31" spans="6:46" x14ac:dyDescent="0.3">
      <c r="F31" s="1">
        <v>29</v>
      </c>
      <c r="G31" s="1" t="s">
        <v>26</v>
      </c>
      <c r="H31" s="1">
        <v>1</v>
      </c>
      <c r="I31" s="1">
        <v>56</v>
      </c>
      <c r="J31" s="1">
        <v>4</v>
      </c>
      <c r="K31" s="1">
        <v>2</v>
      </c>
      <c r="M31" s="1" t="s">
        <v>26</v>
      </c>
      <c r="N31" s="1">
        <f t="shared" si="0"/>
        <v>0.14285714285714285</v>
      </c>
      <c r="O31" s="1">
        <f t="shared" si="1"/>
        <v>0.53333333333333333</v>
      </c>
      <c r="P31" s="1">
        <f t="shared" si="2"/>
        <v>0.25</v>
      </c>
      <c r="Q31" s="1">
        <f t="shared" si="3"/>
        <v>0.66666666666666663</v>
      </c>
      <c r="S31" s="1" t="s">
        <v>26</v>
      </c>
      <c r="T31" s="1">
        <f t="shared" si="16"/>
        <v>1.4291548761875762E-2</v>
      </c>
      <c r="U31" s="1">
        <f t="shared" si="4"/>
        <v>4.0621945307284822E-2</v>
      </c>
      <c r="V31" s="1">
        <f t="shared" si="5"/>
        <v>1.5787191047644932E-2</v>
      </c>
      <c r="W31" s="1">
        <f t="shared" si="6"/>
        <v>2.6906911759852478E-2</v>
      </c>
      <c r="Y31" s="1" t="s">
        <v>26</v>
      </c>
      <c r="Z31" s="1">
        <f t="shared" si="7"/>
        <v>4.2874646285627283E-3</v>
      </c>
      <c r="AA31" s="1">
        <f t="shared" si="8"/>
        <v>8.1243890614569655E-3</v>
      </c>
      <c r="AB31" s="1">
        <f t="shared" si="9"/>
        <v>4.7361573142934797E-3</v>
      </c>
      <c r="AC31" s="1">
        <f t="shared" si="10"/>
        <v>5.3813823519704958E-3</v>
      </c>
      <c r="AK31" s="17" t="s">
        <v>620</v>
      </c>
      <c r="AL31" s="17">
        <f t="shared" si="11"/>
        <v>2.6840964672919142E-2</v>
      </c>
      <c r="AM31" s="17">
        <f t="shared" si="12"/>
        <v>1.5869279403971728E-2</v>
      </c>
      <c r="AO31" s="17" t="s">
        <v>1332</v>
      </c>
      <c r="AP31" s="17">
        <f t="shared" si="13"/>
        <v>0.60710285082559956</v>
      </c>
      <c r="AR31" s="1" t="s">
        <v>26</v>
      </c>
      <c r="AS31" s="17">
        <f t="shared" si="14"/>
        <v>0.60710285082559956</v>
      </c>
      <c r="AT31" s="17">
        <f t="shared" si="15"/>
        <v>424</v>
      </c>
    </row>
    <row r="32" spans="6:46" x14ac:dyDescent="0.3">
      <c r="F32" s="1">
        <v>30</v>
      </c>
      <c r="G32" s="1" t="s">
        <v>27</v>
      </c>
      <c r="H32" s="1">
        <v>3</v>
      </c>
      <c r="I32" s="1">
        <v>44</v>
      </c>
      <c r="J32" s="1">
        <v>2</v>
      </c>
      <c r="K32" s="1">
        <v>3</v>
      </c>
      <c r="M32" s="1" t="s">
        <v>27</v>
      </c>
      <c r="N32" s="1">
        <f t="shared" si="0"/>
        <v>0.42857142857142855</v>
      </c>
      <c r="O32" s="1">
        <f t="shared" si="1"/>
        <v>0.41904761904761906</v>
      </c>
      <c r="P32" s="1">
        <f t="shared" si="2"/>
        <v>0.5</v>
      </c>
      <c r="Q32" s="1">
        <f t="shared" si="3"/>
        <v>1</v>
      </c>
      <c r="S32" s="1" t="s">
        <v>27</v>
      </c>
      <c r="T32" s="1">
        <f t="shared" si="16"/>
        <v>4.2874646285627281E-2</v>
      </c>
      <c r="U32" s="1">
        <f t="shared" si="4"/>
        <v>3.1917242741438076E-2</v>
      </c>
      <c r="V32" s="1">
        <f t="shared" si="5"/>
        <v>3.1574382095289864E-2</v>
      </c>
      <c r="W32" s="1">
        <f t="shared" si="6"/>
        <v>4.0360367639778717E-2</v>
      </c>
      <c r="Y32" s="1" t="s">
        <v>27</v>
      </c>
      <c r="Z32" s="1">
        <f t="shared" si="7"/>
        <v>1.2862393885688184E-2</v>
      </c>
      <c r="AA32" s="1">
        <f t="shared" si="8"/>
        <v>6.3834485482876157E-3</v>
      </c>
      <c r="AB32" s="1">
        <f t="shared" si="9"/>
        <v>9.4723146285869593E-3</v>
      </c>
      <c r="AC32" s="1">
        <f t="shared" si="10"/>
        <v>8.0720735279557441E-3</v>
      </c>
      <c r="AK32" s="17" t="s">
        <v>621</v>
      </c>
      <c r="AL32" s="17">
        <f t="shared" si="11"/>
        <v>2.0118080867008233E-2</v>
      </c>
      <c r="AM32" s="17">
        <f t="shared" si="12"/>
        <v>1.7155532657244704E-2</v>
      </c>
      <c r="AO32" s="17" t="s">
        <v>1333</v>
      </c>
      <c r="AP32" s="17">
        <f t="shared" si="13"/>
        <v>0.86989753974292894</v>
      </c>
      <c r="AR32" s="1" t="s">
        <v>27</v>
      </c>
      <c r="AS32" s="17">
        <f t="shared" si="14"/>
        <v>0.86989753974292894</v>
      </c>
      <c r="AT32" s="17">
        <f t="shared" si="15"/>
        <v>218</v>
      </c>
    </row>
    <row r="33" spans="6:46" x14ac:dyDescent="0.3">
      <c r="F33" s="1">
        <v>31</v>
      </c>
      <c r="G33" s="1" t="s">
        <v>28</v>
      </c>
      <c r="H33" s="1">
        <v>4</v>
      </c>
      <c r="I33" s="1">
        <v>35</v>
      </c>
      <c r="J33" s="1">
        <v>3</v>
      </c>
      <c r="K33" s="1">
        <v>3</v>
      </c>
      <c r="M33" s="1" t="s">
        <v>28</v>
      </c>
      <c r="N33" s="1">
        <f t="shared" si="0"/>
        <v>0.5714285714285714</v>
      </c>
      <c r="O33" s="1">
        <f t="shared" si="1"/>
        <v>0.33333333333333331</v>
      </c>
      <c r="P33" s="1">
        <f t="shared" si="2"/>
        <v>0.33333333333333331</v>
      </c>
      <c r="Q33" s="1">
        <f t="shared" si="3"/>
        <v>1</v>
      </c>
      <c r="S33" s="1" t="s">
        <v>28</v>
      </c>
      <c r="T33" s="1">
        <f t="shared" si="16"/>
        <v>5.7166195047503046E-2</v>
      </c>
      <c r="U33" s="1">
        <f t="shared" si="4"/>
        <v>2.5388715817053011E-2</v>
      </c>
      <c r="V33" s="1">
        <f t="shared" si="5"/>
        <v>2.1049588063526574E-2</v>
      </c>
      <c r="W33" s="1">
        <f t="shared" si="6"/>
        <v>4.0360367639778717E-2</v>
      </c>
      <c r="Y33" s="1" t="s">
        <v>28</v>
      </c>
      <c r="Z33" s="1">
        <f t="shared" si="7"/>
        <v>1.7149858514250913E-2</v>
      </c>
      <c r="AA33" s="1">
        <f t="shared" si="8"/>
        <v>5.0777431634106028E-3</v>
      </c>
      <c r="AB33" s="1">
        <f t="shared" si="9"/>
        <v>6.314876419057972E-3</v>
      </c>
      <c r="AC33" s="1">
        <f t="shared" si="10"/>
        <v>8.0720735279557441E-3</v>
      </c>
      <c r="AK33" s="17" t="s">
        <v>622</v>
      </c>
      <c r="AL33" s="17">
        <f t="shared" si="11"/>
        <v>1.6581782331067947E-2</v>
      </c>
      <c r="AM33" s="17">
        <f t="shared" si="12"/>
        <v>2.2048688103365535E-2</v>
      </c>
      <c r="AO33" s="17" t="s">
        <v>1334</v>
      </c>
      <c r="AP33" s="17">
        <f t="shared" si="13"/>
        <v>1.351742183238366</v>
      </c>
      <c r="AR33" s="1" t="s">
        <v>28</v>
      </c>
      <c r="AS33" s="17">
        <f t="shared" si="14"/>
        <v>1.351742183238366</v>
      </c>
      <c r="AT33" s="17">
        <f t="shared" si="15"/>
        <v>51</v>
      </c>
    </row>
    <row r="34" spans="6:46" x14ac:dyDescent="0.3">
      <c r="F34" s="1">
        <v>32</v>
      </c>
      <c r="G34" s="1" t="s">
        <v>29</v>
      </c>
      <c r="H34" s="1">
        <v>1</v>
      </c>
      <c r="I34" s="1">
        <v>60</v>
      </c>
      <c r="J34" s="1">
        <v>2</v>
      </c>
      <c r="K34" s="1">
        <v>2</v>
      </c>
      <c r="M34" s="1" t="s">
        <v>29</v>
      </c>
      <c r="N34" s="1">
        <f t="shared" si="0"/>
        <v>0.14285714285714285</v>
      </c>
      <c r="O34" s="1">
        <f t="shared" si="1"/>
        <v>0.5714285714285714</v>
      </c>
      <c r="P34" s="1">
        <f t="shared" si="2"/>
        <v>0.5</v>
      </c>
      <c r="Q34" s="1">
        <f t="shared" si="3"/>
        <v>0.66666666666666663</v>
      </c>
      <c r="S34" s="1" t="s">
        <v>29</v>
      </c>
      <c r="T34" s="1">
        <f t="shared" si="16"/>
        <v>1.4291548761875762E-2</v>
      </c>
      <c r="U34" s="1">
        <f t="shared" si="4"/>
        <v>4.3523512829233738E-2</v>
      </c>
      <c r="V34" s="1">
        <f t="shared" si="5"/>
        <v>3.1574382095289864E-2</v>
      </c>
      <c r="W34" s="1">
        <f t="shared" si="6"/>
        <v>2.6906911759852478E-2</v>
      </c>
      <c r="Y34" s="1" t="s">
        <v>29</v>
      </c>
      <c r="Z34" s="1">
        <f t="shared" si="7"/>
        <v>4.2874646285627283E-3</v>
      </c>
      <c r="AA34" s="1">
        <f t="shared" si="8"/>
        <v>8.7047025658467479E-3</v>
      </c>
      <c r="AB34" s="1">
        <f t="shared" si="9"/>
        <v>9.4723146285869593E-3</v>
      </c>
      <c r="AC34" s="1">
        <f t="shared" si="10"/>
        <v>5.3813823519704958E-3</v>
      </c>
      <c r="AK34" s="17" t="s">
        <v>623</v>
      </c>
      <c r="AL34" s="17">
        <f t="shared" si="11"/>
        <v>2.7275026978567044E-2</v>
      </c>
      <c r="AM34" s="17">
        <f t="shared" si="12"/>
        <v>1.2072275925169693E-2</v>
      </c>
      <c r="AO34" s="17" t="s">
        <v>1335</v>
      </c>
      <c r="AP34" s="17">
        <f t="shared" si="13"/>
        <v>0.45468507094297822</v>
      </c>
      <c r="AR34" s="1" t="s">
        <v>29</v>
      </c>
      <c r="AS34" s="17">
        <f t="shared" si="14"/>
        <v>0.45468507094297822</v>
      </c>
      <c r="AT34" s="17">
        <f t="shared" si="15"/>
        <v>567</v>
      </c>
    </row>
    <row r="35" spans="6:46" x14ac:dyDescent="0.3">
      <c r="F35" s="1">
        <v>33</v>
      </c>
      <c r="G35" s="1" t="s">
        <v>30</v>
      </c>
      <c r="H35" s="1">
        <v>0</v>
      </c>
      <c r="I35" s="1">
        <v>55</v>
      </c>
      <c r="J35" s="1">
        <v>2</v>
      </c>
      <c r="K35" s="1">
        <v>1</v>
      </c>
      <c r="M35" s="1" t="s">
        <v>30</v>
      </c>
      <c r="N35" s="1">
        <f t="shared" si="0"/>
        <v>0</v>
      </c>
      <c r="O35" s="1">
        <f t="shared" si="1"/>
        <v>0.52380952380952384</v>
      </c>
      <c r="P35" s="1">
        <f t="shared" si="2"/>
        <v>0.5</v>
      </c>
      <c r="Q35" s="1">
        <f t="shared" si="3"/>
        <v>0.33333333333333331</v>
      </c>
      <c r="S35" s="1" t="s">
        <v>30</v>
      </c>
      <c r="T35" s="1">
        <f t="shared" si="16"/>
        <v>0</v>
      </c>
      <c r="U35" s="1">
        <f t="shared" si="4"/>
        <v>3.9896553426797592E-2</v>
      </c>
      <c r="V35" s="1">
        <f t="shared" si="5"/>
        <v>3.1574382095289864E-2</v>
      </c>
      <c r="W35" s="1">
        <f t="shared" si="6"/>
        <v>1.3453455879926239E-2</v>
      </c>
      <c r="Y35" s="1" t="s">
        <v>30</v>
      </c>
      <c r="Z35" s="1">
        <f t="shared" si="7"/>
        <v>0</v>
      </c>
      <c r="AA35" s="1">
        <f t="shared" si="8"/>
        <v>7.979310685359519E-3</v>
      </c>
      <c r="AB35" s="1">
        <f t="shared" si="9"/>
        <v>9.4723146285869593E-3</v>
      </c>
      <c r="AC35" s="1">
        <f t="shared" si="10"/>
        <v>2.6906911759852479E-3</v>
      </c>
      <c r="AK35" s="17" t="s">
        <v>624</v>
      </c>
      <c r="AL35" s="17">
        <f t="shared" si="11"/>
        <v>3.1853018948848302E-2</v>
      </c>
      <c r="AM35" s="17">
        <f t="shared" si="12"/>
        <v>1.0613469181554156E-2</v>
      </c>
      <c r="AO35" s="17" t="s">
        <v>1336</v>
      </c>
      <c r="AP35" s="17">
        <f t="shared" si="13"/>
        <v>0.34381482753939052</v>
      </c>
      <c r="AR35" s="1" t="s">
        <v>30</v>
      </c>
      <c r="AS35" s="17">
        <f t="shared" si="14"/>
        <v>0.34381482753939052</v>
      </c>
      <c r="AT35" s="17">
        <f t="shared" si="15"/>
        <v>632</v>
      </c>
    </row>
    <row r="36" spans="6:46" x14ac:dyDescent="0.3">
      <c r="F36" s="1">
        <v>34</v>
      </c>
      <c r="G36" s="1" t="s">
        <v>31</v>
      </c>
      <c r="H36" s="1">
        <v>3</v>
      </c>
      <c r="I36" s="1">
        <v>43</v>
      </c>
      <c r="J36" s="1">
        <v>2</v>
      </c>
      <c r="K36" s="1">
        <v>3</v>
      </c>
      <c r="M36" s="1" t="s">
        <v>31</v>
      </c>
      <c r="N36" s="1">
        <f t="shared" si="0"/>
        <v>0.42857142857142855</v>
      </c>
      <c r="O36" s="1">
        <f t="shared" si="1"/>
        <v>0.40952380952380951</v>
      </c>
      <c r="P36" s="1">
        <f t="shared" si="2"/>
        <v>0.5</v>
      </c>
      <c r="Q36" s="1">
        <f t="shared" si="3"/>
        <v>1</v>
      </c>
      <c r="S36" s="1" t="s">
        <v>31</v>
      </c>
      <c r="T36" s="1">
        <f t="shared" si="16"/>
        <v>4.2874646285627281E-2</v>
      </c>
      <c r="U36" s="1">
        <f t="shared" si="4"/>
        <v>3.1191850860950845E-2</v>
      </c>
      <c r="V36" s="1">
        <f t="shared" si="5"/>
        <v>3.1574382095289864E-2</v>
      </c>
      <c r="W36" s="1">
        <f t="shared" si="6"/>
        <v>4.0360367639778717E-2</v>
      </c>
      <c r="Y36" s="1" t="s">
        <v>31</v>
      </c>
      <c r="Z36" s="1">
        <f t="shared" si="7"/>
        <v>1.2862393885688184E-2</v>
      </c>
      <c r="AA36" s="1">
        <f t="shared" si="8"/>
        <v>6.2383701721901693E-3</v>
      </c>
      <c r="AB36" s="1">
        <f t="shared" si="9"/>
        <v>9.4723146285869593E-3</v>
      </c>
      <c r="AC36" s="1">
        <f t="shared" si="10"/>
        <v>8.0720735279557441E-3</v>
      </c>
      <c r="AK36" s="17" t="s">
        <v>625</v>
      </c>
      <c r="AL36" s="17">
        <f t="shared" si="11"/>
        <v>2.0182320213554348E-2</v>
      </c>
      <c r="AM36" s="17">
        <f t="shared" si="12"/>
        <v>1.7129134483087973E-2</v>
      </c>
      <c r="AO36" s="17" t="s">
        <v>1337</v>
      </c>
      <c r="AP36" s="17">
        <f t="shared" si="13"/>
        <v>0.86584892001023117</v>
      </c>
      <c r="AR36" s="1" t="s">
        <v>31</v>
      </c>
      <c r="AS36" s="17">
        <f t="shared" si="14"/>
        <v>0.86584892001023117</v>
      </c>
      <c r="AT36" s="17">
        <f t="shared" si="15"/>
        <v>222</v>
      </c>
    </row>
    <row r="37" spans="6:46" x14ac:dyDescent="0.3">
      <c r="F37" s="1">
        <v>35</v>
      </c>
      <c r="G37" s="1" t="s">
        <v>32</v>
      </c>
      <c r="H37" s="1">
        <v>2</v>
      </c>
      <c r="I37" s="1">
        <v>30</v>
      </c>
      <c r="J37" s="1">
        <v>3</v>
      </c>
      <c r="K37" s="1">
        <v>3</v>
      </c>
      <c r="M37" s="1" t="s">
        <v>32</v>
      </c>
      <c r="N37" s="1">
        <f t="shared" si="0"/>
        <v>0.2857142857142857</v>
      </c>
      <c r="O37" s="1">
        <f t="shared" si="1"/>
        <v>0.2857142857142857</v>
      </c>
      <c r="P37" s="1">
        <f t="shared" si="2"/>
        <v>0.33333333333333331</v>
      </c>
      <c r="Q37" s="1">
        <f t="shared" si="3"/>
        <v>1</v>
      </c>
      <c r="S37" s="1" t="s">
        <v>32</v>
      </c>
      <c r="T37" s="1">
        <f t="shared" si="16"/>
        <v>2.8583097523751523E-2</v>
      </c>
      <c r="U37" s="1">
        <f t="shared" si="4"/>
        <v>2.1761756414616869E-2</v>
      </c>
      <c r="V37" s="1">
        <f t="shared" si="5"/>
        <v>2.1049588063526574E-2</v>
      </c>
      <c r="W37" s="1">
        <f t="shared" si="6"/>
        <v>4.0360367639778717E-2</v>
      </c>
      <c r="Y37" s="1" t="s">
        <v>32</v>
      </c>
      <c r="Z37" s="1">
        <f t="shared" si="7"/>
        <v>8.5749292571254566E-3</v>
      </c>
      <c r="AA37" s="1">
        <f t="shared" si="8"/>
        <v>4.3523512829233739E-3</v>
      </c>
      <c r="AB37" s="1">
        <f t="shared" si="9"/>
        <v>6.314876419057972E-3</v>
      </c>
      <c r="AC37" s="1">
        <f t="shared" si="10"/>
        <v>8.0720735279557441E-3</v>
      </c>
      <c r="AK37" s="17" t="s">
        <v>626</v>
      </c>
      <c r="AL37" s="17">
        <f t="shared" si="11"/>
        <v>2.4172975827600727E-2</v>
      </c>
      <c r="AM37" s="17">
        <f t="shared" si="12"/>
        <v>1.6227951182703627E-2</v>
      </c>
      <c r="AO37" s="17" t="s">
        <v>1338</v>
      </c>
      <c r="AP37" s="17">
        <f t="shared" si="13"/>
        <v>0.68755411716407766</v>
      </c>
      <c r="AR37" s="1" t="s">
        <v>32</v>
      </c>
      <c r="AS37" s="17">
        <f t="shared" si="14"/>
        <v>0.68755411716407766</v>
      </c>
      <c r="AT37" s="17">
        <f t="shared" si="15"/>
        <v>356</v>
      </c>
    </row>
    <row r="38" spans="6:46" x14ac:dyDescent="0.3">
      <c r="F38" s="1">
        <v>36</v>
      </c>
      <c r="G38" s="1" t="s">
        <v>33</v>
      </c>
      <c r="H38" s="1">
        <v>0</v>
      </c>
      <c r="I38" s="1">
        <v>28</v>
      </c>
      <c r="J38" s="1">
        <v>1</v>
      </c>
      <c r="K38" s="1">
        <v>1</v>
      </c>
      <c r="M38" s="1" t="s">
        <v>33</v>
      </c>
      <c r="N38" s="1">
        <f t="shared" si="0"/>
        <v>0</v>
      </c>
      <c r="O38" s="1">
        <f t="shared" si="1"/>
        <v>0.26666666666666666</v>
      </c>
      <c r="P38" s="1">
        <f t="shared" si="2"/>
        <v>1</v>
      </c>
      <c r="Q38" s="1">
        <f t="shared" si="3"/>
        <v>0.33333333333333331</v>
      </c>
      <c r="S38" s="1" t="s">
        <v>33</v>
      </c>
      <c r="T38" s="1">
        <f t="shared" si="16"/>
        <v>0</v>
      </c>
      <c r="U38" s="1">
        <f t="shared" si="4"/>
        <v>2.0310972653642411E-2</v>
      </c>
      <c r="V38" s="1">
        <f t="shared" si="5"/>
        <v>6.3148764190579729E-2</v>
      </c>
      <c r="W38" s="1">
        <f t="shared" si="6"/>
        <v>1.3453455879926239E-2</v>
      </c>
      <c r="Y38" s="1" t="s">
        <v>33</v>
      </c>
      <c r="Z38" s="1">
        <f t="shared" si="7"/>
        <v>0</v>
      </c>
      <c r="AA38" s="1">
        <f t="shared" si="8"/>
        <v>4.0621945307284827E-3</v>
      </c>
      <c r="AB38" s="1">
        <f t="shared" si="9"/>
        <v>1.8944629257173919E-2</v>
      </c>
      <c r="AC38" s="1">
        <f t="shared" si="10"/>
        <v>2.6906911759852479E-3</v>
      </c>
      <c r="AK38" s="17" t="s">
        <v>627</v>
      </c>
      <c r="AL38" s="17">
        <f t="shared" si="11"/>
        <v>3.5835484340593582E-2</v>
      </c>
      <c r="AM38" s="17">
        <f t="shared" si="12"/>
        <v>8.7047025658467487E-4</v>
      </c>
      <c r="AO38" s="17" t="s">
        <v>1339</v>
      </c>
      <c r="AP38" s="17">
        <f t="shared" si="13"/>
        <v>2.516120533669149E-2</v>
      </c>
      <c r="AR38" s="1" t="s">
        <v>33</v>
      </c>
      <c r="AS38" s="17">
        <f t="shared" si="14"/>
        <v>2.516120533669149E-2</v>
      </c>
      <c r="AT38" s="17">
        <f t="shared" si="15"/>
        <v>709</v>
      </c>
    </row>
    <row r="39" spans="6:46" x14ac:dyDescent="0.3">
      <c r="F39" s="1">
        <v>37</v>
      </c>
      <c r="G39" s="1" t="s">
        <v>34</v>
      </c>
      <c r="H39" s="1">
        <v>1</v>
      </c>
      <c r="I39" s="1">
        <v>64</v>
      </c>
      <c r="J39" s="1">
        <v>2</v>
      </c>
      <c r="K39" s="1">
        <v>2</v>
      </c>
      <c r="M39" s="1" t="s">
        <v>34</v>
      </c>
      <c r="N39" s="1">
        <f t="shared" si="0"/>
        <v>0.14285714285714285</v>
      </c>
      <c r="O39" s="1">
        <f t="shared" si="1"/>
        <v>0.60952380952380958</v>
      </c>
      <c r="P39" s="1">
        <f t="shared" si="2"/>
        <v>0.5</v>
      </c>
      <c r="Q39" s="1">
        <f t="shared" si="3"/>
        <v>0.66666666666666663</v>
      </c>
      <c r="S39" s="1" t="s">
        <v>34</v>
      </c>
      <c r="T39" s="1">
        <f t="shared" si="16"/>
        <v>1.4291548761875762E-2</v>
      </c>
      <c r="U39" s="1">
        <f t="shared" si="4"/>
        <v>4.642508035118266E-2</v>
      </c>
      <c r="V39" s="1">
        <f t="shared" si="5"/>
        <v>3.1574382095289864E-2</v>
      </c>
      <c r="W39" s="1">
        <f t="shared" si="6"/>
        <v>2.6906911759852478E-2</v>
      </c>
      <c r="Y39" s="1" t="s">
        <v>34</v>
      </c>
      <c r="Z39" s="1">
        <f t="shared" si="7"/>
        <v>4.2874646285627283E-3</v>
      </c>
      <c r="AA39" s="1">
        <f t="shared" si="8"/>
        <v>9.285016070236532E-3</v>
      </c>
      <c r="AB39" s="1">
        <f t="shared" si="9"/>
        <v>9.4723146285869593E-3</v>
      </c>
      <c r="AC39" s="1">
        <f t="shared" si="10"/>
        <v>5.3813823519704958E-3</v>
      </c>
      <c r="AK39" s="17" t="s">
        <v>628</v>
      </c>
      <c r="AL39" s="17">
        <f t="shared" si="11"/>
        <v>2.7141972584337922E-2</v>
      </c>
      <c r="AM39" s="17">
        <f t="shared" si="12"/>
        <v>1.2348081684252612E-2</v>
      </c>
      <c r="AO39" s="17" t="s">
        <v>1340</v>
      </c>
      <c r="AP39" s="17">
        <f t="shared" si="13"/>
        <v>0.46729223306763373</v>
      </c>
      <c r="AR39" s="1" t="s">
        <v>34</v>
      </c>
      <c r="AS39" s="17">
        <f t="shared" si="14"/>
        <v>0.46729223306763373</v>
      </c>
      <c r="AT39" s="17">
        <f t="shared" si="15"/>
        <v>561</v>
      </c>
    </row>
    <row r="40" spans="6:46" x14ac:dyDescent="0.3">
      <c r="F40" s="1">
        <v>38</v>
      </c>
      <c r="G40" s="1" t="s">
        <v>35</v>
      </c>
      <c r="H40" s="1">
        <v>3</v>
      </c>
      <c r="I40" s="1">
        <v>61</v>
      </c>
      <c r="J40" s="1">
        <v>2</v>
      </c>
      <c r="K40" s="1">
        <v>3</v>
      </c>
      <c r="M40" s="1" t="s">
        <v>35</v>
      </c>
      <c r="N40" s="1">
        <f t="shared" si="0"/>
        <v>0.42857142857142855</v>
      </c>
      <c r="O40" s="1">
        <f t="shared" si="1"/>
        <v>0.580952380952381</v>
      </c>
      <c r="P40" s="1">
        <f t="shared" si="2"/>
        <v>0.5</v>
      </c>
      <c r="Q40" s="1">
        <f t="shared" si="3"/>
        <v>1</v>
      </c>
      <c r="S40" s="1" t="s">
        <v>35</v>
      </c>
      <c r="T40" s="1">
        <f t="shared" si="16"/>
        <v>4.2874646285627281E-2</v>
      </c>
      <c r="U40" s="1">
        <f t="shared" si="4"/>
        <v>4.4248904709720968E-2</v>
      </c>
      <c r="V40" s="1">
        <f t="shared" si="5"/>
        <v>3.1574382095289864E-2</v>
      </c>
      <c r="W40" s="1">
        <f t="shared" si="6"/>
        <v>4.0360367639778717E-2</v>
      </c>
      <c r="Y40" s="1" t="s">
        <v>35</v>
      </c>
      <c r="Z40" s="1">
        <f t="shared" si="7"/>
        <v>1.2862393885688184E-2</v>
      </c>
      <c r="AA40" s="1">
        <f t="shared" si="8"/>
        <v>8.8497809419441943E-3</v>
      </c>
      <c r="AB40" s="1">
        <f t="shared" si="9"/>
        <v>9.4723146285869593E-3</v>
      </c>
      <c r="AC40" s="1">
        <f t="shared" si="10"/>
        <v>8.0720735279557441E-3</v>
      </c>
      <c r="AK40" s="17" t="s">
        <v>629</v>
      </c>
      <c r="AL40" s="17">
        <f t="shared" si="11"/>
        <v>1.9161601457595323E-2</v>
      </c>
      <c r="AM40" s="17">
        <f t="shared" si="12"/>
        <v>1.7780292521993871E-2</v>
      </c>
      <c r="AO40" s="17" t="s">
        <v>1341</v>
      </c>
      <c r="AP40" s="17">
        <f t="shared" si="13"/>
        <v>0.9456929495794798</v>
      </c>
      <c r="AR40" s="1" t="s">
        <v>35</v>
      </c>
      <c r="AS40" s="17">
        <f t="shared" si="14"/>
        <v>0.9456929495794798</v>
      </c>
      <c r="AT40" s="17">
        <f t="shared" si="15"/>
        <v>158</v>
      </c>
    </row>
    <row r="41" spans="6:46" x14ac:dyDescent="0.3">
      <c r="F41" s="1">
        <v>39</v>
      </c>
      <c r="G41" s="1" t="s">
        <v>36</v>
      </c>
      <c r="H41" s="1">
        <v>1</v>
      </c>
      <c r="I41" s="1">
        <v>25</v>
      </c>
      <c r="J41" s="1">
        <v>2</v>
      </c>
      <c r="K41" s="1">
        <v>3</v>
      </c>
      <c r="M41" s="1" t="s">
        <v>36</v>
      </c>
      <c r="N41" s="1">
        <f t="shared" si="0"/>
        <v>0.14285714285714285</v>
      </c>
      <c r="O41" s="1">
        <f t="shared" si="1"/>
        <v>0.23809523809523808</v>
      </c>
      <c r="P41" s="1">
        <f t="shared" si="2"/>
        <v>0.5</v>
      </c>
      <c r="Q41" s="1">
        <f t="shared" si="3"/>
        <v>1</v>
      </c>
      <c r="S41" s="1" t="s">
        <v>36</v>
      </c>
      <c r="T41" s="1">
        <f t="shared" si="16"/>
        <v>1.4291548761875762E-2</v>
      </c>
      <c r="U41" s="1">
        <f t="shared" si="4"/>
        <v>1.8134797012180723E-2</v>
      </c>
      <c r="V41" s="1">
        <f t="shared" si="5"/>
        <v>3.1574382095289864E-2</v>
      </c>
      <c r="W41" s="1">
        <f t="shared" si="6"/>
        <v>4.0360367639778717E-2</v>
      </c>
      <c r="Y41" s="1" t="s">
        <v>36</v>
      </c>
      <c r="Z41" s="1">
        <f t="shared" si="7"/>
        <v>4.2874646285627283E-3</v>
      </c>
      <c r="AA41" s="1">
        <f t="shared" si="8"/>
        <v>3.6269594024361447E-3</v>
      </c>
      <c r="AB41" s="1">
        <f t="shared" si="9"/>
        <v>9.4723146285869593E-3</v>
      </c>
      <c r="AC41" s="1">
        <f t="shared" si="10"/>
        <v>8.0720735279557441E-3</v>
      </c>
      <c r="AK41" s="17" t="s">
        <v>630</v>
      </c>
      <c r="AL41" s="17">
        <f t="shared" si="11"/>
        <v>2.8788385144454958E-2</v>
      </c>
      <c r="AM41" s="17">
        <f t="shared" si="12"/>
        <v>1.1715622177209293E-2</v>
      </c>
      <c r="AO41" s="17" t="s">
        <v>1342</v>
      </c>
      <c r="AP41" s="17">
        <f t="shared" si="13"/>
        <v>0.4186721818599563</v>
      </c>
      <c r="AR41" s="1" t="s">
        <v>36</v>
      </c>
      <c r="AS41" s="17">
        <f t="shared" si="14"/>
        <v>0.4186721818599563</v>
      </c>
      <c r="AT41" s="17">
        <f t="shared" si="15"/>
        <v>584</v>
      </c>
    </row>
    <row r="42" spans="6:46" x14ac:dyDescent="0.3">
      <c r="F42" s="1">
        <v>40</v>
      </c>
      <c r="G42" s="1" t="s">
        <v>37</v>
      </c>
      <c r="H42" s="1">
        <v>4</v>
      </c>
      <c r="I42" s="1">
        <v>56</v>
      </c>
      <c r="J42" s="1">
        <v>2</v>
      </c>
      <c r="K42" s="1">
        <v>3</v>
      </c>
      <c r="M42" s="1" t="s">
        <v>37</v>
      </c>
      <c r="N42" s="1">
        <f t="shared" si="0"/>
        <v>0.5714285714285714</v>
      </c>
      <c r="O42" s="1">
        <f t="shared" si="1"/>
        <v>0.53333333333333333</v>
      </c>
      <c r="P42" s="1">
        <f t="shared" si="2"/>
        <v>0.5</v>
      </c>
      <c r="Q42" s="1">
        <f t="shared" si="3"/>
        <v>1</v>
      </c>
      <c r="S42" s="1" t="s">
        <v>37</v>
      </c>
      <c r="T42" s="1">
        <f t="shared" si="16"/>
        <v>5.7166195047503046E-2</v>
      </c>
      <c r="U42" s="1">
        <f t="shared" si="4"/>
        <v>4.0621945307284822E-2</v>
      </c>
      <c r="V42" s="1">
        <f t="shared" si="5"/>
        <v>3.1574382095289864E-2</v>
      </c>
      <c r="W42" s="1">
        <f t="shared" si="6"/>
        <v>4.0360367639778717E-2</v>
      </c>
      <c r="Y42" s="1" t="s">
        <v>37</v>
      </c>
      <c r="Z42" s="1">
        <f t="shared" si="7"/>
        <v>1.7149858514250913E-2</v>
      </c>
      <c r="AA42" s="1">
        <f t="shared" si="8"/>
        <v>8.1243890614569655E-3</v>
      </c>
      <c r="AB42" s="1">
        <f t="shared" si="9"/>
        <v>9.4723146285869593E-3</v>
      </c>
      <c r="AC42" s="1">
        <f t="shared" si="10"/>
        <v>8.0720735279557441E-3</v>
      </c>
      <c r="AK42" s="17" t="s">
        <v>631</v>
      </c>
      <c r="AL42" s="17">
        <f t="shared" si="11"/>
        <v>1.5756830160429853E-2</v>
      </c>
      <c r="AM42" s="17">
        <f t="shared" si="12"/>
        <v>2.0907722243321141E-2</v>
      </c>
      <c r="AO42" s="17" t="s">
        <v>1343</v>
      </c>
      <c r="AP42" s="17">
        <f t="shared" si="13"/>
        <v>1.3478067260687689</v>
      </c>
      <c r="AR42" s="1" t="s">
        <v>37</v>
      </c>
      <c r="AS42" s="17">
        <f t="shared" si="14"/>
        <v>1.3478067260687689</v>
      </c>
      <c r="AT42" s="17">
        <f t="shared" si="15"/>
        <v>53</v>
      </c>
    </row>
    <row r="43" spans="6:46" x14ac:dyDescent="0.3">
      <c r="F43" s="1">
        <v>41</v>
      </c>
      <c r="G43" s="1" t="s">
        <v>38</v>
      </c>
      <c r="H43" s="1">
        <v>3</v>
      </c>
      <c r="I43" s="1">
        <v>51</v>
      </c>
      <c r="J43" s="1">
        <v>5</v>
      </c>
      <c r="K43" s="1">
        <v>3</v>
      </c>
      <c r="M43" s="1" t="s">
        <v>38</v>
      </c>
      <c r="N43" s="1">
        <f t="shared" si="0"/>
        <v>0.42857142857142855</v>
      </c>
      <c r="O43" s="1">
        <f t="shared" si="1"/>
        <v>0.48571428571428571</v>
      </c>
      <c r="P43" s="1">
        <f t="shared" si="2"/>
        <v>0.2</v>
      </c>
      <c r="Q43" s="1">
        <f t="shared" si="3"/>
        <v>1</v>
      </c>
      <c r="S43" s="1" t="s">
        <v>38</v>
      </c>
      <c r="T43" s="1">
        <f t="shared" si="16"/>
        <v>4.2874646285627281E-2</v>
      </c>
      <c r="U43" s="1">
        <f t="shared" si="4"/>
        <v>3.6994985904848676E-2</v>
      </c>
      <c r="V43" s="1">
        <f t="shared" si="5"/>
        <v>1.2629752838115946E-2</v>
      </c>
      <c r="W43" s="1">
        <f t="shared" si="6"/>
        <v>4.0360367639778717E-2</v>
      </c>
      <c r="Y43" s="1" t="s">
        <v>38</v>
      </c>
      <c r="Z43" s="1">
        <f t="shared" si="7"/>
        <v>1.2862393885688184E-2</v>
      </c>
      <c r="AA43" s="1">
        <f t="shared" si="8"/>
        <v>7.3989971809697358E-3</v>
      </c>
      <c r="AB43" s="1">
        <f t="shared" si="9"/>
        <v>3.7889258514347836E-3</v>
      </c>
      <c r="AC43" s="1">
        <f t="shared" si="10"/>
        <v>8.0720735279557441E-3</v>
      </c>
      <c r="AK43" s="17" t="s">
        <v>632</v>
      </c>
      <c r="AL43" s="17">
        <f t="shared" si="11"/>
        <v>1.8854517838818113E-2</v>
      </c>
      <c r="AM43" s="17">
        <f t="shared" si="12"/>
        <v>2.1018966281050374E-2</v>
      </c>
      <c r="AO43" s="17" t="s">
        <v>1344</v>
      </c>
      <c r="AP43" s="17">
        <f t="shared" si="13"/>
        <v>1.135816303488796</v>
      </c>
      <c r="AR43" s="1" t="s">
        <v>38</v>
      </c>
      <c r="AS43" s="17">
        <f t="shared" si="14"/>
        <v>1.135816303488796</v>
      </c>
      <c r="AT43" s="17">
        <f t="shared" si="15"/>
        <v>97</v>
      </c>
    </row>
    <row r="44" spans="6:46" x14ac:dyDescent="0.3">
      <c r="F44" s="1">
        <v>42</v>
      </c>
      <c r="G44" s="1" t="s">
        <v>39</v>
      </c>
      <c r="H44" s="1">
        <v>5</v>
      </c>
      <c r="I44" s="1">
        <v>37</v>
      </c>
      <c r="J44" s="1">
        <v>2</v>
      </c>
      <c r="K44" s="1">
        <v>3</v>
      </c>
      <c r="M44" s="1" t="s">
        <v>39</v>
      </c>
      <c r="N44" s="1">
        <f t="shared" si="0"/>
        <v>0.7142857142857143</v>
      </c>
      <c r="O44" s="1">
        <f t="shared" si="1"/>
        <v>0.35238095238095241</v>
      </c>
      <c r="P44" s="1">
        <f t="shared" si="2"/>
        <v>0.5</v>
      </c>
      <c r="Q44" s="1">
        <f t="shared" si="3"/>
        <v>1</v>
      </c>
      <c r="S44" s="1" t="s">
        <v>39</v>
      </c>
      <c r="T44" s="1">
        <f t="shared" si="16"/>
        <v>7.1457743809378804E-2</v>
      </c>
      <c r="U44" s="1">
        <f t="shared" si="4"/>
        <v>2.6839499578027472E-2</v>
      </c>
      <c r="V44" s="1">
        <f t="shared" si="5"/>
        <v>3.1574382095289864E-2</v>
      </c>
      <c r="W44" s="1">
        <f t="shared" si="6"/>
        <v>4.0360367639778717E-2</v>
      </c>
      <c r="Y44" s="1" t="s">
        <v>39</v>
      </c>
      <c r="Z44" s="1">
        <f t="shared" si="7"/>
        <v>2.1437323142813641E-2</v>
      </c>
      <c r="AA44" s="1">
        <f t="shared" si="8"/>
        <v>5.3678999156054948E-3</v>
      </c>
      <c r="AB44" s="1">
        <f t="shared" si="9"/>
        <v>9.4723146285869593E-3</v>
      </c>
      <c r="AC44" s="1">
        <f t="shared" si="10"/>
        <v>8.0720735279557441E-3</v>
      </c>
      <c r="AK44" s="17" t="s">
        <v>633</v>
      </c>
      <c r="AL44" s="17">
        <f t="shared" si="11"/>
        <v>1.4253246906335486E-2</v>
      </c>
      <c r="AM44" s="17">
        <f t="shared" si="12"/>
        <v>2.4144949459316466E-2</v>
      </c>
      <c r="AO44" s="17" t="s">
        <v>1345</v>
      </c>
      <c r="AP44" s="17">
        <f t="shared" si="13"/>
        <v>1.718141385358015</v>
      </c>
      <c r="AR44" s="1" t="s">
        <v>39</v>
      </c>
      <c r="AS44" s="17">
        <f t="shared" si="14"/>
        <v>1.718141385358015</v>
      </c>
      <c r="AT44" s="17">
        <f t="shared" si="15"/>
        <v>25</v>
      </c>
    </row>
    <row r="45" spans="6:46" x14ac:dyDescent="0.3">
      <c r="F45" s="1">
        <v>43</v>
      </c>
      <c r="G45" s="1" t="s">
        <v>40</v>
      </c>
      <c r="H45" s="1">
        <v>3</v>
      </c>
      <c r="I45" s="1">
        <v>33</v>
      </c>
      <c r="J45" s="1">
        <v>2</v>
      </c>
      <c r="K45" s="1">
        <v>3</v>
      </c>
      <c r="M45" s="1" t="s">
        <v>40</v>
      </c>
      <c r="N45" s="1">
        <f t="shared" si="0"/>
        <v>0.42857142857142855</v>
      </c>
      <c r="O45" s="1">
        <f t="shared" si="1"/>
        <v>0.31428571428571428</v>
      </c>
      <c r="P45" s="1">
        <f t="shared" si="2"/>
        <v>0.5</v>
      </c>
      <c r="Q45" s="1">
        <f t="shared" si="3"/>
        <v>1</v>
      </c>
      <c r="S45" s="1" t="s">
        <v>40</v>
      </c>
      <c r="T45" s="1">
        <f t="shared" si="16"/>
        <v>4.2874646285627281E-2</v>
      </c>
      <c r="U45" s="1">
        <f t="shared" si="4"/>
        <v>2.3937932056078554E-2</v>
      </c>
      <c r="V45" s="1">
        <f t="shared" si="5"/>
        <v>3.1574382095289864E-2</v>
      </c>
      <c r="W45" s="1">
        <f t="shared" si="6"/>
        <v>4.0360367639778717E-2</v>
      </c>
      <c r="Y45" s="1" t="s">
        <v>40</v>
      </c>
      <c r="Z45" s="1">
        <f t="shared" si="7"/>
        <v>1.2862393885688184E-2</v>
      </c>
      <c r="AA45" s="1">
        <f t="shared" si="8"/>
        <v>4.7875864112157107E-3</v>
      </c>
      <c r="AB45" s="1">
        <f t="shared" si="9"/>
        <v>9.4723146285869593E-3</v>
      </c>
      <c r="AC45" s="1">
        <f t="shared" si="10"/>
        <v>8.0720735279557441E-3</v>
      </c>
      <c r="AK45" s="17" t="s">
        <v>634</v>
      </c>
      <c r="AL45" s="17">
        <f t="shared" si="11"/>
        <v>2.0869355868959657E-2</v>
      </c>
      <c r="AM45" s="17">
        <f t="shared" si="12"/>
        <v>1.6931390163603535E-2</v>
      </c>
      <c r="AO45" s="17" t="s">
        <v>1346</v>
      </c>
      <c r="AP45" s="17">
        <f t="shared" si="13"/>
        <v>0.82823530725223238</v>
      </c>
      <c r="AR45" s="1" t="s">
        <v>40</v>
      </c>
      <c r="AS45" s="17">
        <f t="shared" si="14"/>
        <v>0.82823530725223238</v>
      </c>
      <c r="AT45" s="17">
        <f t="shared" si="15"/>
        <v>293</v>
      </c>
    </row>
    <row r="46" spans="6:46" x14ac:dyDescent="0.3">
      <c r="F46" s="1">
        <v>44</v>
      </c>
      <c r="G46" s="1" t="s">
        <v>41</v>
      </c>
      <c r="H46" s="1">
        <v>3</v>
      </c>
      <c r="I46" s="1">
        <v>90</v>
      </c>
      <c r="J46" s="1">
        <v>1</v>
      </c>
      <c r="K46" s="1">
        <v>2</v>
      </c>
      <c r="M46" s="1" t="s">
        <v>41</v>
      </c>
      <c r="N46" s="1">
        <f t="shared" si="0"/>
        <v>0.42857142857142855</v>
      </c>
      <c r="O46" s="1">
        <f t="shared" si="1"/>
        <v>0.8571428571428571</v>
      </c>
      <c r="P46" s="1">
        <f t="shared" si="2"/>
        <v>1</v>
      </c>
      <c r="Q46" s="1">
        <f t="shared" si="3"/>
        <v>0.66666666666666663</v>
      </c>
      <c r="S46" s="1" t="s">
        <v>41</v>
      </c>
      <c r="T46" s="1">
        <f t="shared" si="16"/>
        <v>4.2874646285627281E-2</v>
      </c>
      <c r="U46" s="1">
        <f t="shared" si="4"/>
        <v>6.5285269243850599E-2</v>
      </c>
      <c r="V46" s="1">
        <f t="shared" si="5"/>
        <v>6.3148764190579729E-2</v>
      </c>
      <c r="W46" s="1">
        <f t="shared" si="6"/>
        <v>2.6906911759852478E-2</v>
      </c>
      <c r="Y46" s="1" t="s">
        <v>41</v>
      </c>
      <c r="Z46" s="1">
        <f t="shared" si="7"/>
        <v>1.2862393885688184E-2</v>
      </c>
      <c r="AA46" s="1">
        <f t="shared" si="8"/>
        <v>1.3057053848770121E-2</v>
      </c>
      <c r="AB46" s="1">
        <f t="shared" si="9"/>
        <v>1.8944629257173919E-2</v>
      </c>
      <c r="AC46" s="1">
        <f t="shared" si="10"/>
        <v>5.3813823519704958E-3</v>
      </c>
      <c r="AK46" s="17" t="s">
        <v>635</v>
      </c>
      <c r="AL46" s="17">
        <f t="shared" si="11"/>
        <v>2.3147106778355121E-2</v>
      </c>
      <c r="AM46" s="17">
        <f t="shared" si="12"/>
        <v>1.6431850872348806E-2</v>
      </c>
      <c r="AO46" s="17" t="s">
        <v>1347</v>
      </c>
      <c r="AP46" s="17">
        <f t="shared" si="13"/>
        <v>0.7263197444087558</v>
      </c>
      <c r="AR46" s="1" t="s">
        <v>41</v>
      </c>
      <c r="AS46" s="17">
        <f t="shared" si="14"/>
        <v>0.7263197444087558</v>
      </c>
      <c r="AT46" s="17">
        <f t="shared" si="15"/>
        <v>328</v>
      </c>
    </row>
    <row r="47" spans="6:46" x14ac:dyDescent="0.3">
      <c r="F47" s="1">
        <v>45</v>
      </c>
      <c r="G47" s="1" t="s">
        <v>42</v>
      </c>
      <c r="H47" s="1">
        <v>3</v>
      </c>
      <c r="I47" s="1">
        <v>40</v>
      </c>
      <c r="J47" s="1">
        <v>2</v>
      </c>
      <c r="K47" s="1">
        <v>3</v>
      </c>
      <c r="M47" s="1" t="s">
        <v>42</v>
      </c>
      <c r="N47" s="1">
        <f t="shared" si="0"/>
        <v>0.42857142857142855</v>
      </c>
      <c r="O47" s="1">
        <f t="shared" si="1"/>
        <v>0.38095238095238093</v>
      </c>
      <c r="P47" s="1">
        <f t="shared" si="2"/>
        <v>0.5</v>
      </c>
      <c r="Q47" s="1">
        <f t="shared" si="3"/>
        <v>1</v>
      </c>
      <c r="S47" s="1" t="s">
        <v>42</v>
      </c>
      <c r="T47" s="1">
        <f t="shared" si="16"/>
        <v>4.2874646285627281E-2</v>
      </c>
      <c r="U47" s="1">
        <f t="shared" si="4"/>
        <v>2.9015675219489157E-2</v>
      </c>
      <c r="V47" s="1">
        <f t="shared" si="5"/>
        <v>3.1574382095289864E-2</v>
      </c>
      <c r="W47" s="1">
        <f t="shared" si="6"/>
        <v>4.0360367639778717E-2</v>
      </c>
      <c r="Y47" s="1" t="s">
        <v>42</v>
      </c>
      <c r="Z47" s="1">
        <f t="shared" si="7"/>
        <v>1.2862393885688184E-2</v>
      </c>
      <c r="AA47" s="1">
        <f t="shared" si="8"/>
        <v>5.8031350438978316E-3</v>
      </c>
      <c r="AB47" s="1">
        <f t="shared" si="9"/>
        <v>9.4723146285869593E-3</v>
      </c>
      <c r="AC47" s="1">
        <f t="shared" si="10"/>
        <v>8.0720735279557441E-3</v>
      </c>
      <c r="AK47" s="17" t="s">
        <v>636</v>
      </c>
      <c r="AL47" s="17">
        <f t="shared" si="11"/>
        <v>2.0380020518092293E-2</v>
      </c>
      <c r="AM47" s="17">
        <f t="shared" si="12"/>
        <v>1.7057100079439589E-2</v>
      </c>
      <c r="AO47" s="17" t="s">
        <v>1348</v>
      </c>
      <c r="AP47" s="17">
        <f t="shared" si="13"/>
        <v>0.85400915634931462</v>
      </c>
      <c r="AR47" s="1" t="s">
        <v>42</v>
      </c>
      <c r="AS47" s="17">
        <f t="shared" si="14"/>
        <v>0.85400915634931462</v>
      </c>
      <c r="AT47" s="17">
        <f t="shared" si="15"/>
        <v>247</v>
      </c>
    </row>
    <row r="48" spans="6:46" x14ac:dyDescent="0.3">
      <c r="F48" s="1">
        <v>46</v>
      </c>
      <c r="G48" s="1" t="s">
        <v>43</v>
      </c>
      <c r="H48" s="1">
        <v>1</v>
      </c>
      <c r="I48" s="1">
        <v>62</v>
      </c>
      <c r="J48" s="1">
        <v>2</v>
      </c>
      <c r="K48" s="1">
        <v>3</v>
      </c>
      <c r="M48" s="1" t="s">
        <v>43</v>
      </c>
      <c r="N48" s="1">
        <f t="shared" si="0"/>
        <v>0.14285714285714285</v>
      </c>
      <c r="O48" s="1">
        <f t="shared" si="1"/>
        <v>0.59047619047619049</v>
      </c>
      <c r="P48" s="1">
        <f t="shared" si="2"/>
        <v>0.5</v>
      </c>
      <c r="Q48" s="1">
        <f t="shared" si="3"/>
        <v>1</v>
      </c>
      <c r="S48" s="1" t="s">
        <v>43</v>
      </c>
      <c r="T48" s="1">
        <f t="shared" si="16"/>
        <v>1.4291548761875762E-2</v>
      </c>
      <c r="U48" s="1">
        <f t="shared" si="4"/>
        <v>4.4974296590208199E-2</v>
      </c>
      <c r="V48" s="1">
        <f t="shared" si="5"/>
        <v>3.1574382095289864E-2</v>
      </c>
      <c r="W48" s="1">
        <f t="shared" si="6"/>
        <v>4.0360367639778717E-2</v>
      </c>
      <c r="Y48" s="1" t="s">
        <v>43</v>
      </c>
      <c r="Z48" s="1">
        <f t="shared" si="7"/>
        <v>4.2874646285627283E-3</v>
      </c>
      <c r="AA48" s="1">
        <f t="shared" si="8"/>
        <v>8.9948593180416408E-3</v>
      </c>
      <c r="AB48" s="1">
        <f t="shared" si="9"/>
        <v>9.4723146285869593E-3</v>
      </c>
      <c r="AC48" s="1">
        <f t="shared" si="10"/>
        <v>8.0720735279557441E-3</v>
      </c>
      <c r="AK48" s="17" t="s">
        <v>637</v>
      </c>
      <c r="AL48" s="17">
        <f t="shared" si="11"/>
        <v>2.7073656499998048E-2</v>
      </c>
      <c r="AM48" s="17">
        <f t="shared" si="12"/>
        <v>1.3066856918170248E-2</v>
      </c>
      <c r="AO48" s="17" t="s">
        <v>1349</v>
      </c>
      <c r="AP48" s="17">
        <f t="shared" si="13"/>
        <v>0.49570786694100144</v>
      </c>
      <c r="AR48" s="1" t="s">
        <v>43</v>
      </c>
      <c r="AS48" s="17">
        <f t="shared" si="14"/>
        <v>0.49570786694100144</v>
      </c>
      <c r="AT48" s="17">
        <f t="shared" si="15"/>
        <v>540</v>
      </c>
    </row>
    <row r="49" spans="6:46" x14ac:dyDescent="0.3">
      <c r="F49" s="1">
        <v>47</v>
      </c>
      <c r="G49" s="1" t="s">
        <v>44</v>
      </c>
      <c r="H49" s="1">
        <v>2</v>
      </c>
      <c r="I49" s="1">
        <v>74</v>
      </c>
      <c r="J49" s="1">
        <v>2</v>
      </c>
      <c r="K49" s="1">
        <v>3</v>
      </c>
      <c r="M49" s="1" t="s">
        <v>44</v>
      </c>
      <c r="N49" s="1">
        <f t="shared" si="0"/>
        <v>0.2857142857142857</v>
      </c>
      <c r="O49" s="1">
        <f t="shared" si="1"/>
        <v>0.70476190476190481</v>
      </c>
      <c r="P49" s="1">
        <f t="shared" si="2"/>
        <v>0.5</v>
      </c>
      <c r="Q49" s="1">
        <f t="shared" si="3"/>
        <v>1</v>
      </c>
      <c r="S49" s="1" t="s">
        <v>44</v>
      </c>
      <c r="T49" s="1">
        <f t="shared" si="16"/>
        <v>2.8583097523751523E-2</v>
      </c>
      <c r="U49" s="1">
        <f t="shared" si="4"/>
        <v>5.3678999156054945E-2</v>
      </c>
      <c r="V49" s="1">
        <f t="shared" si="5"/>
        <v>3.1574382095289864E-2</v>
      </c>
      <c r="W49" s="1">
        <f t="shared" si="6"/>
        <v>4.0360367639778717E-2</v>
      </c>
      <c r="Y49" s="1" t="s">
        <v>44</v>
      </c>
      <c r="Z49" s="1">
        <f t="shared" si="7"/>
        <v>8.5749292571254566E-3</v>
      </c>
      <c r="AA49" s="1">
        <f t="shared" si="8"/>
        <v>1.073579983121099E-2</v>
      </c>
      <c r="AB49" s="1">
        <f t="shared" si="9"/>
        <v>9.4723146285869593E-3</v>
      </c>
      <c r="AC49" s="1">
        <f t="shared" si="10"/>
        <v>8.0720735279557441E-3</v>
      </c>
      <c r="AK49" s="17" t="s">
        <v>638</v>
      </c>
      <c r="AL49" s="17">
        <f t="shared" si="11"/>
        <v>2.2629330636576787E-2</v>
      </c>
      <c r="AM49" s="17">
        <f t="shared" si="12"/>
        <v>1.5783741895269533E-2</v>
      </c>
      <c r="AO49" s="17" t="s">
        <v>1350</v>
      </c>
      <c r="AP49" s="17">
        <f t="shared" si="13"/>
        <v>0.7132741868736806</v>
      </c>
      <c r="AR49" s="1" t="s">
        <v>44</v>
      </c>
      <c r="AS49" s="17">
        <f t="shared" si="14"/>
        <v>0.7132741868736806</v>
      </c>
      <c r="AT49" s="17">
        <f t="shared" si="15"/>
        <v>335</v>
      </c>
    </row>
    <row r="50" spans="6:46" x14ac:dyDescent="0.3">
      <c r="F50" s="1">
        <v>48</v>
      </c>
      <c r="G50" s="1" t="s">
        <v>45</v>
      </c>
      <c r="H50" s="1">
        <v>3</v>
      </c>
      <c r="I50" s="1">
        <v>39</v>
      </c>
      <c r="J50" s="1">
        <v>2</v>
      </c>
      <c r="K50" s="1">
        <v>3</v>
      </c>
      <c r="M50" s="1" t="s">
        <v>45</v>
      </c>
      <c r="N50" s="1">
        <f t="shared" si="0"/>
        <v>0.42857142857142855</v>
      </c>
      <c r="O50" s="1">
        <f t="shared" si="1"/>
        <v>0.37142857142857144</v>
      </c>
      <c r="P50" s="1">
        <f t="shared" si="2"/>
        <v>0.5</v>
      </c>
      <c r="Q50" s="1">
        <f t="shared" si="3"/>
        <v>1</v>
      </c>
      <c r="S50" s="1" t="s">
        <v>45</v>
      </c>
      <c r="T50" s="1">
        <f t="shared" si="16"/>
        <v>4.2874646285627281E-2</v>
      </c>
      <c r="U50" s="1">
        <f t="shared" si="4"/>
        <v>2.829028333900193E-2</v>
      </c>
      <c r="V50" s="1">
        <f t="shared" si="5"/>
        <v>3.1574382095289864E-2</v>
      </c>
      <c r="W50" s="1">
        <f t="shared" si="6"/>
        <v>4.0360367639778717E-2</v>
      </c>
      <c r="Y50" s="1" t="s">
        <v>45</v>
      </c>
      <c r="Z50" s="1">
        <f t="shared" si="7"/>
        <v>1.2862393885688184E-2</v>
      </c>
      <c r="AA50" s="1">
        <f t="shared" si="8"/>
        <v>5.658056667800386E-3</v>
      </c>
      <c r="AB50" s="1">
        <f t="shared" si="9"/>
        <v>9.4723146285869593E-3</v>
      </c>
      <c r="AC50" s="1">
        <f t="shared" si="10"/>
        <v>8.0720735279557441E-3</v>
      </c>
      <c r="AK50" s="17" t="s">
        <v>639</v>
      </c>
      <c r="AL50" s="17">
        <f t="shared" si="11"/>
        <v>2.0447554612483942E-2</v>
      </c>
      <c r="AM50" s="17">
        <f t="shared" si="12"/>
        <v>1.7035492138110675E-2</v>
      </c>
      <c r="AO50" s="17" t="s">
        <v>1351</v>
      </c>
      <c r="AP50" s="17">
        <f t="shared" si="13"/>
        <v>0.85016651738598625</v>
      </c>
      <c r="AR50" s="1" t="s">
        <v>45</v>
      </c>
      <c r="AS50" s="17">
        <f t="shared" si="14"/>
        <v>0.85016651738598625</v>
      </c>
      <c r="AT50" s="17">
        <f t="shared" si="15"/>
        <v>257</v>
      </c>
    </row>
    <row r="51" spans="6:46" x14ac:dyDescent="0.3">
      <c r="F51" s="1">
        <v>49</v>
      </c>
      <c r="G51" s="1" t="s">
        <v>46</v>
      </c>
      <c r="H51" s="1">
        <v>1</v>
      </c>
      <c r="I51" s="1">
        <v>42</v>
      </c>
      <c r="J51" s="1">
        <v>2</v>
      </c>
      <c r="K51" s="1">
        <v>1</v>
      </c>
      <c r="M51" s="1" t="s">
        <v>46</v>
      </c>
      <c r="N51" s="1">
        <f t="shared" si="0"/>
        <v>0.14285714285714285</v>
      </c>
      <c r="O51" s="1">
        <f t="shared" si="1"/>
        <v>0.4</v>
      </c>
      <c r="P51" s="1">
        <f t="shared" si="2"/>
        <v>0.5</v>
      </c>
      <c r="Q51" s="1">
        <f t="shared" si="3"/>
        <v>0.33333333333333331</v>
      </c>
      <c r="S51" s="1" t="s">
        <v>46</v>
      </c>
      <c r="T51" s="1">
        <f t="shared" si="16"/>
        <v>1.4291548761875762E-2</v>
      </c>
      <c r="U51" s="1">
        <f t="shared" si="4"/>
        <v>3.0466458980463618E-2</v>
      </c>
      <c r="V51" s="1">
        <f t="shared" si="5"/>
        <v>3.1574382095289864E-2</v>
      </c>
      <c r="W51" s="1">
        <f t="shared" si="6"/>
        <v>1.3453455879926239E-2</v>
      </c>
      <c r="Y51" s="1" t="s">
        <v>46</v>
      </c>
      <c r="Z51" s="1">
        <f t="shared" si="7"/>
        <v>4.2874646285627283E-3</v>
      </c>
      <c r="AA51" s="1">
        <f t="shared" si="8"/>
        <v>6.0932917960927237E-3</v>
      </c>
      <c r="AB51" s="1">
        <f t="shared" si="9"/>
        <v>9.4723146285869593E-3</v>
      </c>
      <c r="AC51" s="1">
        <f t="shared" si="10"/>
        <v>2.6906911759852479E-3</v>
      </c>
      <c r="AK51" s="17" t="s">
        <v>640</v>
      </c>
      <c r="AL51" s="17">
        <f t="shared" si="11"/>
        <v>2.8400058995457361E-2</v>
      </c>
      <c r="AM51" s="17">
        <f t="shared" si="12"/>
        <v>1.0794729799700769E-2</v>
      </c>
      <c r="AO51" s="17" t="s">
        <v>1352</v>
      </c>
      <c r="AP51" s="17">
        <f t="shared" si="13"/>
        <v>0.39089005993360659</v>
      </c>
      <c r="AR51" s="1" t="s">
        <v>46</v>
      </c>
      <c r="AS51" s="17">
        <f t="shared" si="14"/>
        <v>0.39089005993360659</v>
      </c>
      <c r="AT51" s="17">
        <f t="shared" si="15"/>
        <v>607</v>
      </c>
    </row>
    <row r="52" spans="6:46" x14ac:dyDescent="0.3">
      <c r="F52" s="1">
        <v>50</v>
      </c>
      <c r="G52" s="1" t="s">
        <v>47</v>
      </c>
      <c r="H52" s="1">
        <v>2</v>
      </c>
      <c r="I52" s="1">
        <v>33</v>
      </c>
      <c r="J52" s="1">
        <v>2</v>
      </c>
      <c r="K52" s="1">
        <v>3</v>
      </c>
      <c r="M52" s="1" t="s">
        <v>47</v>
      </c>
      <c r="N52" s="1">
        <f t="shared" si="0"/>
        <v>0.2857142857142857</v>
      </c>
      <c r="O52" s="1">
        <f t="shared" si="1"/>
        <v>0.31428571428571428</v>
      </c>
      <c r="P52" s="1">
        <f t="shared" si="2"/>
        <v>0.5</v>
      </c>
      <c r="Q52" s="1">
        <f t="shared" si="3"/>
        <v>1</v>
      </c>
      <c r="S52" s="1" t="s">
        <v>47</v>
      </c>
      <c r="T52" s="1">
        <f t="shared" si="16"/>
        <v>2.8583097523751523E-2</v>
      </c>
      <c r="U52" s="1">
        <f t="shared" si="4"/>
        <v>2.3937932056078554E-2</v>
      </c>
      <c r="V52" s="1">
        <f t="shared" si="5"/>
        <v>3.1574382095289864E-2</v>
      </c>
      <c r="W52" s="1">
        <f t="shared" si="6"/>
        <v>4.0360367639778717E-2</v>
      </c>
      <c r="Y52" s="1" t="s">
        <v>47</v>
      </c>
      <c r="Z52" s="1">
        <f t="shared" si="7"/>
        <v>8.5749292571254566E-3</v>
      </c>
      <c r="AA52" s="1">
        <f t="shared" si="8"/>
        <v>4.7875864112157107E-3</v>
      </c>
      <c r="AB52" s="1">
        <f t="shared" si="9"/>
        <v>9.4723146285869593E-3</v>
      </c>
      <c r="AC52" s="1">
        <f t="shared" si="10"/>
        <v>8.0720735279557441E-3</v>
      </c>
      <c r="AK52" s="17" t="s">
        <v>641</v>
      </c>
      <c r="AL52" s="17">
        <f t="shared" si="11"/>
        <v>2.4514713762470684E-2</v>
      </c>
      <c r="AM52" s="17">
        <f t="shared" si="12"/>
        <v>1.3955651477673404E-2</v>
      </c>
      <c r="AO52" s="17" t="s">
        <v>1353</v>
      </c>
      <c r="AP52" s="17">
        <f t="shared" si="13"/>
        <v>0.58323219343093757</v>
      </c>
      <c r="AR52" s="1" t="s">
        <v>47</v>
      </c>
      <c r="AS52" s="17">
        <f t="shared" si="14"/>
        <v>0.58323219343093757</v>
      </c>
      <c r="AT52" s="17">
        <f t="shared" si="15"/>
        <v>463</v>
      </c>
    </row>
    <row r="53" spans="6:46" x14ac:dyDescent="0.3">
      <c r="F53" s="1">
        <v>51</v>
      </c>
      <c r="G53" s="1" t="s">
        <v>48</v>
      </c>
      <c r="H53" s="1">
        <v>2</v>
      </c>
      <c r="I53" s="1">
        <v>70</v>
      </c>
      <c r="J53" s="1">
        <v>2</v>
      </c>
      <c r="K53" s="1">
        <v>3</v>
      </c>
      <c r="M53" s="1" t="s">
        <v>48</v>
      </c>
      <c r="N53" s="1">
        <f t="shared" si="0"/>
        <v>0.2857142857142857</v>
      </c>
      <c r="O53" s="1">
        <f t="shared" si="1"/>
        <v>0.66666666666666663</v>
      </c>
      <c r="P53" s="1">
        <f t="shared" si="2"/>
        <v>0.5</v>
      </c>
      <c r="Q53" s="1">
        <f t="shared" si="3"/>
        <v>1</v>
      </c>
      <c r="S53" s="1" t="s">
        <v>48</v>
      </c>
      <c r="T53" s="1">
        <f t="shared" si="16"/>
        <v>2.8583097523751523E-2</v>
      </c>
      <c r="U53" s="1">
        <f t="shared" si="4"/>
        <v>5.0777431634106023E-2</v>
      </c>
      <c r="V53" s="1">
        <f t="shared" si="5"/>
        <v>3.1574382095289864E-2</v>
      </c>
      <c r="W53" s="1">
        <f t="shared" si="6"/>
        <v>4.0360367639778717E-2</v>
      </c>
      <c r="Y53" s="1" t="s">
        <v>48</v>
      </c>
      <c r="Z53" s="1">
        <f t="shared" si="7"/>
        <v>8.5749292571254566E-3</v>
      </c>
      <c r="AA53" s="1">
        <f t="shared" si="8"/>
        <v>1.0155486326821206E-2</v>
      </c>
      <c r="AB53" s="1">
        <f t="shared" si="9"/>
        <v>9.4723146285869593E-3</v>
      </c>
      <c r="AC53" s="1">
        <f t="shared" si="10"/>
        <v>8.0720735279557441E-3</v>
      </c>
      <c r="AK53" s="17" t="s">
        <v>642</v>
      </c>
      <c r="AL53" s="17">
        <f t="shared" si="11"/>
        <v>2.2751773714487313E-2</v>
      </c>
      <c r="AM53" s="17">
        <f t="shared" si="12"/>
        <v>1.5514748278075861E-2</v>
      </c>
      <c r="AO53" s="17" t="s">
        <v>1354</v>
      </c>
      <c r="AP53" s="17">
        <f t="shared" si="13"/>
        <v>0.69742853982553499</v>
      </c>
      <c r="AR53" s="1" t="s">
        <v>48</v>
      </c>
      <c r="AS53" s="17">
        <f t="shared" si="14"/>
        <v>0.69742853982553499</v>
      </c>
      <c r="AT53" s="17">
        <f t="shared" si="15"/>
        <v>345</v>
      </c>
    </row>
    <row r="54" spans="6:46" x14ac:dyDescent="0.3">
      <c r="F54" s="1">
        <v>52</v>
      </c>
      <c r="G54" s="1" t="s">
        <v>49</v>
      </c>
      <c r="H54" s="1">
        <v>0</v>
      </c>
      <c r="I54" s="1">
        <v>66</v>
      </c>
      <c r="J54" s="1">
        <v>1</v>
      </c>
      <c r="K54" s="1">
        <v>1</v>
      </c>
      <c r="M54" s="1" t="s">
        <v>49</v>
      </c>
      <c r="N54" s="1">
        <f t="shared" si="0"/>
        <v>0</v>
      </c>
      <c r="O54" s="1">
        <f t="shared" si="1"/>
        <v>0.62857142857142856</v>
      </c>
      <c r="P54" s="1">
        <f t="shared" si="2"/>
        <v>1</v>
      </c>
      <c r="Q54" s="1">
        <f t="shared" si="3"/>
        <v>0.33333333333333331</v>
      </c>
      <c r="S54" s="1" t="s">
        <v>49</v>
      </c>
      <c r="T54" s="1">
        <f t="shared" si="16"/>
        <v>0</v>
      </c>
      <c r="U54" s="1">
        <f t="shared" si="4"/>
        <v>4.7875864112157107E-2</v>
      </c>
      <c r="V54" s="1">
        <f t="shared" si="5"/>
        <v>6.3148764190579729E-2</v>
      </c>
      <c r="W54" s="1">
        <f t="shared" si="6"/>
        <v>1.3453455879926239E-2</v>
      </c>
      <c r="Y54" s="1" t="s">
        <v>49</v>
      </c>
      <c r="Z54" s="1">
        <f t="shared" si="7"/>
        <v>0</v>
      </c>
      <c r="AA54" s="1">
        <f t="shared" si="8"/>
        <v>9.5751728224314214E-3</v>
      </c>
      <c r="AB54" s="1">
        <f t="shared" si="9"/>
        <v>1.8944629257173919E-2</v>
      </c>
      <c r="AC54" s="1">
        <f t="shared" si="10"/>
        <v>2.6906911759852479E-3</v>
      </c>
      <c r="AK54" s="17" t="s">
        <v>643</v>
      </c>
      <c r="AL54" s="17">
        <f t="shared" si="11"/>
        <v>3.4516713648818351E-2</v>
      </c>
      <c r="AM54" s="17">
        <f t="shared" si="12"/>
        <v>6.3834485482876131E-3</v>
      </c>
      <c r="AO54" s="17" t="s">
        <v>1355</v>
      </c>
      <c r="AP54" s="17">
        <f t="shared" si="13"/>
        <v>0.19132134887200936</v>
      </c>
      <c r="AR54" s="1" t="s">
        <v>49</v>
      </c>
      <c r="AS54" s="17">
        <f t="shared" si="14"/>
        <v>0.19132134887200936</v>
      </c>
      <c r="AT54" s="17">
        <f t="shared" si="15"/>
        <v>688</v>
      </c>
    </row>
    <row r="55" spans="6:46" x14ac:dyDescent="0.3">
      <c r="F55" s="1">
        <v>53</v>
      </c>
      <c r="G55" s="1" t="s">
        <v>50</v>
      </c>
      <c r="H55" s="1">
        <v>2</v>
      </c>
      <c r="I55" s="1">
        <v>28</v>
      </c>
      <c r="J55" s="1">
        <v>2</v>
      </c>
      <c r="K55" s="1">
        <v>3</v>
      </c>
      <c r="M55" s="1" t="s">
        <v>50</v>
      </c>
      <c r="N55" s="1">
        <f t="shared" si="0"/>
        <v>0.2857142857142857</v>
      </c>
      <c r="O55" s="1">
        <f t="shared" si="1"/>
        <v>0.26666666666666666</v>
      </c>
      <c r="P55" s="1">
        <f t="shared" si="2"/>
        <v>0.5</v>
      </c>
      <c r="Q55" s="1">
        <f t="shared" si="3"/>
        <v>1</v>
      </c>
      <c r="S55" s="1" t="s">
        <v>50</v>
      </c>
      <c r="T55" s="1">
        <f t="shared" si="16"/>
        <v>2.8583097523751523E-2</v>
      </c>
      <c r="U55" s="1">
        <f t="shared" si="4"/>
        <v>2.0310972653642411E-2</v>
      </c>
      <c r="V55" s="1">
        <f t="shared" si="5"/>
        <v>3.1574382095289864E-2</v>
      </c>
      <c r="W55" s="1">
        <f t="shared" si="6"/>
        <v>4.0360367639778717E-2</v>
      </c>
      <c r="Y55" s="1" t="s">
        <v>50</v>
      </c>
      <c r="Z55" s="1">
        <f t="shared" si="7"/>
        <v>8.5749292571254566E-3</v>
      </c>
      <c r="AA55" s="1">
        <f t="shared" si="8"/>
        <v>4.0621945307284827E-3</v>
      </c>
      <c r="AB55" s="1">
        <f t="shared" si="9"/>
        <v>9.4723146285869593E-3</v>
      </c>
      <c r="AC55" s="1">
        <f t="shared" si="10"/>
        <v>8.0720735279557441E-3</v>
      </c>
      <c r="AK55" s="17" t="s">
        <v>644</v>
      </c>
      <c r="AL55" s="17">
        <f t="shared" si="11"/>
        <v>2.4832473771014402E-2</v>
      </c>
      <c r="AM55" s="17">
        <f t="shared" si="12"/>
        <v>1.3891405640659505E-2</v>
      </c>
      <c r="AO55" s="17" t="s">
        <v>1356</v>
      </c>
      <c r="AP55" s="17">
        <f t="shared" si="13"/>
        <v>0.57329623049843059</v>
      </c>
      <c r="AR55" s="1" t="s">
        <v>50</v>
      </c>
      <c r="AS55" s="17">
        <f t="shared" si="14"/>
        <v>0.57329623049843059</v>
      </c>
      <c r="AT55" s="17">
        <f t="shared" si="15"/>
        <v>484</v>
      </c>
    </row>
    <row r="56" spans="6:46" x14ac:dyDescent="0.3">
      <c r="F56" s="1">
        <v>54</v>
      </c>
      <c r="G56" s="1" t="s">
        <v>51</v>
      </c>
      <c r="H56" s="1">
        <v>1</v>
      </c>
      <c r="I56" s="1">
        <v>52</v>
      </c>
      <c r="J56" s="1">
        <v>2</v>
      </c>
      <c r="K56" s="1">
        <v>3</v>
      </c>
      <c r="M56" s="1" t="s">
        <v>51</v>
      </c>
      <c r="N56" s="1">
        <f t="shared" si="0"/>
        <v>0.14285714285714285</v>
      </c>
      <c r="O56" s="1">
        <f t="shared" si="1"/>
        <v>0.49523809523809526</v>
      </c>
      <c r="P56" s="1">
        <f t="shared" si="2"/>
        <v>0.5</v>
      </c>
      <c r="Q56" s="1">
        <f t="shared" si="3"/>
        <v>1</v>
      </c>
      <c r="S56" s="1" t="s">
        <v>51</v>
      </c>
      <c r="T56" s="1">
        <f t="shared" si="16"/>
        <v>1.4291548761875762E-2</v>
      </c>
      <c r="U56" s="1">
        <f t="shared" si="4"/>
        <v>3.7720377785335907E-2</v>
      </c>
      <c r="V56" s="1">
        <f t="shared" si="5"/>
        <v>3.1574382095289864E-2</v>
      </c>
      <c r="W56" s="1">
        <f t="shared" si="6"/>
        <v>4.0360367639778717E-2</v>
      </c>
      <c r="Y56" s="1" t="s">
        <v>51</v>
      </c>
      <c r="Z56" s="1">
        <f t="shared" si="7"/>
        <v>4.2874646285627283E-3</v>
      </c>
      <c r="AA56" s="1">
        <f t="shared" si="8"/>
        <v>7.5440755570671814E-3</v>
      </c>
      <c r="AB56" s="1">
        <f t="shared" si="9"/>
        <v>9.4723146285869593E-3</v>
      </c>
      <c r="AC56" s="1">
        <f t="shared" si="10"/>
        <v>8.0720735279557441E-3</v>
      </c>
      <c r="AK56" s="17" t="s">
        <v>645</v>
      </c>
      <c r="AL56" s="17">
        <f t="shared" si="11"/>
        <v>2.7444283595723821E-2</v>
      </c>
      <c r="AM56" s="17">
        <f t="shared" si="12"/>
        <v>1.2490369693174949E-2</v>
      </c>
      <c r="AO56" s="17" t="s">
        <v>1357</v>
      </c>
      <c r="AP56" s="17">
        <f t="shared" si="13"/>
        <v>0.46760772225985348</v>
      </c>
      <c r="AR56" s="1" t="s">
        <v>51</v>
      </c>
      <c r="AS56" s="17">
        <f t="shared" si="14"/>
        <v>0.46760772225985348</v>
      </c>
      <c r="AT56" s="17">
        <f t="shared" si="15"/>
        <v>559</v>
      </c>
    </row>
    <row r="57" spans="6:46" x14ac:dyDescent="0.3">
      <c r="F57" s="1">
        <v>55</v>
      </c>
      <c r="G57" s="1" t="s">
        <v>52</v>
      </c>
      <c r="H57" s="1">
        <v>2</v>
      </c>
      <c r="I57" s="1">
        <v>46</v>
      </c>
      <c r="J57" s="1">
        <v>3</v>
      </c>
      <c r="K57" s="1">
        <v>3</v>
      </c>
      <c r="M57" s="1" t="s">
        <v>52</v>
      </c>
      <c r="N57" s="1">
        <f t="shared" si="0"/>
        <v>0.2857142857142857</v>
      </c>
      <c r="O57" s="1">
        <f t="shared" si="1"/>
        <v>0.43809523809523809</v>
      </c>
      <c r="P57" s="1">
        <f t="shared" si="2"/>
        <v>0.33333333333333331</v>
      </c>
      <c r="Q57" s="1">
        <f t="shared" si="3"/>
        <v>1</v>
      </c>
      <c r="S57" s="1" t="s">
        <v>52</v>
      </c>
      <c r="T57" s="1">
        <f t="shared" si="16"/>
        <v>2.8583097523751523E-2</v>
      </c>
      <c r="U57" s="1">
        <f t="shared" si="4"/>
        <v>3.336802650241253E-2</v>
      </c>
      <c r="V57" s="1">
        <f t="shared" si="5"/>
        <v>2.1049588063526574E-2</v>
      </c>
      <c r="W57" s="1">
        <f t="shared" si="6"/>
        <v>4.0360367639778717E-2</v>
      </c>
      <c r="Y57" s="1" t="s">
        <v>52</v>
      </c>
      <c r="Z57" s="1">
        <f t="shared" si="7"/>
        <v>8.5749292571254566E-3</v>
      </c>
      <c r="AA57" s="1">
        <f t="shared" si="8"/>
        <v>6.6736053004825061E-3</v>
      </c>
      <c r="AB57" s="1">
        <f t="shared" si="9"/>
        <v>6.314876419057972E-3</v>
      </c>
      <c r="AC57" s="1">
        <f t="shared" si="10"/>
        <v>8.0720735279557441E-3</v>
      </c>
      <c r="AK57" s="17" t="s">
        <v>646</v>
      </c>
      <c r="AL57" s="17">
        <f t="shared" si="11"/>
        <v>2.3220818591712714E-2</v>
      </c>
      <c r="AM57" s="17">
        <f t="shared" si="12"/>
        <v>1.655665545985302E-2</v>
      </c>
      <c r="AO57" s="17" t="s">
        <v>1358</v>
      </c>
      <c r="AP57" s="17">
        <f t="shared" si="13"/>
        <v>0.72956577675594425</v>
      </c>
      <c r="AR57" s="1" t="s">
        <v>52</v>
      </c>
      <c r="AS57" s="17">
        <f t="shared" si="14"/>
        <v>0.72956577675594425</v>
      </c>
      <c r="AT57" s="17">
        <f t="shared" si="15"/>
        <v>327</v>
      </c>
    </row>
    <row r="58" spans="6:46" x14ac:dyDescent="0.3">
      <c r="F58" s="1">
        <v>56</v>
      </c>
      <c r="G58" s="1" t="s">
        <v>53</v>
      </c>
      <c r="H58" s="1">
        <v>2</v>
      </c>
      <c r="I58" s="1">
        <v>34</v>
      </c>
      <c r="J58" s="1">
        <v>3</v>
      </c>
      <c r="K58" s="1">
        <v>3</v>
      </c>
      <c r="M58" s="1" t="s">
        <v>53</v>
      </c>
      <c r="N58" s="1">
        <f t="shared" si="0"/>
        <v>0.2857142857142857</v>
      </c>
      <c r="O58" s="1">
        <f t="shared" si="1"/>
        <v>0.32380952380952382</v>
      </c>
      <c r="P58" s="1">
        <f t="shared" si="2"/>
        <v>0.33333333333333331</v>
      </c>
      <c r="Q58" s="1">
        <f t="shared" si="3"/>
        <v>1</v>
      </c>
      <c r="S58" s="1" t="s">
        <v>53</v>
      </c>
      <c r="T58" s="1">
        <f t="shared" si="16"/>
        <v>2.8583097523751523E-2</v>
      </c>
      <c r="U58" s="1">
        <f t="shared" si="4"/>
        <v>2.4663323936565784E-2</v>
      </c>
      <c r="V58" s="1">
        <f t="shared" si="5"/>
        <v>2.1049588063526574E-2</v>
      </c>
      <c r="W58" s="1">
        <f t="shared" si="6"/>
        <v>4.0360367639778717E-2</v>
      </c>
      <c r="Y58" s="1" t="s">
        <v>53</v>
      </c>
      <c r="Z58" s="1">
        <f t="shared" si="7"/>
        <v>8.5749292571254566E-3</v>
      </c>
      <c r="AA58" s="1">
        <f t="shared" si="8"/>
        <v>4.9326647873131572E-3</v>
      </c>
      <c r="AB58" s="1">
        <f t="shared" si="9"/>
        <v>6.314876419057972E-3</v>
      </c>
      <c r="AC58" s="1">
        <f t="shared" si="10"/>
        <v>8.0720735279557441E-3</v>
      </c>
      <c r="AK58" s="17" t="s">
        <v>647</v>
      </c>
      <c r="AL58" s="17">
        <f t="shared" si="11"/>
        <v>2.391737617295223E-2</v>
      </c>
      <c r="AM58" s="17">
        <f t="shared" si="12"/>
        <v>1.6279748720576057E-2</v>
      </c>
      <c r="AO58" s="17" t="s">
        <v>1359</v>
      </c>
      <c r="AP58" s="17">
        <f t="shared" si="13"/>
        <v>0.69694591389075722</v>
      </c>
      <c r="AR58" s="1" t="s">
        <v>53</v>
      </c>
      <c r="AS58" s="17">
        <f t="shared" si="14"/>
        <v>0.69694591389075722</v>
      </c>
      <c r="AT58" s="17">
        <f t="shared" si="15"/>
        <v>348</v>
      </c>
    </row>
    <row r="59" spans="6:46" x14ac:dyDescent="0.3">
      <c r="F59" s="1">
        <v>57</v>
      </c>
      <c r="G59" s="1" t="s">
        <v>54</v>
      </c>
      <c r="H59" s="1">
        <v>2</v>
      </c>
      <c r="I59" s="1">
        <v>37</v>
      </c>
      <c r="J59" s="1">
        <v>2</v>
      </c>
      <c r="K59" s="1">
        <v>3</v>
      </c>
      <c r="M59" s="1" t="s">
        <v>54</v>
      </c>
      <c r="N59" s="1">
        <f t="shared" si="0"/>
        <v>0.2857142857142857</v>
      </c>
      <c r="O59" s="1">
        <f t="shared" si="1"/>
        <v>0.35238095238095241</v>
      </c>
      <c r="P59" s="1">
        <f t="shared" si="2"/>
        <v>0.5</v>
      </c>
      <c r="Q59" s="1">
        <f t="shared" si="3"/>
        <v>1</v>
      </c>
      <c r="S59" s="1" t="s">
        <v>54</v>
      </c>
      <c r="T59" s="1">
        <f t="shared" si="16"/>
        <v>2.8583097523751523E-2</v>
      </c>
      <c r="U59" s="1">
        <f t="shared" si="4"/>
        <v>2.6839499578027472E-2</v>
      </c>
      <c r="V59" s="1">
        <f t="shared" si="5"/>
        <v>3.1574382095289864E-2</v>
      </c>
      <c r="W59" s="1">
        <f t="shared" si="6"/>
        <v>4.0360367639778717E-2</v>
      </c>
      <c r="Y59" s="1" t="s">
        <v>54</v>
      </c>
      <c r="Z59" s="1">
        <f t="shared" si="7"/>
        <v>8.5749292571254566E-3</v>
      </c>
      <c r="AA59" s="1">
        <f t="shared" si="8"/>
        <v>5.3678999156054948E-3</v>
      </c>
      <c r="AB59" s="1">
        <f t="shared" si="9"/>
        <v>9.4723146285869593E-3</v>
      </c>
      <c r="AC59" s="1">
        <f t="shared" si="10"/>
        <v>8.0720735279557441E-3</v>
      </c>
      <c r="AK59" s="17" t="s">
        <v>648</v>
      </c>
      <c r="AL59" s="17">
        <f t="shared" si="11"/>
        <v>2.4273122154714038E-2</v>
      </c>
      <c r="AM59" s="17">
        <f t="shared" si="12"/>
        <v>1.4033858080664751E-2</v>
      </c>
      <c r="AO59" s="17" t="s">
        <v>1360</v>
      </c>
      <c r="AP59" s="17">
        <f t="shared" si="13"/>
        <v>0.5921983806012775</v>
      </c>
      <c r="AR59" s="1" t="s">
        <v>54</v>
      </c>
      <c r="AS59" s="17">
        <f t="shared" si="14"/>
        <v>0.5921983806012775</v>
      </c>
      <c r="AT59" s="17">
        <f t="shared" si="15"/>
        <v>448</v>
      </c>
    </row>
    <row r="60" spans="6:46" x14ac:dyDescent="0.3">
      <c r="F60" s="1">
        <v>58</v>
      </c>
      <c r="G60" s="1" t="s">
        <v>54</v>
      </c>
      <c r="H60" s="1">
        <v>2</v>
      </c>
      <c r="I60" s="1">
        <v>39</v>
      </c>
      <c r="J60" s="1">
        <v>2</v>
      </c>
      <c r="K60" s="1">
        <v>3</v>
      </c>
      <c r="M60" s="1" t="s">
        <v>54</v>
      </c>
      <c r="N60" s="1">
        <f t="shared" si="0"/>
        <v>0.2857142857142857</v>
      </c>
      <c r="O60" s="1">
        <f t="shared" si="1"/>
        <v>0.37142857142857144</v>
      </c>
      <c r="P60" s="1">
        <f t="shared" si="2"/>
        <v>0.5</v>
      </c>
      <c r="Q60" s="1">
        <f t="shared" si="3"/>
        <v>1</v>
      </c>
      <c r="S60" s="1" t="s">
        <v>54</v>
      </c>
      <c r="T60" s="1">
        <f t="shared" si="16"/>
        <v>2.8583097523751523E-2</v>
      </c>
      <c r="U60" s="1">
        <f t="shared" si="4"/>
        <v>2.829028333900193E-2</v>
      </c>
      <c r="V60" s="1">
        <f t="shared" si="5"/>
        <v>3.1574382095289864E-2</v>
      </c>
      <c r="W60" s="1">
        <f t="shared" si="6"/>
        <v>4.0360367639778717E-2</v>
      </c>
      <c r="Y60" s="1" t="s">
        <v>54</v>
      </c>
      <c r="Z60" s="1">
        <f t="shared" si="7"/>
        <v>8.5749292571254566E-3</v>
      </c>
      <c r="AA60" s="1">
        <f t="shared" si="8"/>
        <v>5.658056667800386E-3</v>
      </c>
      <c r="AB60" s="1">
        <f t="shared" si="9"/>
        <v>9.4723146285869593E-3</v>
      </c>
      <c r="AC60" s="1">
        <f t="shared" si="10"/>
        <v>8.0720735279557441E-3</v>
      </c>
      <c r="AK60" s="17" t="s">
        <v>649</v>
      </c>
      <c r="AL60" s="17">
        <f t="shared" si="11"/>
        <v>2.4156648486516132E-2</v>
      </c>
      <c r="AM60" s="17">
        <f t="shared" si="12"/>
        <v>1.4081769337755392E-2</v>
      </c>
      <c r="AO60" s="17" t="s">
        <v>1361</v>
      </c>
      <c r="AP60" s="17">
        <f t="shared" si="13"/>
        <v>0.59701732621418291</v>
      </c>
      <c r="AR60" s="1" t="s">
        <v>54</v>
      </c>
      <c r="AS60" s="17">
        <f t="shared" si="14"/>
        <v>0.59701732621418291</v>
      </c>
      <c r="AT60" s="17">
        <f t="shared" si="15"/>
        <v>437</v>
      </c>
    </row>
    <row r="61" spans="6:46" x14ac:dyDescent="0.3">
      <c r="F61" s="1">
        <v>59</v>
      </c>
      <c r="G61" s="1" t="s">
        <v>55</v>
      </c>
      <c r="H61" s="1">
        <v>2</v>
      </c>
      <c r="I61" s="1">
        <v>39</v>
      </c>
      <c r="J61" s="1">
        <v>3</v>
      </c>
      <c r="K61" s="1">
        <v>3</v>
      </c>
      <c r="M61" s="1" t="s">
        <v>55</v>
      </c>
      <c r="N61" s="1">
        <f t="shared" si="0"/>
        <v>0.2857142857142857</v>
      </c>
      <c r="O61" s="1">
        <f t="shared" si="1"/>
        <v>0.37142857142857144</v>
      </c>
      <c r="P61" s="1">
        <f t="shared" si="2"/>
        <v>0.33333333333333331</v>
      </c>
      <c r="Q61" s="1">
        <f t="shared" si="3"/>
        <v>1</v>
      </c>
      <c r="S61" s="1" t="s">
        <v>55</v>
      </c>
      <c r="T61" s="1">
        <f t="shared" si="16"/>
        <v>2.8583097523751523E-2</v>
      </c>
      <c r="U61" s="1">
        <f t="shared" si="4"/>
        <v>2.829028333900193E-2</v>
      </c>
      <c r="V61" s="1">
        <f t="shared" si="5"/>
        <v>2.1049588063526574E-2</v>
      </c>
      <c r="W61" s="1">
        <f t="shared" si="6"/>
        <v>4.0360367639778717E-2</v>
      </c>
      <c r="Y61" s="1" t="s">
        <v>55</v>
      </c>
      <c r="Z61" s="1">
        <f t="shared" si="7"/>
        <v>8.5749292571254566E-3</v>
      </c>
      <c r="AA61" s="1">
        <f t="shared" si="8"/>
        <v>5.658056667800386E-3</v>
      </c>
      <c r="AB61" s="1">
        <f t="shared" si="9"/>
        <v>6.314876419057972E-3</v>
      </c>
      <c r="AC61" s="1">
        <f t="shared" si="10"/>
        <v>8.0720735279557441E-3</v>
      </c>
      <c r="AK61" s="17" t="s">
        <v>650</v>
      </c>
      <c r="AL61" s="17">
        <f t="shared" si="11"/>
        <v>2.3614046336426945E-2</v>
      </c>
      <c r="AM61" s="17">
        <f t="shared" si="12"/>
        <v>1.6373214101412809E-2</v>
      </c>
      <c r="AO61" s="17" t="s">
        <v>1362</v>
      </c>
      <c r="AP61" s="17">
        <f t="shared" si="13"/>
        <v>0.70974079152314196</v>
      </c>
      <c r="AR61" s="1" t="s">
        <v>55</v>
      </c>
      <c r="AS61" s="17">
        <f t="shared" si="14"/>
        <v>0.70974079152314196</v>
      </c>
      <c r="AT61" s="17">
        <f t="shared" si="15"/>
        <v>337</v>
      </c>
    </row>
    <row r="62" spans="6:46" x14ac:dyDescent="0.3">
      <c r="F62" s="1">
        <v>60</v>
      </c>
      <c r="G62" s="1" t="s">
        <v>56</v>
      </c>
      <c r="H62" s="1">
        <v>3</v>
      </c>
      <c r="I62" s="1">
        <v>49</v>
      </c>
      <c r="J62" s="1">
        <v>2</v>
      </c>
      <c r="K62" s="1">
        <v>3</v>
      </c>
      <c r="M62" s="1" t="s">
        <v>56</v>
      </c>
      <c r="N62" s="1">
        <f t="shared" si="0"/>
        <v>0.42857142857142855</v>
      </c>
      <c r="O62" s="1">
        <f t="shared" si="1"/>
        <v>0.46666666666666667</v>
      </c>
      <c r="P62" s="1">
        <f t="shared" si="2"/>
        <v>0.5</v>
      </c>
      <c r="Q62" s="1">
        <f t="shared" si="3"/>
        <v>1</v>
      </c>
      <c r="S62" s="1" t="s">
        <v>56</v>
      </c>
      <c r="T62" s="1">
        <f t="shared" si="16"/>
        <v>4.2874646285627281E-2</v>
      </c>
      <c r="U62" s="1">
        <f t="shared" si="4"/>
        <v>3.5544202143874222E-2</v>
      </c>
      <c r="V62" s="1">
        <f t="shared" si="5"/>
        <v>3.1574382095289864E-2</v>
      </c>
      <c r="W62" s="1">
        <f t="shared" si="6"/>
        <v>4.0360367639778717E-2</v>
      </c>
      <c r="Y62" s="1" t="s">
        <v>56</v>
      </c>
      <c r="Z62" s="1">
        <f t="shared" si="7"/>
        <v>1.2862393885688184E-2</v>
      </c>
      <c r="AA62" s="1">
        <f t="shared" si="8"/>
        <v>7.1088404287748446E-3</v>
      </c>
      <c r="AB62" s="1">
        <f t="shared" si="9"/>
        <v>9.4723146285869593E-3</v>
      </c>
      <c r="AC62" s="1">
        <f t="shared" si="10"/>
        <v>8.0720735279557441E-3</v>
      </c>
      <c r="AK62" s="17" t="s">
        <v>651</v>
      </c>
      <c r="AL62" s="17">
        <f t="shared" si="11"/>
        <v>1.9809700973841212E-2</v>
      </c>
      <c r="AM62" s="17">
        <f t="shared" si="12"/>
        <v>1.7305172518079736E-2</v>
      </c>
      <c r="AO62" s="17" t="s">
        <v>1363</v>
      </c>
      <c r="AP62" s="17">
        <f t="shared" si="13"/>
        <v>0.89087578021838187</v>
      </c>
      <c r="AR62" s="1" t="s">
        <v>56</v>
      </c>
      <c r="AS62" s="17">
        <f t="shared" si="14"/>
        <v>0.89087578021838187</v>
      </c>
      <c r="AT62" s="17">
        <f t="shared" si="15"/>
        <v>187</v>
      </c>
    </row>
    <row r="63" spans="6:46" x14ac:dyDescent="0.3">
      <c r="F63" s="1">
        <v>61</v>
      </c>
      <c r="G63" s="1" t="s">
        <v>57</v>
      </c>
      <c r="H63" s="1">
        <v>2</v>
      </c>
      <c r="I63" s="1">
        <v>26</v>
      </c>
      <c r="J63" s="1">
        <v>5</v>
      </c>
      <c r="K63" s="1">
        <v>3</v>
      </c>
      <c r="M63" s="1" t="s">
        <v>57</v>
      </c>
      <c r="N63" s="1">
        <f t="shared" si="0"/>
        <v>0.2857142857142857</v>
      </c>
      <c r="O63" s="1">
        <f t="shared" si="1"/>
        <v>0.24761904761904763</v>
      </c>
      <c r="P63" s="1">
        <f t="shared" si="2"/>
        <v>0.2</v>
      </c>
      <c r="Q63" s="1">
        <f t="shared" si="3"/>
        <v>1</v>
      </c>
      <c r="S63" s="1" t="s">
        <v>57</v>
      </c>
      <c r="T63" s="1">
        <f t="shared" si="16"/>
        <v>2.8583097523751523E-2</v>
      </c>
      <c r="U63" s="1">
        <f t="shared" si="4"/>
        <v>1.8860188892667953E-2</v>
      </c>
      <c r="V63" s="1">
        <f t="shared" si="5"/>
        <v>1.2629752838115946E-2</v>
      </c>
      <c r="W63" s="1">
        <f t="shared" si="6"/>
        <v>4.0360367639778717E-2</v>
      </c>
      <c r="Y63" s="1" t="s">
        <v>57</v>
      </c>
      <c r="Z63" s="1">
        <f t="shared" si="7"/>
        <v>8.5749292571254566E-3</v>
      </c>
      <c r="AA63" s="1">
        <f t="shared" si="8"/>
        <v>3.7720377785335907E-3</v>
      </c>
      <c r="AB63" s="1">
        <f t="shared" si="9"/>
        <v>3.7889258514347836E-3</v>
      </c>
      <c r="AC63" s="1">
        <f t="shared" si="10"/>
        <v>8.0720735279557441E-3</v>
      </c>
      <c r="AK63" s="17" t="s">
        <v>652</v>
      </c>
      <c r="AL63" s="17">
        <f t="shared" si="11"/>
        <v>2.430879962033735E-2</v>
      </c>
      <c r="AM63" s="17">
        <f t="shared" si="12"/>
        <v>1.8235152789842907E-2</v>
      </c>
      <c r="AO63" s="17" t="s">
        <v>1364</v>
      </c>
      <c r="AP63" s="17">
        <f t="shared" si="13"/>
        <v>0.76838131692157252</v>
      </c>
      <c r="AR63" s="1" t="s">
        <v>57</v>
      </c>
      <c r="AS63" s="17">
        <f t="shared" si="14"/>
        <v>0.76838131692157252</v>
      </c>
      <c r="AT63" s="17">
        <f t="shared" si="15"/>
        <v>319</v>
      </c>
    </row>
    <row r="64" spans="6:46" x14ac:dyDescent="0.3">
      <c r="F64" s="1">
        <v>62</v>
      </c>
      <c r="G64" s="1" t="s">
        <v>58</v>
      </c>
      <c r="H64" s="1">
        <v>3</v>
      </c>
      <c r="I64" s="1">
        <v>41</v>
      </c>
      <c r="J64" s="1">
        <v>2</v>
      </c>
      <c r="K64" s="1">
        <v>3</v>
      </c>
      <c r="M64" s="1" t="s">
        <v>58</v>
      </c>
      <c r="N64" s="1">
        <f t="shared" si="0"/>
        <v>0.42857142857142855</v>
      </c>
      <c r="O64" s="1">
        <f t="shared" si="1"/>
        <v>0.39047619047619048</v>
      </c>
      <c r="P64" s="1">
        <f t="shared" si="2"/>
        <v>0.5</v>
      </c>
      <c r="Q64" s="1">
        <f t="shared" si="3"/>
        <v>1</v>
      </c>
      <c r="S64" s="1" t="s">
        <v>58</v>
      </c>
      <c r="T64" s="1">
        <f t="shared" si="16"/>
        <v>4.2874646285627281E-2</v>
      </c>
      <c r="U64" s="1">
        <f t="shared" si="4"/>
        <v>2.9741067099976388E-2</v>
      </c>
      <c r="V64" s="1">
        <f t="shared" si="5"/>
        <v>3.1574382095289864E-2</v>
      </c>
      <c r="W64" s="1">
        <f t="shared" si="6"/>
        <v>4.0360367639778717E-2</v>
      </c>
      <c r="Y64" s="1" t="s">
        <v>58</v>
      </c>
      <c r="Z64" s="1">
        <f t="shared" si="7"/>
        <v>1.2862393885688184E-2</v>
      </c>
      <c r="AA64" s="1">
        <f t="shared" si="8"/>
        <v>5.9482134199952781E-3</v>
      </c>
      <c r="AB64" s="1">
        <f t="shared" si="9"/>
        <v>9.4723146285869593E-3</v>
      </c>
      <c r="AC64" s="1">
        <f t="shared" si="10"/>
        <v>8.0720735279557441E-3</v>
      </c>
      <c r="AK64" s="17" t="s">
        <v>653</v>
      </c>
      <c r="AL64" s="17">
        <f t="shared" si="11"/>
        <v>2.0313298069876161E-2</v>
      </c>
      <c r="AM64" s="17">
        <f t="shared" si="12"/>
        <v>1.7079913036161156E-2</v>
      </c>
      <c r="AO64" s="17" t="s">
        <v>1365</v>
      </c>
      <c r="AP64" s="17">
        <f t="shared" si="13"/>
        <v>0.85790413455881043</v>
      </c>
      <c r="AR64" s="1" t="s">
        <v>58</v>
      </c>
      <c r="AS64" s="17">
        <f t="shared" si="14"/>
        <v>0.85790413455881043</v>
      </c>
      <c r="AT64" s="17">
        <f t="shared" si="15"/>
        <v>239</v>
      </c>
    </row>
    <row r="65" spans="6:46" x14ac:dyDescent="0.3">
      <c r="F65" s="1">
        <v>63</v>
      </c>
      <c r="G65" s="1" t="s">
        <v>59</v>
      </c>
      <c r="H65" s="1">
        <v>3</v>
      </c>
      <c r="I65" s="1">
        <v>45</v>
      </c>
      <c r="J65" s="1">
        <v>3</v>
      </c>
      <c r="K65" s="1">
        <v>3</v>
      </c>
      <c r="M65" s="1" t="s">
        <v>59</v>
      </c>
      <c r="N65" s="1">
        <f t="shared" si="0"/>
        <v>0.42857142857142855</v>
      </c>
      <c r="O65" s="1">
        <f t="shared" si="1"/>
        <v>0.42857142857142855</v>
      </c>
      <c r="P65" s="1">
        <f t="shared" si="2"/>
        <v>0.33333333333333331</v>
      </c>
      <c r="Q65" s="1">
        <f t="shared" si="3"/>
        <v>1</v>
      </c>
      <c r="S65" s="1" t="s">
        <v>59</v>
      </c>
      <c r="T65" s="1">
        <f t="shared" si="16"/>
        <v>4.2874646285627281E-2</v>
      </c>
      <c r="U65" s="1">
        <f t="shared" si="4"/>
        <v>3.26426346219253E-2</v>
      </c>
      <c r="V65" s="1">
        <f t="shared" si="5"/>
        <v>2.1049588063526574E-2</v>
      </c>
      <c r="W65" s="1">
        <f t="shared" si="6"/>
        <v>4.0360367639778717E-2</v>
      </c>
      <c r="Y65" s="1" t="s">
        <v>59</v>
      </c>
      <c r="Z65" s="1">
        <f t="shared" si="7"/>
        <v>1.2862393885688184E-2</v>
      </c>
      <c r="AA65" s="1">
        <f t="shared" si="8"/>
        <v>6.5285269243850605E-3</v>
      </c>
      <c r="AB65" s="1">
        <f t="shared" si="9"/>
        <v>6.314876419057972E-3</v>
      </c>
      <c r="AC65" s="1">
        <f t="shared" si="10"/>
        <v>8.0720735279557441E-3</v>
      </c>
      <c r="AK65" s="17" t="s">
        <v>654</v>
      </c>
      <c r="AL65" s="17">
        <f t="shared" si="11"/>
        <v>1.9397678213867748E-2</v>
      </c>
      <c r="AM65" s="17">
        <f t="shared" si="12"/>
        <v>1.9106160293665575E-2</v>
      </c>
      <c r="AO65" s="17" t="s">
        <v>1366</v>
      </c>
      <c r="AP65" s="17">
        <f t="shared" si="13"/>
        <v>1.0040776647702292</v>
      </c>
      <c r="AR65" s="1" t="s">
        <v>59</v>
      </c>
      <c r="AS65" s="17">
        <f t="shared" si="14"/>
        <v>1.0040776647702292</v>
      </c>
      <c r="AT65" s="17">
        <f t="shared" si="15"/>
        <v>136</v>
      </c>
    </row>
    <row r="66" spans="6:46" x14ac:dyDescent="0.3">
      <c r="F66" s="1">
        <v>64</v>
      </c>
      <c r="G66" s="1" t="s">
        <v>59</v>
      </c>
      <c r="H66" s="1">
        <v>2</v>
      </c>
      <c r="I66" s="1">
        <v>28</v>
      </c>
      <c r="J66" s="1">
        <v>2</v>
      </c>
      <c r="K66" s="1">
        <v>3</v>
      </c>
      <c r="M66" s="1" t="s">
        <v>59</v>
      </c>
      <c r="N66" s="1">
        <f t="shared" si="0"/>
        <v>0.2857142857142857</v>
      </c>
      <c r="O66" s="1">
        <f t="shared" si="1"/>
        <v>0.26666666666666666</v>
      </c>
      <c r="P66" s="1">
        <f t="shared" si="2"/>
        <v>0.5</v>
      </c>
      <c r="Q66" s="1">
        <f t="shared" si="3"/>
        <v>1</v>
      </c>
      <c r="S66" s="1" t="s">
        <v>59</v>
      </c>
      <c r="T66" s="1">
        <f t="shared" si="16"/>
        <v>2.8583097523751523E-2</v>
      </c>
      <c r="U66" s="1">
        <f t="shared" si="4"/>
        <v>2.0310972653642411E-2</v>
      </c>
      <c r="V66" s="1">
        <f t="shared" si="5"/>
        <v>3.1574382095289864E-2</v>
      </c>
      <c r="W66" s="1">
        <f t="shared" si="6"/>
        <v>4.0360367639778717E-2</v>
      </c>
      <c r="Y66" s="1" t="s">
        <v>59</v>
      </c>
      <c r="Z66" s="1">
        <f t="shared" si="7"/>
        <v>8.5749292571254566E-3</v>
      </c>
      <c r="AA66" s="1">
        <f t="shared" si="8"/>
        <v>4.0621945307284827E-3</v>
      </c>
      <c r="AB66" s="1">
        <f t="shared" si="9"/>
        <v>9.4723146285869593E-3</v>
      </c>
      <c r="AC66" s="1">
        <f t="shared" si="10"/>
        <v>8.0720735279557441E-3</v>
      </c>
      <c r="AK66" s="17" t="s">
        <v>655</v>
      </c>
      <c r="AL66" s="17">
        <f t="shared" si="11"/>
        <v>2.4832473771014402E-2</v>
      </c>
      <c r="AM66" s="17">
        <f t="shared" si="12"/>
        <v>1.3891405640659505E-2</v>
      </c>
      <c r="AO66" s="17" t="s">
        <v>1367</v>
      </c>
      <c r="AP66" s="17">
        <f t="shared" si="13"/>
        <v>0.57329623049843059</v>
      </c>
      <c r="AR66" s="1" t="s">
        <v>59</v>
      </c>
      <c r="AS66" s="17">
        <f t="shared" si="14"/>
        <v>0.57329623049843059</v>
      </c>
      <c r="AT66" s="17">
        <f t="shared" si="15"/>
        <v>484</v>
      </c>
    </row>
    <row r="67" spans="6:46" x14ac:dyDescent="0.3">
      <c r="F67" s="1">
        <v>65</v>
      </c>
      <c r="G67" s="1" t="s">
        <v>59</v>
      </c>
      <c r="H67" s="1">
        <v>3</v>
      </c>
      <c r="I67" s="1">
        <v>62</v>
      </c>
      <c r="J67" s="1">
        <v>2</v>
      </c>
      <c r="K67" s="1">
        <v>3</v>
      </c>
      <c r="M67" s="1" t="s">
        <v>59</v>
      </c>
      <c r="N67" s="1">
        <f t="shared" si="0"/>
        <v>0.42857142857142855</v>
      </c>
      <c r="O67" s="1">
        <f t="shared" si="1"/>
        <v>0.59047619047619049</v>
      </c>
      <c r="P67" s="1">
        <f t="shared" si="2"/>
        <v>0.5</v>
      </c>
      <c r="Q67" s="1">
        <f t="shared" si="3"/>
        <v>1</v>
      </c>
      <c r="S67" s="1" t="s">
        <v>59</v>
      </c>
      <c r="T67" s="1">
        <f t="shared" si="16"/>
        <v>4.2874646285627281E-2</v>
      </c>
      <c r="U67" s="1">
        <f t="shared" si="4"/>
        <v>4.4974296590208199E-2</v>
      </c>
      <c r="V67" s="1">
        <f t="shared" si="5"/>
        <v>3.1574382095289864E-2</v>
      </c>
      <c r="W67" s="1">
        <f t="shared" si="6"/>
        <v>4.0360367639778717E-2</v>
      </c>
      <c r="Y67" s="1" t="s">
        <v>59</v>
      </c>
      <c r="Z67" s="1">
        <f t="shared" si="7"/>
        <v>1.2862393885688184E-2</v>
      </c>
      <c r="AA67" s="1">
        <f t="shared" si="8"/>
        <v>8.9948593180416408E-3</v>
      </c>
      <c r="AB67" s="1">
        <f t="shared" si="9"/>
        <v>9.4723146285869593E-3</v>
      </c>
      <c r="AC67" s="1">
        <f t="shared" si="10"/>
        <v>8.0720735279557441E-3</v>
      </c>
      <c r="AK67" s="17" t="s">
        <v>656</v>
      </c>
      <c r="AL67" s="17">
        <f t="shared" si="11"/>
        <v>1.9113759898469897E-2</v>
      </c>
      <c r="AM67" s="17">
        <f t="shared" si="12"/>
        <v>1.7826990022136262E-2</v>
      </c>
      <c r="AO67" s="17" t="s">
        <v>1368</v>
      </c>
      <c r="AP67" s="17">
        <f t="shared" si="13"/>
        <v>0.95050533885727873</v>
      </c>
      <c r="AR67" s="1" t="s">
        <v>59</v>
      </c>
      <c r="AS67" s="17">
        <f t="shared" si="14"/>
        <v>0.95050533885727873</v>
      </c>
      <c r="AT67" s="17">
        <f t="shared" si="15"/>
        <v>157</v>
      </c>
    </row>
    <row r="68" spans="6:46" x14ac:dyDescent="0.3">
      <c r="F68" s="1">
        <v>66</v>
      </c>
      <c r="G68" s="1" t="s">
        <v>59</v>
      </c>
      <c r="H68" s="1">
        <v>2</v>
      </c>
      <c r="I68" s="1">
        <v>55</v>
      </c>
      <c r="J68" s="1">
        <v>2</v>
      </c>
      <c r="K68" s="1">
        <v>3</v>
      </c>
      <c r="M68" s="1" t="s">
        <v>59</v>
      </c>
      <c r="N68" s="1">
        <f t="shared" ref="N68:N131" si="17">H68/MAX($H$3:$H$712)</f>
        <v>0.2857142857142857</v>
      </c>
      <c r="O68" s="1">
        <f t="shared" ref="O68:O131" si="18">I68/MAX($I$3:$I$712)</f>
        <v>0.52380952380952384</v>
      </c>
      <c r="P68" s="1">
        <f t="shared" ref="P68:P131" si="19">MIN($J$3:$J$712)/J68</f>
        <v>0.5</v>
      </c>
      <c r="Q68" s="1">
        <f t="shared" ref="Q68:Q131" si="20">K68/MAX($K$3:$K$712)</f>
        <v>1</v>
      </c>
      <c r="S68" s="1" t="s">
        <v>59</v>
      </c>
      <c r="T68" s="1">
        <f t="shared" ref="T68:T131" si="21">N68/SQRT(SUMSQ($N$3:$N$712))</f>
        <v>2.8583097523751523E-2</v>
      </c>
      <c r="U68" s="1">
        <f t="shared" ref="U68:U131" si="22">O68/SQRT(SUMSQ($O$3:$O$712))</f>
        <v>3.9896553426797592E-2</v>
      </c>
      <c r="V68" s="1">
        <f t="shared" ref="V68:V131" si="23">P68/SQRT(SUMSQ($P$3:$P$712))</f>
        <v>3.1574382095289864E-2</v>
      </c>
      <c r="W68" s="1">
        <f t="shared" ref="W68:W131" si="24">Q68/SQRT(SUMSQ($Q$3:$Q$712))</f>
        <v>4.0360367639778717E-2</v>
      </c>
      <c r="Y68" s="1" t="s">
        <v>59</v>
      </c>
      <c r="Z68" s="1">
        <f t="shared" ref="Z68:Z131" si="25">T68*$D$3</f>
        <v>8.5749292571254566E-3</v>
      </c>
      <c r="AA68" s="1">
        <f t="shared" ref="AA68:AA131" si="26">U68*$D$4</f>
        <v>7.979310685359519E-3</v>
      </c>
      <c r="AB68" s="1">
        <f t="shared" ref="AB68:AB131" si="27">V68*$D$5</f>
        <v>9.4723146285869593E-3</v>
      </c>
      <c r="AC68" s="1">
        <f t="shared" ref="AC68:AC131" si="28">W68*$D$6</f>
        <v>8.0720735279557441E-3</v>
      </c>
      <c r="AK68" s="17" t="s">
        <v>657</v>
      </c>
      <c r="AL68" s="17">
        <f t="shared" ref="AL68:AL131" si="29">SQRT( ($AF$3-Z68)^2 + ($AG$3-AA68)^2 + ($AH$3-AB68)^2 + ($AI$3-AC68)^2 )</f>
        <v>2.3334075288070719E-2</v>
      </c>
      <c r="AM68" s="17">
        <f t="shared" ref="AM68:AM131" si="30">SQRT( (Z68-$AF$4)^2 + (AA68-$AG$4)^2 + (AB68-$AH$4)^2 + (AC68-$AI$4)^2 )</f>
        <v>1.4667461124905206E-2</v>
      </c>
      <c r="AO68" s="17" t="s">
        <v>1369</v>
      </c>
      <c r="AP68" s="17">
        <f t="shared" ref="AP68:AP131" si="31">AM68/AL68+AM68</f>
        <v>0.64325295010735395</v>
      </c>
      <c r="AR68" s="1" t="s">
        <v>59</v>
      </c>
      <c r="AS68" s="17">
        <f t="shared" ref="AS68:AS131" si="32">AP68</f>
        <v>0.64325295010735395</v>
      </c>
      <c r="AT68" s="17">
        <f t="shared" ref="AT68:AT131" si="33">RANK(AS68,$AS$3:$AS$712,0)</f>
        <v>388</v>
      </c>
    </row>
    <row r="69" spans="6:46" x14ac:dyDescent="0.3">
      <c r="F69" s="1">
        <v>67</v>
      </c>
      <c r="G69" s="1" t="s">
        <v>60</v>
      </c>
      <c r="H69" s="1">
        <v>0</v>
      </c>
      <c r="I69" s="1">
        <v>67</v>
      </c>
      <c r="J69" s="1">
        <v>2</v>
      </c>
      <c r="K69" s="1">
        <v>2</v>
      </c>
      <c r="M69" s="1" t="s">
        <v>60</v>
      </c>
      <c r="N69" s="1">
        <f t="shared" si="17"/>
        <v>0</v>
      </c>
      <c r="O69" s="1">
        <f t="shared" si="18"/>
        <v>0.63809523809523805</v>
      </c>
      <c r="P69" s="1">
        <f t="shared" si="19"/>
        <v>0.5</v>
      </c>
      <c r="Q69" s="1">
        <f t="shared" si="20"/>
        <v>0.66666666666666663</v>
      </c>
      <c r="S69" s="1" t="s">
        <v>60</v>
      </c>
      <c r="T69" s="1">
        <f t="shared" si="21"/>
        <v>0</v>
      </c>
      <c r="U69" s="1">
        <f t="shared" si="22"/>
        <v>4.8601255992644338E-2</v>
      </c>
      <c r="V69" s="1">
        <f t="shared" si="23"/>
        <v>3.1574382095289864E-2</v>
      </c>
      <c r="W69" s="1">
        <f t="shared" si="24"/>
        <v>2.6906911759852478E-2</v>
      </c>
      <c r="Y69" s="1" t="s">
        <v>60</v>
      </c>
      <c r="Z69" s="1">
        <f t="shared" si="25"/>
        <v>0</v>
      </c>
      <c r="AA69" s="1">
        <f t="shared" si="26"/>
        <v>9.7202511985288679E-3</v>
      </c>
      <c r="AB69" s="1">
        <f t="shared" si="27"/>
        <v>9.4723146285869593E-3</v>
      </c>
      <c r="AC69" s="1">
        <f t="shared" si="28"/>
        <v>5.3813823519704958E-3</v>
      </c>
      <c r="AK69" s="17" t="s">
        <v>658</v>
      </c>
      <c r="AL69" s="17">
        <f t="shared" si="29"/>
        <v>3.1155560511074459E-2</v>
      </c>
      <c r="AM69" s="17">
        <f t="shared" si="30"/>
        <v>1.1814661536831601E-2</v>
      </c>
      <c r="AO69" s="17" t="s">
        <v>1370</v>
      </c>
      <c r="AP69" s="17">
        <f t="shared" si="31"/>
        <v>0.39102984312960049</v>
      </c>
      <c r="AR69" s="1" t="s">
        <v>60</v>
      </c>
      <c r="AS69" s="17">
        <f t="shared" si="32"/>
        <v>0.39102984312960049</v>
      </c>
      <c r="AT69" s="17">
        <f t="shared" si="33"/>
        <v>605</v>
      </c>
    </row>
    <row r="70" spans="6:46" x14ac:dyDescent="0.3">
      <c r="F70" s="1">
        <v>68</v>
      </c>
      <c r="G70" s="1" t="s">
        <v>61</v>
      </c>
      <c r="H70" s="1">
        <v>3</v>
      </c>
      <c r="I70" s="1">
        <v>29</v>
      </c>
      <c r="J70" s="1">
        <v>2</v>
      </c>
      <c r="K70" s="1">
        <v>3</v>
      </c>
      <c r="M70" s="1" t="s">
        <v>61</v>
      </c>
      <c r="N70" s="1">
        <f t="shared" si="17"/>
        <v>0.42857142857142855</v>
      </c>
      <c r="O70" s="1">
        <f t="shared" si="18"/>
        <v>0.27619047619047621</v>
      </c>
      <c r="P70" s="1">
        <f t="shared" si="19"/>
        <v>0.5</v>
      </c>
      <c r="Q70" s="1">
        <f t="shared" si="20"/>
        <v>1</v>
      </c>
      <c r="S70" s="1" t="s">
        <v>61</v>
      </c>
      <c r="T70" s="1">
        <f t="shared" si="21"/>
        <v>4.2874646285627281E-2</v>
      </c>
      <c r="U70" s="1">
        <f t="shared" si="22"/>
        <v>2.1036364534129642E-2</v>
      </c>
      <c r="V70" s="1">
        <f t="shared" si="23"/>
        <v>3.1574382095289864E-2</v>
      </c>
      <c r="W70" s="1">
        <f t="shared" si="24"/>
        <v>4.0360367639778717E-2</v>
      </c>
      <c r="Y70" s="1" t="s">
        <v>61</v>
      </c>
      <c r="Z70" s="1">
        <f t="shared" si="25"/>
        <v>1.2862393885688184E-2</v>
      </c>
      <c r="AA70" s="1">
        <f t="shared" si="26"/>
        <v>4.2072729068259283E-3</v>
      </c>
      <c r="AB70" s="1">
        <f t="shared" si="27"/>
        <v>9.4723146285869593E-3</v>
      </c>
      <c r="AC70" s="1">
        <f t="shared" si="28"/>
        <v>8.0720735279557441E-3</v>
      </c>
      <c r="AK70" s="17" t="s">
        <v>659</v>
      </c>
      <c r="AL70" s="17">
        <f t="shared" si="29"/>
        <v>2.1165780723380732E-2</v>
      </c>
      <c r="AM70" s="17">
        <f t="shared" si="30"/>
        <v>1.6886578574032494E-2</v>
      </c>
      <c r="AO70" s="17" t="s">
        <v>1371</v>
      </c>
      <c r="AP70" s="17">
        <f t="shared" si="31"/>
        <v>0.81471108572196749</v>
      </c>
      <c r="AR70" s="1" t="s">
        <v>61</v>
      </c>
      <c r="AS70" s="17">
        <f t="shared" si="32"/>
        <v>0.81471108572196749</v>
      </c>
      <c r="AT70" s="17">
        <f t="shared" si="33"/>
        <v>300</v>
      </c>
    </row>
    <row r="71" spans="6:46" x14ac:dyDescent="0.3">
      <c r="F71" s="1">
        <v>69</v>
      </c>
      <c r="G71" s="1" t="s">
        <v>62</v>
      </c>
      <c r="H71" s="1">
        <v>4</v>
      </c>
      <c r="I71" s="1">
        <v>54</v>
      </c>
      <c r="J71" s="1">
        <v>1</v>
      </c>
      <c r="K71" s="1">
        <v>3</v>
      </c>
      <c r="M71" s="1" t="s">
        <v>62</v>
      </c>
      <c r="N71" s="1">
        <f t="shared" si="17"/>
        <v>0.5714285714285714</v>
      </c>
      <c r="O71" s="1">
        <f t="shared" si="18"/>
        <v>0.51428571428571423</v>
      </c>
      <c r="P71" s="1">
        <f t="shared" si="19"/>
        <v>1</v>
      </c>
      <c r="Q71" s="1">
        <f t="shared" si="20"/>
        <v>1</v>
      </c>
      <c r="S71" s="1" t="s">
        <v>62</v>
      </c>
      <c r="T71" s="1">
        <f t="shared" si="21"/>
        <v>5.7166195047503046E-2</v>
      </c>
      <c r="U71" s="1">
        <f t="shared" si="22"/>
        <v>3.9171161546310361E-2</v>
      </c>
      <c r="V71" s="1">
        <f t="shared" si="23"/>
        <v>6.3148764190579729E-2</v>
      </c>
      <c r="W71" s="1">
        <f t="shared" si="24"/>
        <v>4.0360367639778717E-2</v>
      </c>
      <c r="Y71" s="1" t="s">
        <v>62</v>
      </c>
      <c r="Z71" s="1">
        <f t="shared" si="25"/>
        <v>1.7149858514250913E-2</v>
      </c>
      <c r="AA71" s="1">
        <f t="shared" si="26"/>
        <v>7.8342323092620725E-3</v>
      </c>
      <c r="AB71" s="1">
        <f t="shared" si="27"/>
        <v>1.8944629257173919E-2</v>
      </c>
      <c r="AC71" s="1">
        <f t="shared" si="28"/>
        <v>8.0720735279557441E-3</v>
      </c>
      <c r="AK71" s="17" t="s">
        <v>660</v>
      </c>
      <c r="AL71" s="17">
        <f t="shared" si="29"/>
        <v>2.1210414457933625E-2</v>
      </c>
      <c r="AM71" s="17">
        <f t="shared" si="30"/>
        <v>1.8564207603155639E-2</v>
      </c>
      <c r="AO71" s="17" t="s">
        <v>1372</v>
      </c>
      <c r="AP71" s="17">
        <f t="shared" si="31"/>
        <v>0.89380441754689921</v>
      </c>
      <c r="AR71" s="1" t="s">
        <v>62</v>
      </c>
      <c r="AS71" s="17">
        <f t="shared" si="32"/>
        <v>0.89380441754689921</v>
      </c>
      <c r="AT71" s="17">
        <f t="shared" si="33"/>
        <v>186</v>
      </c>
    </row>
    <row r="72" spans="6:46" x14ac:dyDescent="0.3">
      <c r="F72" s="1">
        <v>70</v>
      </c>
      <c r="G72" s="1" t="s">
        <v>63</v>
      </c>
      <c r="H72" s="1">
        <v>3</v>
      </c>
      <c r="I72" s="1">
        <v>52</v>
      </c>
      <c r="J72" s="1">
        <v>1</v>
      </c>
      <c r="K72" s="1">
        <v>3</v>
      </c>
      <c r="M72" s="1" t="s">
        <v>63</v>
      </c>
      <c r="N72" s="1">
        <f t="shared" si="17"/>
        <v>0.42857142857142855</v>
      </c>
      <c r="O72" s="1">
        <f t="shared" si="18"/>
        <v>0.49523809523809526</v>
      </c>
      <c r="P72" s="1">
        <f t="shared" si="19"/>
        <v>1</v>
      </c>
      <c r="Q72" s="1">
        <f t="shared" si="20"/>
        <v>1</v>
      </c>
      <c r="S72" s="1" t="s">
        <v>63</v>
      </c>
      <c r="T72" s="1">
        <f t="shared" si="21"/>
        <v>4.2874646285627281E-2</v>
      </c>
      <c r="U72" s="1">
        <f t="shared" si="22"/>
        <v>3.7720377785335907E-2</v>
      </c>
      <c r="V72" s="1">
        <f t="shared" si="23"/>
        <v>6.3148764190579729E-2</v>
      </c>
      <c r="W72" s="1">
        <f t="shared" si="24"/>
        <v>4.0360367639778717E-2</v>
      </c>
      <c r="Y72" s="1" t="s">
        <v>63</v>
      </c>
      <c r="Z72" s="1">
        <f t="shared" si="25"/>
        <v>1.2862393885688184E-2</v>
      </c>
      <c r="AA72" s="1">
        <f t="shared" si="26"/>
        <v>7.5440755570671814E-3</v>
      </c>
      <c r="AB72" s="1">
        <f t="shared" si="27"/>
        <v>1.8944629257173919E-2</v>
      </c>
      <c r="AC72" s="1">
        <f t="shared" si="28"/>
        <v>8.0720735279557441E-3</v>
      </c>
      <c r="AK72" s="17" t="s">
        <v>661</v>
      </c>
      <c r="AL72" s="17">
        <f t="shared" si="29"/>
        <v>2.4144069271551109E-2</v>
      </c>
      <c r="AM72" s="17">
        <f t="shared" si="30"/>
        <v>1.4606279956876529E-2</v>
      </c>
      <c r="AO72" s="17" t="s">
        <v>1373</v>
      </c>
      <c r="AP72" s="17">
        <f t="shared" si="31"/>
        <v>0.61956975121758362</v>
      </c>
      <c r="AR72" s="1" t="s">
        <v>63</v>
      </c>
      <c r="AS72" s="17">
        <f t="shared" si="32"/>
        <v>0.61956975121758362</v>
      </c>
      <c r="AT72" s="17">
        <f t="shared" si="33"/>
        <v>412</v>
      </c>
    </row>
    <row r="73" spans="6:46" x14ac:dyDescent="0.3">
      <c r="F73" s="1">
        <v>71</v>
      </c>
      <c r="G73" s="1" t="s">
        <v>64</v>
      </c>
      <c r="H73" s="1">
        <v>0</v>
      </c>
      <c r="I73" s="1">
        <v>70</v>
      </c>
      <c r="J73" s="1">
        <v>1</v>
      </c>
      <c r="K73" s="1">
        <v>2</v>
      </c>
      <c r="M73" s="1" t="s">
        <v>64</v>
      </c>
      <c r="N73" s="1">
        <f t="shared" si="17"/>
        <v>0</v>
      </c>
      <c r="O73" s="1">
        <f t="shared" si="18"/>
        <v>0.66666666666666663</v>
      </c>
      <c r="P73" s="1">
        <f t="shared" si="19"/>
        <v>1</v>
      </c>
      <c r="Q73" s="1">
        <f t="shared" si="20"/>
        <v>0.66666666666666663</v>
      </c>
      <c r="S73" s="1" t="s">
        <v>64</v>
      </c>
      <c r="T73" s="1">
        <f t="shared" si="21"/>
        <v>0</v>
      </c>
      <c r="U73" s="1">
        <f t="shared" si="22"/>
        <v>5.0777431634106023E-2</v>
      </c>
      <c r="V73" s="1">
        <f t="shared" si="23"/>
        <v>6.3148764190579729E-2</v>
      </c>
      <c r="W73" s="1">
        <f t="shared" si="24"/>
        <v>2.6906911759852478E-2</v>
      </c>
      <c r="Y73" s="1" t="s">
        <v>64</v>
      </c>
      <c r="Z73" s="1">
        <f t="shared" si="25"/>
        <v>0</v>
      </c>
      <c r="AA73" s="1">
        <f t="shared" si="26"/>
        <v>1.0155486326821206E-2</v>
      </c>
      <c r="AB73" s="1">
        <f t="shared" si="27"/>
        <v>1.8944629257173919E-2</v>
      </c>
      <c r="AC73" s="1">
        <f t="shared" si="28"/>
        <v>5.3813823519704958E-3</v>
      </c>
      <c r="AK73" s="17" t="s">
        <v>662</v>
      </c>
      <c r="AL73" s="17">
        <f t="shared" si="29"/>
        <v>3.4109440547720381E-2</v>
      </c>
      <c r="AM73" s="17">
        <f t="shared" si="30"/>
        <v>7.4655074128176036E-3</v>
      </c>
      <c r="AO73" s="17" t="s">
        <v>1374</v>
      </c>
      <c r="AP73" s="17">
        <f t="shared" si="31"/>
        <v>0.22633474985533378</v>
      </c>
      <c r="AR73" s="1" t="s">
        <v>64</v>
      </c>
      <c r="AS73" s="17">
        <f t="shared" si="32"/>
        <v>0.22633474985533378</v>
      </c>
      <c r="AT73" s="17">
        <f t="shared" si="33"/>
        <v>677</v>
      </c>
    </row>
    <row r="74" spans="6:46" x14ac:dyDescent="0.3">
      <c r="F74" s="1">
        <v>72</v>
      </c>
      <c r="G74" s="1" t="s">
        <v>65</v>
      </c>
      <c r="H74" s="1">
        <v>0</v>
      </c>
      <c r="I74" s="1">
        <v>70</v>
      </c>
      <c r="J74" s="1">
        <v>2</v>
      </c>
      <c r="K74" s="1">
        <v>2</v>
      </c>
      <c r="M74" s="1" t="s">
        <v>65</v>
      </c>
      <c r="N74" s="1">
        <f t="shared" si="17"/>
        <v>0</v>
      </c>
      <c r="O74" s="1">
        <f t="shared" si="18"/>
        <v>0.66666666666666663</v>
      </c>
      <c r="P74" s="1">
        <f t="shared" si="19"/>
        <v>0.5</v>
      </c>
      <c r="Q74" s="1">
        <f t="shared" si="20"/>
        <v>0.66666666666666663</v>
      </c>
      <c r="S74" s="1" t="s">
        <v>65</v>
      </c>
      <c r="T74" s="1">
        <f t="shared" si="21"/>
        <v>0</v>
      </c>
      <c r="U74" s="1">
        <f t="shared" si="22"/>
        <v>5.0777431634106023E-2</v>
      </c>
      <c r="V74" s="1">
        <f t="shared" si="23"/>
        <v>3.1574382095289864E-2</v>
      </c>
      <c r="W74" s="1">
        <f t="shared" si="24"/>
        <v>2.6906911759852478E-2</v>
      </c>
      <c r="Y74" s="1" t="s">
        <v>65</v>
      </c>
      <c r="Z74" s="1">
        <f t="shared" si="25"/>
        <v>0</v>
      </c>
      <c r="AA74" s="1">
        <f t="shared" si="26"/>
        <v>1.0155486326821206E-2</v>
      </c>
      <c r="AB74" s="1">
        <f t="shared" si="27"/>
        <v>9.4723146285869593E-3</v>
      </c>
      <c r="AC74" s="1">
        <f t="shared" si="28"/>
        <v>5.3813823519704958E-3</v>
      </c>
      <c r="AK74" s="17" t="s">
        <v>663</v>
      </c>
      <c r="AL74" s="17">
        <f t="shared" si="29"/>
        <v>3.1081497659347073E-2</v>
      </c>
      <c r="AM74" s="17">
        <f t="shared" si="30"/>
        <v>1.2060619609032409E-2</v>
      </c>
      <c r="AO74" s="17" t="s">
        <v>1375</v>
      </c>
      <c r="AP74" s="17">
        <f t="shared" si="31"/>
        <v>0.40009274538420225</v>
      </c>
      <c r="AR74" s="1" t="s">
        <v>65</v>
      </c>
      <c r="AS74" s="17">
        <f t="shared" si="32"/>
        <v>0.40009274538420225</v>
      </c>
      <c r="AT74" s="17">
        <f t="shared" si="33"/>
        <v>600</v>
      </c>
    </row>
    <row r="75" spans="6:46" x14ac:dyDescent="0.3">
      <c r="F75" s="1">
        <v>73</v>
      </c>
      <c r="G75" s="1" t="s">
        <v>66</v>
      </c>
      <c r="H75" s="1">
        <v>1</v>
      </c>
      <c r="I75" s="1">
        <v>67</v>
      </c>
      <c r="J75" s="1">
        <v>1</v>
      </c>
      <c r="K75" s="1">
        <v>2</v>
      </c>
      <c r="M75" s="1" t="s">
        <v>66</v>
      </c>
      <c r="N75" s="1">
        <f t="shared" si="17"/>
        <v>0.14285714285714285</v>
      </c>
      <c r="O75" s="1">
        <f t="shared" si="18"/>
        <v>0.63809523809523805</v>
      </c>
      <c r="P75" s="1">
        <f t="shared" si="19"/>
        <v>1</v>
      </c>
      <c r="Q75" s="1">
        <f t="shared" si="20"/>
        <v>0.66666666666666663</v>
      </c>
      <c r="S75" s="1" t="s">
        <v>66</v>
      </c>
      <c r="T75" s="1">
        <f t="shared" si="21"/>
        <v>1.4291548761875762E-2</v>
      </c>
      <c r="U75" s="1">
        <f t="shared" si="22"/>
        <v>4.8601255992644338E-2</v>
      </c>
      <c r="V75" s="1">
        <f t="shared" si="23"/>
        <v>6.3148764190579729E-2</v>
      </c>
      <c r="W75" s="1">
        <f t="shared" si="24"/>
        <v>2.6906911759852478E-2</v>
      </c>
      <c r="Y75" s="1" t="s">
        <v>66</v>
      </c>
      <c r="Z75" s="1">
        <f t="shared" si="25"/>
        <v>4.2874646285627283E-3</v>
      </c>
      <c r="AA75" s="1">
        <f t="shared" si="26"/>
        <v>9.7202511985288679E-3</v>
      </c>
      <c r="AB75" s="1">
        <f t="shared" si="27"/>
        <v>1.8944629257173919E-2</v>
      </c>
      <c r="AC75" s="1">
        <f t="shared" si="28"/>
        <v>5.3813823519704958E-3</v>
      </c>
      <c r="AK75" s="17" t="s">
        <v>664</v>
      </c>
      <c r="AL75" s="17">
        <f t="shared" si="29"/>
        <v>3.048102360903257E-2</v>
      </c>
      <c r="AM75" s="17">
        <f t="shared" si="30"/>
        <v>8.2609827350093191E-3</v>
      </c>
      <c r="AO75" s="17" t="s">
        <v>1376</v>
      </c>
      <c r="AP75" s="17">
        <f t="shared" si="31"/>
        <v>0.27928149835054483</v>
      </c>
      <c r="AR75" s="1" t="s">
        <v>66</v>
      </c>
      <c r="AS75" s="17">
        <f t="shared" si="32"/>
        <v>0.27928149835054483</v>
      </c>
      <c r="AT75" s="17">
        <f t="shared" si="33"/>
        <v>652</v>
      </c>
    </row>
    <row r="76" spans="6:46" x14ac:dyDescent="0.3">
      <c r="F76" s="1">
        <v>74</v>
      </c>
      <c r="G76" s="1" t="s">
        <v>67</v>
      </c>
      <c r="H76" s="1">
        <v>2</v>
      </c>
      <c r="I76" s="1">
        <v>62</v>
      </c>
      <c r="J76" s="1">
        <v>2</v>
      </c>
      <c r="K76" s="1">
        <v>3</v>
      </c>
      <c r="M76" s="1" t="s">
        <v>67</v>
      </c>
      <c r="N76" s="1">
        <f t="shared" si="17"/>
        <v>0.2857142857142857</v>
      </c>
      <c r="O76" s="1">
        <f t="shared" si="18"/>
        <v>0.59047619047619049</v>
      </c>
      <c r="P76" s="1">
        <f t="shared" si="19"/>
        <v>0.5</v>
      </c>
      <c r="Q76" s="1">
        <f t="shared" si="20"/>
        <v>1</v>
      </c>
      <c r="S76" s="1" t="s">
        <v>67</v>
      </c>
      <c r="T76" s="1">
        <f t="shared" si="21"/>
        <v>2.8583097523751523E-2</v>
      </c>
      <c r="U76" s="1">
        <f t="shared" si="22"/>
        <v>4.4974296590208199E-2</v>
      </c>
      <c r="V76" s="1">
        <f t="shared" si="23"/>
        <v>3.1574382095289864E-2</v>
      </c>
      <c r="W76" s="1">
        <f t="shared" si="24"/>
        <v>4.0360367639778717E-2</v>
      </c>
      <c r="Y76" s="1" t="s">
        <v>67</v>
      </c>
      <c r="Z76" s="1">
        <f t="shared" si="25"/>
        <v>8.5749292571254566E-3</v>
      </c>
      <c r="AA76" s="1">
        <f t="shared" si="26"/>
        <v>8.9948593180416408E-3</v>
      </c>
      <c r="AB76" s="1">
        <f t="shared" si="27"/>
        <v>9.4723146285869593E-3</v>
      </c>
      <c r="AC76" s="1">
        <f t="shared" si="28"/>
        <v>8.0720735279557441E-3</v>
      </c>
      <c r="AK76" s="17" t="s">
        <v>665</v>
      </c>
      <c r="AL76" s="17">
        <f t="shared" si="29"/>
        <v>2.3038597915822585E-2</v>
      </c>
      <c r="AM76" s="17">
        <f t="shared" si="30"/>
        <v>1.5029631018207441E-2</v>
      </c>
      <c r="AO76" s="17" t="s">
        <v>1377</v>
      </c>
      <c r="AP76" s="17">
        <f t="shared" si="31"/>
        <v>0.66739706557833323</v>
      </c>
      <c r="AR76" s="1" t="s">
        <v>67</v>
      </c>
      <c r="AS76" s="17">
        <f t="shared" si="32"/>
        <v>0.66739706557833323</v>
      </c>
      <c r="AT76" s="17">
        <f t="shared" si="33"/>
        <v>371</v>
      </c>
    </row>
    <row r="77" spans="6:46" x14ac:dyDescent="0.3">
      <c r="F77" s="1">
        <v>75</v>
      </c>
      <c r="G77" s="1" t="s">
        <v>68</v>
      </c>
      <c r="H77" s="1">
        <v>3</v>
      </c>
      <c r="I77" s="1">
        <v>34</v>
      </c>
      <c r="J77" s="1">
        <v>3</v>
      </c>
      <c r="K77" s="1">
        <v>3</v>
      </c>
      <c r="M77" s="1" t="s">
        <v>68</v>
      </c>
      <c r="N77" s="1">
        <f t="shared" si="17"/>
        <v>0.42857142857142855</v>
      </c>
      <c r="O77" s="1">
        <f t="shared" si="18"/>
        <v>0.32380952380952382</v>
      </c>
      <c r="P77" s="1">
        <f t="shared" si="19"/>
        <v>0.33333333333333331</v>
      </c>
      <c r="Q77" s="1">
        <f t="shared" si="20"/>
        <v>1</v>
      </c>
      <c r="S77" s="1" t="s">
        <v>68</v>
      </c>
      <c r="T77" s="1">
        <f t="shared" si="21"/>
        <v>4.2874646285627281E-2</v>
      </c>
      <c r="U77" s="1">
        <f t="shared" si="22"/>
        <v>2.4663323936565784E-2</v>
      </c>
      <c r="V77" s="1">
        <f t="shared" si="23"/>
        <v>2.1049588063526574E-2</v>
      </c>
      <c r="W77" s="1">
        <f t="shared" si="24"/>
        <v>4.0360367639778717E-2</v>
      </c>
      <c r="Y77" s="1" t="s">
        <v>68</v>
      </c>
      <c r="Z77" s="1">
        <f t="shared" si="25"/>
        <v>1.2862393885688184E-2</v>
      </c>
      <c r="AA77" s="1">
        <f t="shared" si="26"/>
        <v>4.9326647873131572E-3</v>
      </c>
      <c r="AB77" s="1">
        <f t="shared" si="27"/>
        <v>6.314876419057972E-3</v>
      </c>
      <c r="AC77" s="1">
        <f t="shared" si="28"/>
        <v>8.0720735279557441E-3</v>
      </c>
      <c r="AK77" s="17" t="s">
        <v>666</v>
      </c>
      <c r="AL77" s="17">
        <f t="shared" si="29"/>
        <v>2.0164317655896869E-2</v>
      </c>
      <c r="AM77" s="17">
        <f t="shared" si="30"/>
        <v>1.8892908275619728E-2</v>
      </c>
      <c r="AO77" s="17" t="s">
        <v>1378</v>
      </c>
      <c r="AP77" s="17">
        <f t="shared" si="31"/>
        <v>0.95584047069882283</v>
      </c>
      <c r="AR77" s="1" t="s">
        <v>68</v>
      </c>
      <c r="AS77" s="17">
        <f t="shared" si="32"/>
        <v>0.95584047069882283</v>
      </c>
      <c r="AT77" s="17">
        <f t="shared" si="33"/>
        <v>155</v>
      </c>
    </row>
    <row r="78" spans="6:46" x14ac:dyDescent="0.3">
      <c r="F78" s="1">
        <v>76</v>
      </c>
      <c r="G78" s="1" t="s">
        <v>69</v>
      </c>
      <c r="H78" s="1">
        <v>3</v>
      </c>
      <c r="I78" s="1">
        <v>34</v>
      </c>
      <c r="J78" s="1">
        <v>2</v>
      </c>
      <c r="K78" s="1">
        <v>3</v>
      </c>
      <c r="M78" s="1" t="s">
        <v>69</v>
      </c>
      <c r="N78" s="1">
        <f t="shared" si="17"/>
        <v>0.42857142857142855</v>
      </c>
      <c r="O78" s="1">
        <f t="shared" si="18"/>
        <v>0.32380952380952382</v>
      </c>
      <c r="P78" s="1">
        <f t="shared" si="19"/>
        <v>0.5</v>
      </c>
      <c r="Q78" s="1">
        <f t="shared" si="20"/>
        <v>1</v>
      </c>
      <c r="S78" s="1" t="s">
        <v>69</v>
      </c>
      <c r="T78" s="1">
        <f t="shared" si="21"/>
        <v>4.2874646285627281E-2</v>
      </c>
      <c r="U78" s="1">
        <f t="shared" si="22"/>
        <v>2.4663323936565784E-2</v>
      </c>
      <c r="V78" s="1">
        <f t="shared" si="23"/>
        <v>3.1574382095289864E-2</v>
      </c>
      <c r="W78" s="1">
        <f t="shared" si="24"/>
        <v>4.0360367639778717E-2</v>
      </c>
      <c r="Y78" s="1" t="s">
        <v>69</v>
      </c>
      <c r="Z78" s="1">
        <f t="shared" si="25"/>
        <v>1.2862393885688184E-2</v>
      </c>
      <c r="AA78" s="1">
        <f t="shared" si="26"/>
        <v>4.9326647873131572E-3</v>
      </c>
      <c r="AB78" s="1">
        <f t="shared" si="27"/>
        <v>9.4723146285869593E-3</v>
      </c>
      <c r="AC78" s="1">
        <f t="shared" si="28"/>
        <v>8.0720735279557441E-3</v>
      </c>
      <c r="AK78" s="17" t="s">
        <v>667</v>
      </c>
      <c r="AL78" s="17">
        <f t="shared" si="29"/>
        <v>2.0797119710433402E-2</v>
      </c>
      <c r="AM78" s="17">
        <f t="shared" si="30"/>
        <v>1.6945680003529664E-2</v>
      </c>
      <c r="AO78" s="17" t="s">
        <v>1379</v>
      </c>
      <c r="AP78" s="17">
        <f t="shared" si="31"/>
        <v>0.83175466506834295</v>
      </c>
      <c r="AR78" s="1" t="s">
        <v>69</v>
      </c>
      <c r="AS78" s="17">
        <f t="shared" si="32"/>
        <v>0.83175466506834295</v>
      </c>
      <c r="AT78" s="17">
        <f t="shared" si="33"/>
        <v>290</v>
      </c>
    </row>
    <row r="79" spans="6:46" x14ac:dyDescent="0.3">
      <c r="F79" s="1">
        <v>77</v>
      </c>
      <c r="G79" s="1" t="s">
        <v>70</v>
      </c>
      <c r="H79" s="1">
        <v>2</v>
      </c>
      <c r="I79" s="1">
        <v>42</v>
      </c>
      <c r="J79" s="1">
        <v>2</v>
      </c>
      <c r="K79" s="1">
        <v>3</v>
      </c>
      <c r="M79" s="1" t="s">
        <v>70</v>
      </c>
      <c r="N79" s="1">
        <f t="shared" si="17"/>
        <v>0.2857142857142857</v>
      </c>
      <c r="O79" s="1">
        <f t="shared" si="18"/>
        <v>0.4</v>
      </c>
      <c r="P79" s="1">
        <f t="shared" si="19"/>
        <v>0.5</v>
      </c>
      <c r="Q79" s="1">
        <f t="shared" si="20"/>
        <v>1</v>
      </c>
      <c r="S79" s="1" t="s">
        <v>70</v>
      </c>
      <c r="T79" s="1">
        <f t="shared" si="21"/>
        <v>2.8583097523751523E-2</v>
      </c>
      <c r="U79" s="1">
        <f t="shared" si="22"/>
        <v>3.0466458980463618E-2</v>
      </c>
      <c r="V79" s="1">
        <f t="shared" si="23"/>
        <v>3.1574382095289864E-2</v>
      </c>
      <c r="W79" s="1">
        <f t="shared" si="24"/>
        <v>4.0360367639778717E-2</v>
      </c>
      <c r="Y79" s="1" t="s">
        <v>70</v>
      </c>
      <c r="Z79" s="1">
        <f t="shared" si="25"/>
        <v>8.5749292571254566E-3</v>
      </c>
      <c r="AA79" s="1">
        <f t="shared" si="26"/>
        <v>6.0932917960927237E-3</v>
      </c>
      <c r="AB79" s="1">
        <f t="shared" si="27"/>
        <v>9.4723146285869593E-3</v>
      </c>
      <c r="AC79" s="1">
        <f t="shared" si="28"/>
        <v>8.0720735279557441E-3</v>
      </c>
      <c r="AK79" s="17" t="s">
        <v>668</v>
      </c>
      <c r="AL79" s="17">
        <f t="shared" si="29"/>
        <v>2.3987459068738757E-2</v>
      </c>
      <c r="AM79" s="17">
        <f t="shared" si="30"/>
        <v>1.416448115146393E-2</v>
      </c>
      <c r="AO79" s="17" t="s">
        <v>1380</v>
      </c>
      <c r="AP79" s="17">
        <f t="shared" si="31"/>
        <v>0.60465975248779091</v>
      </c>
      <c r="AR79" s="1" t="s">
        <v>70</v>
      </c>
      <c r="AS79" s="17">
        <f t="shared" si="32"/>
        <v>0.60465975248779091</v>
      </c>
      <c r="AT79" s="17">
        <f t="shared" si="33"/>
        <v>426</v>
      </c>
    </row>
    <row r="80" spans="6:46" x14ac:dyDescent="0.3">
      <c r="F80" s="1">
        <v>78</v>
      </c>
      <c r="G80" s="1" t="s">
        <v>71</v>
      </c>
      <c r="H80" s="1">
        <v>3</v>
      </c>
      <c r="I80" s="1">
        <v>45</v>
      </c>
      <c r="J80" s="1">
        <v>2</v>
      </c>
      <c r="K80" s="1">
        <v>3</v>
      </c>
      <c r="M80" s="1" t="s">
        <v>71</v>
      </c>
      <c r="N80" s="1">
        <f t="shared" si="17"/>
        <v>0.42857142857142855</v>
      </c>
      <c r="O80" s="1">
        <f t="shared" si="18"/>
        <v>0.42857142857142855</v>
      </c>
      <c r="P80" s="1">
        <f t="shared" si="19"/>
        <v>0.5</v>
      </c>
      <c r="Q80" s="1">
        <f t="shared" si="20"/>
        <v>1</v>
      </c>
      <c r="S80" s="1" t="s">
        <v>71</v>
      </c>
      <c r="T80" s="1">
        <f t="shared" si="21"/>
        <v>4.2874646285627281E-2</v>
      </c>
      <c r="U80" s="1">
        <f t="shared" si="22"/>
        <v>3.26426346219253E-2</v>
      </c>
      <c r="V80" s="1">
        <f t="shared" si="23"/>
        <v>3.1574382095289864E-2</v>
      </c>
      <c r="W80" s="1">
        <f t="shared" si="24"/>
        <v>4.0360367639778717E-2</v>
      </c>
      <c r="Y80" s="1" t="s">
        <v>71</v>
      </c>
      <c r="Z80" s="1">
        <f t="shared" si="25"/>
        <v>1.2862393885688184E-2</v>
      </c>
      <c r="AA80" s="1">
        <f t="shared" si="26"/>
        <v>6.5285269243850605E-3</v>
      </c>
      <c r="AB80" s="1">
        <f t="shared" si="27"/>
        <v>9.4723146285869593E-3</v>
      </c>
      <c r="AC80" s="1">
        <f t="shared" si="28"/>
        <v>8.0720735279557441E-3</v>
      </c>
      <c r="AK80" s="17" t="s">
        <v>669</v>
      </c>
      <c r="AL80" s="17">
        <f t="shared" si="29"/>
        <v>2.0054685283268418E-2</v>
      </c>
      <c r="AM80" s="17">
        <f t="shared" si="30"/>
        <v>1.7183115225077431E-2</v>
      </c>
      <c r="AO80" s="17" t="s">
        <v>1381</v>
      </c>
      <c r="AP80" s="17">
        <f t="shared" si="31"/>
        <v>0.87399612337600907</v>
      </c>
      <c r="AR80" s="1" t="s">
        <v>71</v>
      </c>
      <c r="AS80" s="17">
        <f t="shared" si="32"/>
        <v>0.87399612337600907</v>
      </c>
      <c r="AT80" s="17">
        <f t="shared" si="33"/>
        <v>210</v>
      </c>
    </row>
    <row r="81" spans="6:46" x14ac:dyDescent="0.3">
      <c r="F81" s="1">
        <v>79</v>
      </c>
      <c r="G81" s="1" t="s">
        <v>72</v>
      </c>
      <c r="H81" s="1">
        <v>2</v>
      </c>
      <c r="I81" s="1">
        <v>55</v>
      </c>
      <c r="J81" s="1">
        <v>2</v>
      </c>
      <c r="K81" s="1">
        <v>3</v>
      </c>
      <c r="M81" s="1" t="s">
        <v>72</v>
      </c>
      <c r="N81" s="1">
        <f t="shared" si="17"/>
        <v>0.2857142857142857</v>
      </c>
      <c r="O81" s="1">
        <f t="shared" si="18"/>
        <v>0.52380952380952384</v>
      </c>
      <c r="P81" s="1">
        <f t="shared" si="19"/>
        <v>0.5</v>
      </c>
      <c r="Q81" s="1">
        <f t="shared" si="20"/>
        <v>1</v>
      </c>
      <c r="S81" s="1" t="s">
        <v>72</v>
      </c>
      <c r="T81" s="1">
        <f t="shared" si="21"/>
        <v>2.8583097523751523E-2</v>
      </c>
      <c r="U81" s="1">
        <f t="shared" si="22"/>
        <v>3.9896553426797592E-2</v>
      </c>
      <c r="V81" s="1">
        <f t="shared" si="23"/>
        <v>3.1574382095289864E-2</v>
      </c>
      <c r="W81" s="1">
        <f t="shared" si="24"/>
        <v>4.0360367639778717E-2</v>
      </c>
      <c r="Y81" s="1" t="s">
        <v>72</v>
      </c>
      <c r="Z81" s="1">
        <f t="shared" si="25"/>
        <v>8.5749292571254566E-3</v>
      </c>
      <c r="AA81" s="1">
        <f t="shared" si="26"/>
        <v>7.979310685359519E-3</v>
      </c>
      <c r="AB81" s="1">
        <f t="shared" si="27"/>
        <v>9.4723146285869593E-3</v>
      </c>
      <c r="AC81" s="1">
        <f t="shared" si="28"/>
        <v>8.0720735279557441E-3</v>
      </c>
      <c r="AK81" s="17" t="s">
        <v>670</v>
      </c>
      <c r="AL81" s="17">
        <f t="shared" si="29"/>
        <v>2.3334075288070719E-2</v>
      </c>
      <c r="AM81" s="17">
        <f t="shared" si="30"/>
        <v>1.4667461124905206E-2</v>
      </c>
      <c r="AO81" s="17" t="s">
        <v>1382</v>
      </c>
      <c r="AP81" s="17">
        <f t="shared" si="31"/>
        <v>0.64325295010735395</v>
      </c>
      <c r="AR81" s="1" t="s">
        <v>72</v>
      </c>
      <c r="AS81" s="17">
        <f t="shared" si="32"/>
        <v>0.64325295010735395</v>
      </c>
      <c r="AT81" s="17">
        <f t="shared" si="33"/>
        <v>388</v>
      </c>
    </row>
    <row r="82" spans="6:46" x14ac:dyDescent="0.3">
      <c r="F82" s="1">
        <v>80</v>
      </c>
      <c r="G82" s="1" t="s">
        <v>73</v>
      </c>
      <c r="H82" s="1">
        <v>2</v>
      </c>
      <c r="I82" s="1">
        <v>56</v>
      </c>
      <c r="J82" s="1">
        <v>1</v>
      </c>
      <c r="K82" s="1">
        <v>2</v>
      </c>
      <c r="M82" s="1" t="s">
        <v>73</v>
      </c>
      <c r="N82" s="1">
        <f t="shared" si="17"/>
        <v>0.2857142857142857</v>
      </c>
      <c r="O82" s="1">
        <f t="shared" si="18"/>
        <v>0.53333333333333333</v>
      </c>
      <c r="P82" s="1">
        <f t="shared" si="19"/>
        <v>1</v>
      </c>
      <c r="Q82" s="1">
        <f t="shared" si="20"/>
        <v>0.66666666666666663</v>
      </c>
      <c r="S82" s="1" t="s">
        <v>73</v>
      </c>
      <c r="T82" s="1">
        <f t="shared" si="21"/>
        <v>2.8583097523751523E-2</v>
      </c>
      <c r="U82" s="1">
        <f t="shared" si="22"/>
        <v>4.0621945307284822E-2</v>
      </c>
      <c r="V82" s="1">
        <f t="shared" si="23"/>
        <v>6.3148764190579729E-2</v>
      </c>
      <c r="W82" s="1">
        <f t="shared" si="24"/>
        <v>2.6906911759852478E-2</v>
      </c>
      <c r="Y82" s="1" t="s">
        <v>73</v>
      </c>
      <c r="Z82" s="1">
        <f t="shared" si="25"/>
        <v>8.5749292571254566E-3</v>
      </c>
      <c r="AA82" s="1">
        <f t="shared" si="26"/>
        <v>8.1243890614569655E-3</v>
      </c>
      <c r="AB82" s="1">
        <f t="shared" si="27"/>
        <v>1.8944629257173919E-2</v>
      </c>
      <c r="AC82" s="1">
        <f t="shared" si="28"/>
        <v>5.3813823519704958E-3</v>
      </c>
      <c r="AK82" s="17" t="s">
        <v>671</v>
      </c>
      <c r="AL82" s="17">
        <f t="shared" si="29"/>
        <v>2.7331842244869901E-2</v>
      </c>
      <c r="AM82" s="17">
        <f t="shared" si="30"/>
        <v>1.0251849231881542E-2</v>
      </c>
      <c r="AO82" s="17" t="s">
        <v>1383</v>
      </c>
      <c r="AP82" s="17">
        <f t="shared" si="31"/>
        <v>0.38533996587011443</v>
      </c>
      <c r="AR82" s="1" t="s">
        <v>73</v>
      </c>
      <c r="AS82" s="17">
        <f t="shared" si="32"/>
        <v>0.38533996587011443</v>
      </c>
      <c r="AT82" s="17">
        <f t="shared" si="33"/>
        <v>609</v>
      </c>
    </row>
    <row r="83" spans="6:46" x14ac:dyDescent="0.3">
      <c r="F83" s="1">
        <v>81</v>
      </c>
      <c r="G83" s="1" t="s">
        <v>74</v>
      </c>
      <c r="H83" s="1">
        <v>1</v>
      </c>
      <c r="I83" s="1">
        <v>61</v>
      </c>
      <c r="J83" s="1">
        <v>1</v>
      </c>
      <c r="K83" s="1">
        <v>3</v>
      </c>
      <c r="M83" s="1" t="s">
        <v>74</v>
      </c>
      <c r="N83" s="1">
        <f t="shared" si="17"/>
        <v>0.14285714285714285</v>
      </c>
      <c r="O83" s="1">
        <f t="shared" si="18"/>
        <v>0.580952380952381</v>
      </c>
      <c r="P83" s="1">
        <f t="shared" si="19"/>
        <v>1</v>
      </c>
      <c r="Q83" s="1">
        <f t="shared" si="20"/>
        <v>1</v>
      </c>
      <c r="S83" s="1" t="s">
        <v>74</v>
      </c>
      <c r="T83" s="1">
        <f t="shared" si="21"/>
        <v>1.4291548761875762E-2</v>
      </c>
      <c r="U83" s="1">
        <f t="shared" si="22"/>
        <v>4.4248904709720968E-2</v>
      </c>
      <c r="V83" s="1">
        <f t="shared" si="23"/>
        <v>6.3148764190579729E-2</v>
      </c>
      <c r="W83" s="1">
        <f t="shared" si="24"/>
        <v>4.0360367639778717E-2</v>
      </c>
      <c r="Y83" s="1" t="s">
        <v>74</v>
      </c>
      <c r="Z83" s="1">
        <f t="shared" si="25"/>
        <v>4.2874646285627283E-3</v>
      </c>
      <c r="AA83" s="1">
        <f t="shared" si="26"/>
        <v>8.8497809419441943E-3</v>
      </c>
      <c r="AB83" s="1">
        <f t="shared" si="27"/>
        <v>1.8944629257173919E-2</v>
      </c>
      <c r="AC83" s="1">
        <f t="shared" si="28"/>
        <v>8.0720735279557441E-3</v>
      </c>
      <c r="AK83" s="17" t="s">
        <v>672</v>
      </c>
      <c r="AL83" s="17">
        <f t="shared" si="29"/>
        <v>3.0532089135428046E-2</v>
      </c>
      <c r="AM83" s="17">
        <f t="shared" si="30"/>
        <v>8.908155488950362E-3</v>
      </c>
      <c r="AO83" s="17" t="s">
        <v>1384</v>
      </c>
      <c r="AP83" s="17">
        <f t="shared" si="31"/>
        <v>0.30067186184515066</v>
      </c>
      <c r="AR83" s="1" t="s">
        <v>74</v>
      </c>
      <c r="AS83" s="17">
        <f t="shared" si="32"/>
        <v>0.30067186184515066</v>
      </c>
      <c r="AT83" s="17">
        <f t="shared" si="33"/>
        <v>648</v>
      </c>
    </row>
    <row r="84" spans="6:46" x14ac:dyDescent="0.3">
      <c r="F84" s="1">
        <v>82</v>
      </c>
      <c r="G84" s="1" t="s">
        <v>75</v>
      </c>
      <c r="H84" s="1">
        <v>1</v>
      </c>
      <c r="I84" s="1">
        <v>42</v>
      </c>
      <c r="J84" s="1">
        <v>3</v>
      </c>
      <c r="K84" s="1">
        <v>3</v>
      </c>
      <c r="M84" s="1" t="s">
        <v>75</v>
      </c>
      <c r="N84" s="1">
        <f t="shared" si="17"/>
        <v>0.14285714285714285</v>
      </c>
      <c r="O84" s="1">
        <f t="shared" si="18"/>
        <v>0.4</v>
      </c>
      <c r="P84" s="1">
        <f t="shared" si="19"/>
        <v>0.33333333333333331</v>
      </c>
      <c r="Q84" s="1">
        <f t="shared" si="20"/>
        <v>1</v>
      </c>
      <c r="S84" s="1" t="s">
        <v>75</v>
      </c>
      <c r="T84" s="1">
        <f t="shared" si="21"/>
        <v>1.4291548761875762E-2</v>
      </c>
      <c r="U84" s="1">
        <f t="shared" si="22"/>
        <v>3.0466458980463618E-2</v>
      </c>
      <c r="V84" s="1">
        <f t="shared" si="23"/>
        <v>2.1049588063526574E-2</v>
      </c>
      <c r="W84" s="1">
        <f t="shared" si="24"/>
        <v>4.0360367639778717E-2</v>
      </c>
      <c r="Y84" s="1" t="s">
        <v>75</v>
      </c>
      <c r="Z84" s="1">
        <f t="shared" si="25"/>
        <v>4.2874646285627283E-3</v>
      </c>
      <c r="AA84" s="1">
        <f t="shared" si="26"/>
        <v>6.0932917960927237E-3</v>
      </c>
      <c r="AB84" s="1">
        <f t="shared" si="27"/>
        <v>6.314876419057972E-3</v>
      </c>
      <c r="AC84" s="1">
        <f t="shared" si="28"/>
        <v>8.0720735279557441E-3</v>
      </c>
      <c r="AK84" s="17" t="s">
        <v>673</v>
      </c>
      <c r="AL84" s="17">
        <f t="shared" si="29"/>
        <v>2.7416848710330947E-2</v>
      </c>
      <c r="AM84" s="17">
        <f t="shared" si="30"/>
        <v>1.4672129354514382E-2</v>
      </c>
      <c r="AO84" s="17" t="s">
        <v>1385</v>
      </c>
      <c r="AP84" s="17">
        <f t="shared" si="31"/>
        <v>0.54982223028444999</v>
      </c>
      <c r="AR84" s="1" t="s">
        <v>75</v>
      </c>
      <c r="AS84" s="17">
        <f t="shared" si="32"/>
        <v>0.54982223028444999</v>
      </c>
      <c r="AT84" s="17">
        <f t="shared" si="33"/>
        <v>510</v>
      </c>
    </row>
    <row r="85" spans="6:46" x14ac:dyDescent="0.3">
      <c r="F85" s="1">
        <v>83</v>
      </c>
      <c r="G85" s="1" t="s">
        <v>76</v>
      </c>
      <c r="H85" s="1">
        <v>4</v>
      </c>
      <c r="I85" s="1">
        <v>56</v>
      </c>
      <c r="J85" s="1">
        <v>4</v>
      </c>
      <c r="K85" s="1">
        <v>3</v>
      </c>
      <c r="M85" s="1" t="s">
        <v>76</v>
      </c>
      <c r="N85" s="1">
        <f t="shared" si="17"/>
        <v>0.5714285714285714</v>
      </c>
      <c r="O85" s="1">
        <f t="shared" si="18"/>
        <v>0.53333333333333333</v>
      </c>
      <c r="P85" s="1">
        <f t="shared" si="19"/>
        <v>0.25</v>
      </c>
      <c r="Q85" s="1">
        <f t="shared" si="20"/>
        <v>1</v>
      </c>
      <c r="S85" s="1" t="s">
        <v>76</v>
      </c>
      <c r="T85" s="1">
        <f t="shared" si="21"/>
        <v>5.7166195047503046E-2</v>
      </c>
      <c r="U85" s="1">
        <f t="shared" si="22"/>
        <v>4.0621945307284822E-2</v>
      </c>
      <c r="V85" s="1">
        <f t="shared" si="23"/>
        <v>1.5787191047644932E-2</v>
      </c>
      <c r="W85" s="1">
        <f t="shared" si="24"/>
        <v>4.0360367639778717E-2</v>
      </c>
      <c r="Y85" s="1" t="s">
        <v>76</v>
      </c>
      <c r="Z85" s="1">
        <f t="shared" si="25"/>
        <v>1.7149858514250913E-2</v>
      </c>
      <c r="AA85" s="1">
        <f t="shared" si="26"/>
        <v>8.1243890614569655E-3</v>
      </c>
      <c r="AB85" s="1">
        <f t="shared" si="27"/>
        <v>4.7361573142934797E-3</v>
      </c>
      <c r="AC85" s="1">
        <f t="shared" si="28"/>
        <v>8.0720735279557441E-3</v>
      </c>
      <c r="AK85" s="17" t="s">
        <v>674</v>
      </c>
      <c r="AL85" s="17">
        <f t="shared" si="29"/>
        <v>1.4726643750583563E-2</v>
      </c>
      <c r="AM85" s="17">
        <f t="shared" si="30"/>
        <v>2.3436910631150679E-2</v>
      </c>
      <c r="AO85" s="17" t="s">
        <v>1386</v>
      </c>
      <c r="AP85" s="17">
        <f t="shared" si="31"/>
        <v>1.6149000456188467</v>
      </c>
      <c r="AR85" s="1" t="s">
        <v>76</v>
      </c>
      <c r="AS85" s="17">
        <f t="shared" si="32"/>
        <v>1.6149000456188467</v>
      </c>
      <c r="AT85" s="17">
        <f t="shared" si="33"/>
        <v>29</v>
      </c>
    </row>
    <row r="86" spans="6:46" x14ac:dyDescent="0.3">
      <c r="F86" s="1">
        <v>84</v>
      </c>
      <c r="G86" s="1" t="s">
        <v>77</v>
      </c>
      <c r="H86" s="1">
        <v>3</v>
      </c>
      <c r="I86" s="1">
        <v>39</v>
      </c>
      <c r="J86" s="1">
        <v>2</v>
      </c>
      <c r="K86" s="1">
        <v>3</v>
      </c>
      <c r="M86" s="1" t="s">
        <v>77</v>
      </c>
      <c r="N86" s="1">
        <f t="shared" si="17"/>
        <v>0.42857142857142855</v>
      </c>
      <c r="O86" s="1">
        <f t="shared" si="18"/>
        <v>0.37142857142857144</v>
      </c>
      <c r="P86" s="1">
        <f t="shared" si="19"/>
        <v>0.5</v>
      </c>
      <c r="Q86" s="1">
        <f t="shared" si="20"/>
        <v>1</v>
      </c>
      <c r="S86" s="1" t="s">
        <v>77</v>
      </c>
      <c r="T86" s="1">
        <f t="shared" si="21"/>
        <v>4.2874646285627281E-2</v>
      </c>
      <c r="U86" s="1">
        <f t="shared" si="22"/>
        <v>2.829028333900193E-2</v>
      </c>
      <c r="V86" s="1">
        <f t="shared" si="23"/>
        <v>3.1574382095289864E-2</v>
      </c>
      <c r="W86" s="1">
        <f t="shared" si="24"/>
        <v>4.0360367639778717E-2</v>
      </c>
      <c r="Y86" s="1" t="s">
        <v>77</v>
      </c>
      <c r="Z86" s="1">
        <f t="shared" si="25"/>
        <v>1.2862393885688184E-2</v>
      </c>
      <c r="AA86" s="1">
        <f t="shared" si="26"/>
        <v>5.658056667800386E-3</v>
      </c>
      <c r="AB86" s="1">
        <f t="shared" si="27"/>
        <v>9.4723146285869593E-3</v>
      </c>
      <c r="AC86" s="1">
        <f t="shared" si="28"/>
        <v>8.0720735279557441E-3</v>
      </c>
      <c r="AK86" s="17" t="s">
        <v>675</v>
      </c>
      <c r="AL86" s="17">
        <f t="shared" si="29"/>
        <v>2.0447554612483942E-2</v>
      </c>
      <c r="AM86" s="17">
        <f t="shared" si="30"/>
        <v>1.7035492138110675E-2</v>
      </c>
      <c r="AO86" s="17" t="s">
        <v>1387</v>
      </c>
      <c r="AP86" s="17">
        <f t="shared" si="31"/>
        <v>0.85016651738598625</v>
      </c>
      <c r="AR86" s="1" t="s">
        <v>77</v>
      </c>
      <c r="AS86" s="17">
        <f t="shared" si="32"/>
        <v>0.85016651738598625</v>
      </c>
      <c r="AT86" s="17">
        <f t="shared" si="33"/>
        <v>257</v>
      </c>
    </row>
    <row r="87" spans="6:46" x14ac:dyDescent="0.3">
      <c r="F87" s="1">
        <v>85</v>
      </c>
      <c r="G87" s="1" t="s">
        <v>78</v>
      </c>
      <c r="H87" s="1">
        <v>3</v>
      </c>
      <c r="I87" s="1">
        <v>49</v>
      </c>
      <c r="J87" s="1">
        <v>2</v>
      </c>
      <c r="K87" s="1">
        <v>3</v>
      </c>
      <c r="M87" s="1" t="s">
        <v>78</v>
      </c>
      <c r="N87" s="1">
        <f t="shared" si="17"/>
        <v>0.42857142857142855</v>
      </c>
      <c r="O87" s="1">
        <f t="shared" si="18"/>
        <v>0.46666666666666667</v>
      </c>
      <c r="P87" s="1">
        <f t="shared" si="19"/>
        <v>0.5</v>
      </c>
      <c r="Q87" s="1">
        <f t="shared" si="20"/>
        <v>1</v>
      </c>
      <c r="S87" s="1" t="s">
        <v>78</v>
      </c>
      <c r="T87" s="1">
        <f t="shared" si="21"/>
        <v>4.2874646285627281E-2</v>
      </c>
      <c r="U87" s="1">
        <f t="shared" si="22"/>
        <v>3.5544202143874222E-2</v>
      </c>
      <c r="V87" s="1">
        <f t="shared" si="23"/>
        <v>3.1574382095289864E-2</v>
      </c>
      <c r="W87" s="1">
        <f t="shared" si="24"/>
        <v>4.0360367639778717E-2</v>
      </c>
      <c r="Y87" s="1" t="s">
        <v>78</v>
      </c>
      <c r="Z87" s="1">
        <f t="shared" si="25"/>
        <v>1.2862393885688184E-2</v>
      </c>
      <c r="AA87" s="1">
        <f t="shared" si="26"/>
        <v>7.1088404287748446E-3</v>
      </c>
      <c r="AB87" s="1">
        <f t="shared" si="27"/>
        <v>9.4723146285869593E-3</v>
      </c>
      <c r="AC87" s="1">
        <f t="shared" si="28"/>
        <v>8.0720735279557441E-3</v>
      </c>
      <c r="AK87" s="17" t="s">
        <v>676</v>
      </c>
      <c r="AL87" s="17">
        <f t="shared" si="29"/>
        <v>1.9809700973841212E-2</v>
      </c>
      <c r="AM87" s="17">
        <f t="shared" si="30"/>
        <v>1.7305172518079736E-2</v>
      </c>
      <c r="AO87" s="17" t="s">
        <v>1388</v>
      </c>
      <c r="AP87" s="17">
        <f t="shared" si="31"/>
        <v>0.89087578021838187</v>
      </c>
      <c r="AR87" s="1" t="s">
        <v>78</v>
      </c>
      <c r="AS87" s="17">
        <f t="shared" si="32"/>
        <v>0.89087578021838187</v>
      </c>
      <c r="AT87" s="17">
        <f t="shared" si="33"/>
        <v>187</v>
      </c>
    </row>
    <row r="88" spans="6:46" x14ac:dyDescent="0.3">
      <c r="F88" s="1">
        <v>86</v>
      </c>
      <c r="G88" s="1" t="s">
        <v>79</v>
      </c>
      <c r="H88" s="1">
        <v>3</v>
      </c>
      <c r="I88" s="1">
        <v>48</v>
      </c>
      <c r="J88" s="1">
        <v>2</v>
      </c>
      <c r="K88" s="1">
        <v>3</v>
      </c>
      <c r="M88" s="1" t="s">
        <v>79</v>
      </c>
      <c r="N88" s="1">
        <f t="shared" si="17"/>
        <v>0.42857142857142855</v>
      </c>
      <c r="O88" s="1">
        <f t="shared" si="18"/>
        <v>0.45714285714285713</v>
      </c>
      <c r="P88" s="1">
        <f t="shared" si="19"/>
        <v>0.5</v>
      </c>
      <c r="Q88" s="1">
        <f t="shared" si="20"/>
        <v>1</v>
      </c>
      <c r="S88" s="1" t="s">
        <v>79</v>
      </c>
      <c r="T88" s="1">
        <f t="shared" si="21"/>
        <v>4.2874646285627281E-2</v>
      </c>
      <c r="U88" s="1">
        <f t="shared" si="22"/>
        <v>3.4818810263386991E-2</v>
      </c>
      <c r="V88" s="1">
        <f t="shared" si="23"/>
        <v>3.1574382095289864E-2</v>
      </c>
      <c r="W88" s="1">
        <f t="shared" si="24"/>
        <v>4.0360367639778717E-2</v>
      </c>
      <c r="Y88" s="1" t="s">
        <v>79</v>
      </c>
      <c r="Z88" s="1">
        <f t="shared" si="25"/>
        <v>1.2862393885688184E-2</v>
      </c>
      <c r="AA88" s="1">
        <f t="shared" si="26"/>
        <v>6.963762052677399E-3</v>
      </c>
      <c r="AB88" s="1">
        <f t="shared" si="27"/>
        <v>9.4723146285869593E-3</v>
      </c>
      <c r="AC88" s="1">
        <f t="shared" si="28"/>
        <v>8.0720735279557441E-3</v>
      </c>
      <c r="AK88" s="17" t="s">
        <v>677</v>
      </c>
      <c r="AL88" s="17">
        <f t="shared" si="29"/>
        <v>1.9869641334253032E-2</v>
      </c>
      <c r="AM88" s="17">
        <f t="shared" si="30"/>
        <v>1.727291133290261E-2</v>
      </c>
      <c r="AO88" s="17" t="s">
        <v>1389</v>
      </c>
      <c r="AP88" s="17">
        <f t="shared" si="31"/>
        <v>0.88658459352849661</v>
      </c>
      <c r="AR88" s="1" t="s">
        <v>79</v>
      </c>
      <c r="AS88" s="17">
        <f t="shared" si="32"/>
        <v>0.88658459352849661</v>
      </c>
      <c r="AT88" s="17">
        <f t="shared" si="33"/>
        <v>191</v>
      </c>
    </row>
    <row r="89" spans="6:46" x14ac:dyDescent="0.3">
      <c r="F89" s="1">
        <v>87</v>
      </c>
      <c r="G89" s="1" t="s">
        <v>80</v>
      </c>
      <c r="H89" s="1">
        <v>4</v>
      </c>
      <c r="I89" s="1">
        <v>43</v>
      </c>
      <c r="J89" s="1">
        <v>4</v>
      </c>
      <c r="K89" s="1">
        <v>3</v>
      </c>
      <c r="M89" s="1" t="s">
        <v>80</v>
      </c>
      <c r="N89" s="1">
        <f t="shared" si="17"/>
        <v>0.5714285714285714</v>
      </c>
      <c r="O89" s="1">
        <f t="shared" si="18"/>
        <v>0.40952380952380951</v>
      </c>
      <c r="P89" s="1">
        <f t="shared" si="19"/>
        <v>0.25</v>
      </c>
      <c r="Q89" s="1">
        <f t="shared" si="20"/>
        <v>1</v>
      </c>
      <c r="S89" s="1" t="s">
        <v>80</v>
      </c>
      <c r="T89" s="1">
        <f t="shared" si="21"/>
        <v>5.7166195047503046E-2</v>
      </c>
      <c r="U89" s="1">
        <f t="shared" si="22"/>
        <v>3.1191850860950845E-2</v>
      </c>
      <c r="V89" s="1">
        <f t="shared" si="23"/>
        <v>1.5787191047644932E-2</v>
      </c>
      <c r="W89" s="1">
        <f t="shared" si="24"/>
        <v>4.0360367639778717E-2</v>
      </c>
      <c r="Y89" s="1" t="s">
        <v>80</v>
      </c>
      <c r="Z89" s="1">
        <f t="shared" si="25"/>
        <v>1.7149858514250913E-2</v>
      </c>
      <c r="AA89" s="1">
        <f t="shared" si="26"/>
        <v>6.2383701721901693E-3</v>
      </c>
      <c r="AB89" s="1">
        <f t="shared" si="27"/>
        <v>4.7361573142934797E-3</v>
      </c>
      <c r="AC89" s="1">
        <f t="shared" si="28"/>
        <v>8.0720735279557441E-3</v>
      </c>
      <c r="AK89" s="17" t="s">
        <v>678</v>
      </c>
      <c r="AL89" s="17">
        <f t="shared" si="29"/>
        <v>1.5724055395036574E-2</v>
      </c>
      <c r="AM89" s="17">
        <f t="shared" si="30"/>
        <v>2.3113624753738377E-2</v>
      </c>
      <c r="AO89" s="17" t="s">
        <v>1390</v>
      </c>
      <c r="AP89" s="17">
        <f t="shared" si="31"/>
        <v>1.493066774437654</v>
      </c>
      <c r="AR89" s="1" t="s">
        <v>80</v>
      </c>
      <c r="AS89" s="17">
        <f t="shared" si="32"/>
        <v>1.493066774437654</v>
      </c>
      <c r="AT89" s="17">
        <f t="shared" si="33"/>
        <v>44</v>
      </c>
    </row>
    <row r="90" spans="6:46" x14ac:dyDescent="0.3">
      <c r="F90" s="1">
        <v>88</v>
      </c>
      <c r="G90" s="1" t="s">
        <v>81</v>
      </c>
      <c r="H90" s="1">
        <v>2</v>
      </c>
      <c r="I90" s="1">
        <v>70</v>
      </c>
      <c r="J90" s="1">
        <v>4</v>
      </c>
      <c r="K90" s="1">
        <v>3</v>
      </c>
      <c r="M90" s="1" t="s">
        <v>81</v>
      </c>
      <c r="N90" s="1">
        <f t="shared" si="17"/>
        <v>0.2857142857142857</v>
      </c>
      <c r="O90" s="1">
        <f t="shared" si="18"/>
        <v>0.66666666666666663</v>
      </c>
      <c r="P90" s="1">
        <f t="shared" si="19"/>
        <v>0.25</v>
      </c>
      <c r="Q90" s="1">
        <f t="shared" si="20"/>
        <v>1</v>
      </c>
      <c r="S90" s="1" t="s">
        <v>81</v>
      </c>
      <c r="T90" s="1">
        <f t="shared" si="21"/>
        <v>2.8583097523751523E-2</v>
      </c>
      <c r="U90" s="1">
        <f t="shared" si="22"/>
        <v>5.0777431634106023E-2</v>
      </c>
      <c r="V90" s="1">
        <f t="shared" si="23"/>
        <v>1.5787191047644932E-2</v>
      </c>
      <c r="W90" s="1">
        <f t="shared" si="24"/>
        <v>4.0360367639778717E-2</v>
      </c>
      <c r="Y90" s="1" t="s">
        <v>81</v>
      </c>
      <c r="Z90" s="1">
        <f t="shared" si="25"/>
        <v>8.5749292571254566E-3</v>
      </c>
      <c r="AA90" s="1">
        <f t="shared" si="26"/>
        <v>1.0155486326821206E-2</v>
      </c>
      <c r="AB90" s="1">
        <f t="shared" si="27"/>
        <v>4.7361573142934797E-3</v>
      </c>
      <c r="AC90" s="1">
        <f t="shared" si="28"/>
        <v>8.0720735279557441E-3</v>
      </c>
      <c r="AK90" s="17" t="s">
        <v>679</v>
      </c>
      <c r="AL90" s="17">
        <f t="shared" si="29"/>
        <v>2.2050840043118674E-2</v>
      </c>
      <c r="AM90" s="17">
        <f t="shared" si="30"/>
        <v>1.8784657161117845E-2</v>
      </c>
      <c r="AO90" s="17" t="s">
        <v>1391</v>
      </c>
      <c r="AP90" s="17">
        <f t="shared" si="31"/>
        <v>0.87066409233845954</v>
      </c>
      <c r="AR90" s="1" t="s">
        <v>81</v>
      </c>
      <c r="AS90" s="17">
        <f t="shared" si="32"/>
        <v>0.87066409233845954</v>
      </c>
      <c r="AT90" s="17">
        <f t="shared" si="33"/>
        <v>217</v>
      </c>
    </row>
    <row r="91" spans="6:46" x14ac:dyDescent="0.3">
      <c r="F91" s="1">
        <v>89</v>
      </c>
      <c r="G91" s="1" t="s">
        <v>82</v>
      </c>
      <c r="H91" s="1">
        <v>2</v>
      </c>
      <c r="I91" s="1">
        <v>46</v>
      </c>
      <c r="J91" s="1">
        <v>2</v>
      </c>
      <c r="K91" s="1">
        <v>3</v>
      </c>
      <c r="M91" s="1" t="s">
        <v>82</v>
      </c>
      <c r="N91" s="1">
        <f t="shared" si="17"/>
        <v>0.2857142857142857</v>
      </c>
      <c r="O91" s="1">
        <f t="shared" si="18"/>
        <v>0.43809523809523809</v>
      </c>
      <c r="P91" s="1">
        <f t="shared" si="19"/>
        <v>0.5</v>
      </c>
      <c r="Q91" s="1">
        <f t="shared" si="20"/>
        <v>1</v>
      </c>
      <c r="S91" s="1" t="s">
        <v>82</v>
      </c>
      <c r="T91" s="1">
        <f t="shared" si="21"/>
        <v>2.8583097523751523E-2</v>
      </c>
      <c r="U91" s="1">
        <f t="shared" si="22"/>
        <v>3.336802650241253E-2</v>
      </c>
      <c r="V91" s="1">
        <f t="shared" si="23"/>
        <v>3.1574382095289864E-2</v>
      </c>
      <c r="W91" s="1">
        <f t="shared" si="24"/>
        <v>4.0360367639778717E-2</v>
      </c>
      <c r="Y91" s="1" t="s">
        <v>82</v>
      </c>
      <c r="Z91" s="1">
        <f t="shared" si="25"/>
        <v>8.5749292571254566E-3</v>
      </c>
      <c r="AA91" s="1">
        <f t="shared" si="26"/>
        <v>6.6736053004825061E-3</v>
      </c>
      <c r="AB91" s="1">
        <f t="shared" si="27"/>
        <v>9.4723146285869593E-3</v>
      </c>
      <c r="AC91" s="1">
        <f t="shared" si="28"/>
        <v>8.0720735279557441E-3</v>
      </c>
      <c r="AK91" s="17" t="s">
        <v>680</v>
      </c>
      <c r="AL91" s="17">
        <f t="shared" si="29"/>
        <v>2.3772397813250017E-2</v>
      </c>
      <c r="AM91" s="17">
        <f t="shared" si="30"/>
        <v>1.4294646819258095E-2</v>
      </c>
      <c r="AO91" s="17" t="s">
        <v>1392</v>
      </c>
      <c r="AP91" s="17">
        <f t="shared" si="31"/>
        <v>0.61560743535465312</v>
      </c>
      <c r="AR91" s="1" t="s">
        <v>82</v>
      </c>
      <c r="AS91" s="17">
        <f t="shared" si="32"/>
        <v>0.61560743535465312</v>
      </c>
      <c r="AT91" s="17">
        <f t="shared" si="33"/>
        <v>418</v>
      </c>
    </row>
    <row r="92" spans="6:46" x14ac:dyDescent="0.3">
      <c r="F92" s="1">
        <v>90</v>
      </c>
      <c r="G92" s="1" t="s">
        <v>83</v>
      </c>
      <c r="H92" s="1">
        <v>4</v>
      </c>
      <c r="I92" s="1">
        <v>50</v>
      </c>
      <c r="J92" s="1">
        <v>2</v>
      </c>
      <c r="K92" s="1">
        <v>3</v>
      </c>
      <c r="M92" s="1" t="s">
        <v>83</v>
      </c>
      <c r="N92" s="1">
        <f t="shared" si="17"/>
        <v>0.5714285714285714</v>
      </c>
      <c r="O92" s="1">
        <f t="shared" si="18"/>
        <v>0.47619047619047616</v>
      </c>
      <c r="P92" s="1">
        <f t="shared" si="19"/>
        <v>0.5</v>
      </c>
      <c r="Q92" s="1">
        <f t="shared" si="20"/>
        <v>1</v>
      </c>
      <c r="S92" s="1" t="s">
        <v>83</v>
      </c>
      <c r="T92" s="1">
        <f t="shared" si="21"/>
        <v>5.7166195047503046E-2</v>
      </c>
      <c r="U92" s="1">
        <f t="shared" si="22"/>
        <v>3.6269594024361446E-2</v>
      </c>
      <c r="V92" s="1">
        <f t="shared" si="23"/>
        <v>3.1574382095289864E-2</v>
      </c>
      <c r="W92" s="1">
        <f t="shared" si="24"/>
        <v>4.0360367639778717E-2</v>
      </c>
      <c r="Y92" s="1" t="s">
        <v>83</v>
      </c>
      <c r="Z92" s="1">
        <f t="shared" si="25"/>
        <v>1.7149858514250913E-2</v>
      </c>
      <c r="AA92" s="1">
        <f t="shared" si="26"/>
        <v>7.2539188048722893E-3</v>
      </c>
      <c r="AB92" s="1">
        <f t="shared" si="27"/>
        <v>9.4723146285869593E-3</v>
      </c>
      <c r="AC92" s="1">
        <f t="shared" si="28"/>
        <v>8.0720735279557441E-3</v>
      </c>
      <c r="AK92" s="17" t="s">
        <v>681</v>
      </c>
      <c r="AL92" s="17">
        <f t="shared" si="29"/>
        <v>1.616822449981261E-2</v>
      </c>
      <c r="AM92" s="17">
        <f t="shared" si="30"/>
        <v>2.0719630592878506E-2</v>
      </c>
      <c r="AO92" s="17" t="s">
        <v>1393</v>
      </c>
      <c r="AP92" s="17">
        <f t="shared" si="31"/>
        <v>1.3022227785185303</v>
      </c>
      <c r="AR92" s="1" t="s">
        <v>83</v>
      </c>
      <c r="AS92" s="17">
        <f t="shared" si="32"/>
        <v>1.3022227785185303</v>
      </c>
      <c r="AT92" s="17">
        <f t="shared" si="33"/>
        <v>62</v>
      </c>
    </row>
    <row r="93" spans="6:46" x14ac:dyDescent="0.3">
      <c r="F93" s="1">
        <v>91</v>
      </c>
      <c r="G93" s="1" t="s">
        <v>84</v>
      </c>
      <c r="H93" s="1">
        <v>2</v>
      </c>
      <c r="I93" s="1">
        <v>58</v>
      </c>
      <c r="J93" s="1">
        <v>1</v>
      </c>
      <c r="K93" s="1">
        <v>3</v>
      </c>
      <c r="M93" s="1" t="s">
        <v>84</v>
      </c>
      <c r="N93" s="1">
        <f t="shared" si="17"/>
        <v>0.2857142857142857</v>
      </c>
      <c r="O93" s="1">
        <f t="shared" si="18"/>
        <v>0.55238095238095242</v>
      </c>
      <c r="P93" s="1">
        <f t="shared" si="19"/>
        <v>1</v>
      </c>
      <c r="Q93" s="1">
        <f t="shared" si="20"/>
        <v>1</v>
      </c>
      <c r="S93" s="1" t="s">
        <v>84</v>
      </c>
      <c r="T93" s="1">
        <f t="shared" si="21"/>
        <v>2.8583097523751523E-2</v>
      </c>
      <c r="U93" s="1">
        <f t="shared" si="22"/>
        <v>4.2072729068259283E-2</v>
      </c>
      <c r="V93" s="1">
        <f t="shared" si="23"/>
        <v>6.3148764190579729E-2</v>
      </c>
      <c r="W93" s="1">
        <f t="shared" si="24"/>
        <v>4.0360367639778717E-2</v>
      </c>
      <c r="Y93" s="1" t="s">
        <v>84</v>
      </c>
      <c r="Z93" s="1">
        <f t="shared" si="25"/>
        <v>8.5749292571254566E-3</v>
      </c>
      <c r="AA93" s="1">
        <f t="shared" si="26"/>
        <v>8.4145458136518567E-3</v>
      </c>
      <c r="AB93" s="1">
        <f t="shared" si="27"/>
        <v>1.8944629257173919E-2</v>
      </c>
      <c r="AC93" s="1">
        <f t="shared" si="28"/>
        <v>8.0720735279557441E-3</v>
      </c>
      <c r="AK93" s="17" t="s">
        <v>682</v>
      </c>
      <c r="AL93" s="17">
        <f t="shared" si="29"/>
        <v>2.7124686474379833E-2</v>
      </c>
      <c r="AM93" s="17">
        <f t="shared" si="30"/>
        <v>1.1391512305938789E-2</v>
      </c>
      <c r="AO93" s="17" t="s">
        <v>1394</v>
      </c>
      <c r="AP93" s="17">
        <f t="shared" si="31"/>
        <v>0.43135995384713227</v>
      </c>
      <c r="AR93" s="1" t="s">
        <v>84</v>
      </c>
      <c r="AS93" s="17">
        <f t="shared" si="32"/>
        <v>0.43135995384713227</v>
      </c>
      <c r="AT93" s="17">
        <f t="shared" si="33"/>
        <v>579</v>
      </c>
    </row>
    <row r="94" spans="6:46" x14ac:dyDescent="0.3">
      <c r="F94" s="1">
        <v>92</v>
      </c>
      <c r="G94" s="1" t="s">
        <v>85</v>
      </c>
      <c r="H94" s="1">
        <v>2</v>
      </c>
      <c r="I94" s="1">
        <v>50</v>
      </c>
      <c r="J94" s="1">
        <v>2</v>
      </c>
      <c r="K94" s="1">
        <v>2</v>
      </c>
      <c r="M94" s="1" t="s">
        <v>85</v>
      </c>
      <c r="N94" s="1">
        <f t="shared" si="17"/>
        <v>0.2857142857142857</v>
      </c>
      <c r="O94" s="1">
        <f t="shared" si="18"/>
        <v>0.47619047619047616</v>
      </c>
      <c r="P94" s="1">
        <f t="shared" si="19"/>
        <v>0.5</v>
      </c>
      <c r="Q94" s="1">
        <f t="shared" si="20"/>
        <v>0.66666666666666663</v>
      </c>
      <c r="S94" s="1" t="s">
        <v>85</v>
      </c>
      <c r="T94" s="1">
        <f t="shared" si="21"/>
        <v>2.8583097523751523E-2</v>
      </c>
      <c r="U94" s="1">
        <f t="shared" si="22"/>
        <v>3.6269594024361446E-2</v>
      </c>
      <c r="V94" s="1">
        <f t="shared" si="23"/>
        <v>3.1574382095289864E-2</v>
      </c>
      <c r="W94" s="1">
        <f t="shared" si="24"/>
        <v>2.6906911759852478E-2</v>
      </c>
      <c r="Y94" s="1" t="s">
        <v>85</v>
      </c>
      <c r="Z94" s="1">
        <f t="shared" si="25"/>
        <v>8.5749292571254566E-3</v>
      </c>
      <c r="AA94" s="1">
        <f t="shared" si="26"/>
        <v>7.2539188048722893E-3</v>
      </c>
      <c r="AB94" s="1">
        <f t="shared" si="27"/>
        <v>9.4723146285869593E-3</v>
      </c>
      <c r="AC94" s="1">
        <f t="shared" si="28"/>
        <v>5.3813823519704958E-3</v>
      </c>
      <c r="AK94" s="17" t="s">
        <v>683</v>
      </c>
      <c r="AL94" s="17">
        <f t="shared" si="29"/>
        <v>2.3722751727817966E-2</v>
      </c>
      <c r="AM94" s="17">
        <f t="shared" si="30"/>
        <v>1.3674626122774029E-2</v>
      </c>
      <c r="AO94" s="17" t="s">
        <v>1395</v>
      </c>
      <c r="AP94" s="17">
        <f t="shared" si="31"/>
        <v>0.59010969907170086</v>
      </c>
      <c r="AR94" s="1" t="s">
        <v>85</v>
      </c>
      <c r="AS94" s="17">
        <f t="shared" si="32"/>
        <v>0.59010969907170086</v>
      </c>
      <c r="AT94" s="17">
        <f t="shared" si="33"/>
        <v>452</v>
      </c>
    </row>
    <row r="95" spans="6:46" x14ac:dyDescent="0.3">
      <c r="F95" s="1">
        <v>93</v>
      </c>
      <c r="G95" s="1" t="s">
        <v>85</v>
      </c>
      <c r="H95" s="1">
        <v>3</v>
      </c>
      <c r="I95" s="1">
        <v>29</v>
      </c>
      <c r="J95" s="1">
        <v>3</v>
      </c>
      <c r="K95" s="1">
        <v>3</v>
      </c>
      <c r="M95" s="1" t="s">
        <v>85</v>
      </c>
      <c r="N95" s="1">
        <f t="shared" si="17"/>
        <v>0.42857142857142855</v>
      </c>
      <c r="O95" s="1">
        <f t="shared" si="18"/>
        <v>0.27619047619047621</v>
      </c>
      <c r="P95" s="1">
        <f t="shared" si="19"/>
        <v>0.33333333333333331</v>
      </c>
      <c r="Q95" s="1">
        <f t="shared" si="20"/>
        <v>1</v>
      </c>
      <c r="S95" s="1" t="s">
        <v>85</v>
      </c>
      <c r="T95" s="1">
        <f t="shared" si="21"/>
        <v>4.2874646285627281E-2</v>
      </c>
      <c r="U95" s="1">
        <f t="shared" si="22"/>
        <v>2.1036364534129642E-2</v>
      </c>
      <c r="V95" s="1">
        <f t="shared" si="23"/>
        <v>2.1049588063526574E-2</v>
      </c>
      <c r="W95" s="1">
        <f t="shared" si="24"/>
        <v>4.0360367639778717E-2</v>
      </c>
      <c r="Y95" s="1" t="s">
        <v>85</v>
      </c>
      <c r="Z95" s="1">
        <f t="shared" si="25"/>
        <v>1.2862393885688184E-2</v>
      </c>
      <c r="AA95" s="1">
        <f t="shared" si="26"/>
        <v>4.2072729068259283E-3</v>
      </c>
      <c r="AB95" s="1">
        <f t="shared" si="27"/>
        <v>6.314876419057972E-3</v>
      </c>
      <c r="AC95" s="1">
        <f t="shared" si="28"/>
        <v>8.0720735279557441E-3</v>
      </c>
      <c r="AK95" s="17" t="s">
        <v>684</v>
      </c>
      <c r="AL95" s="17">
        <f t="shared" si="29"/>
        <v>2.0544337222408806E-2</v>
      </c>
      <c r="AM95" s="17">
        <f t="shared" si="30"/>
        <v>1.88399163550672E-2</v>
      </c>
      <c r="AO95" s="17" t="s">
        <v>1396</v>
      </c>
      <c r="AP95" s="17">
        <f t="shared" si="31"/>
        <v>0.93587686678623017</v>
      </c>
      <c r="AR95" s="1" t="s">
        <v>85</v>
      </c>
      <c r="AS95" s="17">
        <f t="shared" si="32"/>
        <v>0.93587686678623017</v>
      </c>
      <c r="AT95" s="17">
        <f t="shared" si="33"/>
        <v>165</v>
      </c>
    </row>
    <row r="96" spans="6:46" x14ac:dyDescent="0.3">
      <c r="F96" s="1">
        <v>94</v>
      </c>
      <c r="G96" s="1" t="s">
        <v>86</v>
      </c>
      <c r="H96" s="1">
        <v>3</v>
      </c>
      <c r="I96" s="1">
        <v>55</v>
      </c>
      <c r="J96" s="1">
        <v>2</v>
      </c>
      <c r="K96" s="1">
        <v>3</v>
      </c>
      <c r="M96" s="1" t="s">
        <v>86</v>
      </c>
      <c r="N96" s="1">
        <f t="shared" si="17"/>
        <v>0.42857142857142855</v>
      </c>
      <c r="O96" s="1">
        <f t="shared" si="18"/>
        <v>0.52380952380952384</v>
      </c>
      <c r="P96" s="1">
        <f t="shared" si="19"/>
        <v>0.5</v>
      </c>
      <c r="Q96" s="1">
        <f t="shared" si="20"/>
        <v>1</v>
      </c>
      <c r="S96" s="1" t="s">
        <v>86</v>
      </c>
      <c r="T96" s="1">
        <f t="shared" si="21"/>
        <v>4.2874646285627281E-2</v>
      </c>
      <c r="U96" s="1">
        <f t="shared" si="22"/>
        <v>3.9896553426797592E-2</v>
      </c>
      <c r="V96" s="1">
        <f t="shared" si="23"/>
        <v>3.1574382095289864E-2</v>
      </c>
      <c r="W96" s="1">
        <f t="shared" si="24"/>
        <v>4.0360367639778717E-2</v>
      </c>
      <c r="Y96" s="1" t="s">
        <v>86</v>
      </c>
      <c r="Z96" s="1">
        <f t="shared" si="25"/>
        <v>1.2862393885688184E-2</v>
      </c>
      <c r="AA96" s="1">
        <f t="shared" si="26"/>
        <v>7.979310685359519E-3</v>
      </c>
      <c r="AB96" s="1">
        <f t="shared" si="27"/>
        <v>9.4723146285869593E-3</v>
      </c>
      <c r="AC96" s="1">
        <f t="shared" si="28"/>
        <v>8.0720735279557441E-3</v>
      </c>
      <c r="AK96" s="17" t="s">
        <v>685</v>
      </c>
      <c r="AL96" s="17">
        <f t="shared" si="29"/>
        <v>1.9468895527963669E-2</v>
      </c>
      <c r="AM96" s="17">
        <f t="shared" si="30"/>
        <v>1.7522733250166428E-2</v>
      </c>
      <c r="AO96" s="17" t="s">
        <v>1397</v>
      </c>
      <c r="AP96" s="17">
        <f t="shared" si="31"/>
        <v>0.91756008899015074</v>
      </c>
      <c r="AR96" s="1" t="s">
        <v>86</v>
      </c>
      <c r="AS96" s="17">
        <f t="shared" si="32"/>
        <v>0.91756008899015074</v>
      </c>
      <c r="AT96" s="17">
        <f t="shared" si="33"/>
        <v>172</v>
      </c>
    </row>
    <row r="97" spans="6:46" x14ac:dyDescent="0.3">
      <c r="F97" s="1">
        <v>95</v>
      </c>
      <c r="G97" s="1" t="s">
        <v>86</v>
      </c>
      <c r="H97" s="1">
        <v>0</v>
      </c>
      <c r="I97" s="1">
        <v>58</v>
      </c>
      <c r="J97" s="1">
        <v>3</v>
      </c>
      <c r="K97" s="1">
        <v>2</v>
      </c>
      <c r="M97" s="1" t="s">
        <v>86</v>
      </c>
      <c r="N97" s="1">
        <f t="shared" si="17"/>
        <v>0</v>
      </c>
      <c r="O97" s="1">
        <f t="shared" si="18"/>
        <v>0.55238095238095242</v>
      </c>
      <c r="P97" s="1">
        <f t="shared" si="19"/>
        <v>0.33333333333333331</v>
      </c>
      <c r="Q97" s="1">
        <f t="shared" si="20"/>
        <v>0.66666666666666663</v>
      </c>
      <c r="S97" s="1" t="s">
        <v>86</v>
      </c>
      <c r="T97" s="1">
        <f t="shared" si="21"/>
        <v>0</v>
      </c>
      <c r="U97" s="1">
        <f t="shared" si="22"/>
        <v>4.2072729068259283E-2</v>
      </c>
      <c r="V97" s="1">
        <f t="shared" si="23"/>
        <v>2.1049588063526574E-2</v>
      </c>
      <c r="W97" s="1">
        <f t="shared" si="24"/>
        <v>2.6906911759852478E-2</v>
      </c>
      <c r="Y97" s="1" t="s">
        <v>86</v>
      </c>
      <c r="Z97" s="1">
        <f t="shared" si="25"/>
        <v>0</v>
      </c>
      <c r="AA97" s="1">
        <f t="shared" si="26"/>
        <v>8.4145458136518567E-3</v>
      </c>
      <c r="AB97" s="1">
        <f t="shared" si="27"/>
        <v>6.314876419057972E-3</v>
      </c>
      <c r="AC97" s="1">
        <f t="shared" si="28"/>
        <v>5.3813823519704958E-3</v>
      </c>
      <c r="AK97" s="17" t="s">
        <v>686</v>
      </c>
      <c r="AL97" s="17">
        <f t="shared" si="29"/>
        <v>3.0997580332559976E-2</v>
      </c>
      <c r="AM97" s="17">
        <f t="shared" si="30"/>
        <v>1.3929405607920673E-2</v>
      </c>
      <c r="AO97" s="17" t="s">
        <v>1398</v>
      </c>
      <c r="AP97" s="17">
        <f t="shared" si="31"/>
        <v>0.46330014546819204</v>
      </c>
      <c r="AR97" s="1" t="s">
        <v>86</v>
      </c>
      <c r="AS97" s="17">
        <f t="shared" si="32"/>
        <v>0.46330014546819204</v>
      </c>
      <c r="AT97" s="17">
        <f t="shared" si="33"/>
        <v>564</v>
      </c>
    </row>
    <row r="98" spans="6:46" x14ac:dyDescent="0.3">
      <c r="F98" s="1">
        <v>96</v>
      </c>
      <c r="G98" s="1" t="s">
        <v>87</v>
      </c>
      <c r="H98" s="1">
        <v>4</v>
      </c>
      <c r="I98" s="1">
        <v>46</v>
      </c>
      <c r="J98" s="1">
        <v>3</v>
      </c>
      <c r="K98" s="1">
        <v>3</v>
      </c>
      <c r="M98" s="1" t="s">
        <v>87</v>
      </c>
      <c r="N98" s="1">
        <f t="shared" si="17"/>
        <v>0.5714285714285714</v>
      </c>
      <c r="O98" s="1">
        <f t="shared" si="18"/>
        <v>0.43809523809523809</v>
      </c>
      <c r="P98" s="1">
        <f t="shared" si="19"/>
        <v>0.33333333333333331</v>
      </c>
      <c r="Q98" s="1">
        <f t="shared" si="20"/>
        <v>1</v>
      </c>
      <c r="S98" s="1" t="s">
        <v>87</v>
      </c>
      <c r="T98" s="1">
        <f t="shared" si="21"/>
        <v>5.7166195047503046E-2</v>
      </c>
      <c r="U98" s="1">
        <f t="shared" si="22"/>
        <v>3.336802650241253E-2</v>
      </c>
      <c r="V98" s="1">
        <f t="shared" si="23"/>
        <v>2.1049588063526574E-2</v>
      </c>
      <c r="W98" s="1">
        <f t="shared" si="24"/>
        <v>4.0360367639778717E-2</v>
      </c>
      <c r="Y98" s="1" t="s">
        <v>87</v>
      </c>
      <c r="Z98" s="1">
        <f t="shared" si="25"/>
        <v>1.7149858514250913E-2</v>
      </c>
      <c r="AA98" s="1">
        <f t="shared" si="26"/>
        <v>6.6736053004825061E-3</v>
      </c>
      <c r="AB98" s="1">
        <f t="shared" si="27"/>
        <v>6.314876419057972E-3</v>
      </c>
      <c r="AC98" s="1">
        <f t="shared" si="28"/>
        <v>8.0720735279557441E-3</v>
      </c>
      <c r="AK98" s="17" t="s">
        <v>687</v>
      </c>
      <c r="AL98" s="17">
        <f t="shared" si="29"/>
        <v>1.5655311207714975E-2</v>
      </c>
      <c r="AM98" s="17">
        <f t="shared" si="30"/>
        <v>2.224210141399412E-2</v>
      </c>
      <c r="AO98" s="17" t="s">
        <v>1399</v>
      </c>
      <c r="AP98" s="17">
        <f t="shared" si="31"/>
        <v>1.4429804769649803</v>
      </c>
      <c r="AR98" s="1" t="s">
        <v>87</v>
      </c>
      <c r="AS98" s="17">
        <f t="shared" si="32"/>
        <v>1.4429804769649803</v>
      </c>
      <c r="AT98" s="17">
        <f t="shared" si="33"/>
        <v>46</v>
      </c>
    </row>
    <row r="99" spans="6:46" x14ac:dyDescent="0.3">
      <c r="F99" s="1">
        <v>97</v>
      </c>
      <c r="G99" s="1" t="s">
        <v>88</v>
      </c>
      <c r="H99" s="1">
        <v>2</v>
      </c>
      <c r="I99" s="1">
        <v>34</v>
      </c>
      <c r="J99" s="1">
        <v>3</v>
      </c>
      <c r="K99" s="1">
        <v>3</v>
      </c>
      <c r="M99" s="1" t="s">
        <v>88</v>
      </c>
      <c r="N99" s="1">
        <f t="shared" si="17"/>
        <v>0.2857142857142857</v>
      </c>
      <c r="O99" s="1">
        <f t="shared" si="18"/>
        <v>0.32380952380952382</v>
      </c>
      <c r="P99" s="1">
        <f t="shared" si="19"/>
        <v>0.33333333333333331</v>
      </c>
      <c r="Q99" s="1">
        <f t="shared" si="20"/>
        <v>1</v>
      </c>
      <c r="S99" s="1" t="s">
        <v>88</v>
      </c>
      <c r="T99" s="1">
        <f t="shared" si="21"/>
        <v>2.8583097523751523E-2</v>
      </c>
      <c r="U99" s="1">
        <f t="shared" si="22"/>
        <v>2.4663323936565784E-2</v>
      </c>
      <c r="V99" s="1">
        <f t="shared" si="23"/>
        <v>2.1049588063526574E-2</v>
      </c>
      <c r="W99" s="1">
        <f t="shared" si="24"/>
        <v>4.0360367639778717E-2</v>
      </c>
      <c r="Y99" s="1" t="s">
        <v>88</v>
      </c>
      <c r="Z99" s="1">
        <f t="shared" si="25"/>
        <v>8.5749292571254566E-3</v>
      </c>
      <c r="AA99" s="1">
        <f t="shared" si="26"/>
        <v>4.9326647873131572E-3</v>
      </c>
      <c r="AB99" s="1">
        <f t="shared" si="27"/>
        <v>6.314876419057972E-3</v>
      </c>
      <c r="AC99" s="1">
        <f t="shared" si="28"/>
        <v>8.0720735279557441E-3</v>
      </c>
      <c r="AK99" s="17" t="s">
        <v>688</v>
      </c>
      <c r="AL99" s="17">
        <f t="shared" si="29"/>
        <v>2.391737617295223E-2</v>
      </c>
      <c r="AM99" s="17">
        <f t="shared" si="30"/>
        <v>1.6279748720576057E-2</v>
      </c>
      <c r="AO99" s="17" t="s">
        <v>1400</v>
      </c>
      <c r="AP99" s="17">
        <f t="shared" si="31"/>
        <v>0.69694591389075722</v>
      </c>
      <c r="AR99" s="1" t="s">
        <v>88</v>
      </c>
      <c r="AS99" s="17">
        <f t="shared" si="32"/>
        <v>0.69694591389075722</v>
      </c>
      <c r="AT99" s="17">
        <f t="shared" si="33"/>
        <v>348</v>
      </c>
    </row>
    <row r="100" spans="6:46" x14ac:dyDescent="0.3">
      <c r="F100" s="1">
        <v>98</v>
      </c>
      <c r="G100" s="1" t="s">
        <v>89</v>
      </c>
      <c r="H100" s="1">
        <v>0</v>
      </c>
      <c r="I100" s="1">
        <v>73</v>
      </c>
      <c r="J100" s="1">
        <v>2</v>
      </c>
      <c r="K100" s="1">
        <v>2</v>
      </c>
      <c r="M100" s="1" t="s">
        <v>89</v>
      </c>
      <c r="N100" s="1">
        <f t="shared" si="17"/>
        <v>0</v>
      </c>
      <c r="O100" s="1">
        <f t="shared" si="18"/>
        <v>0.69523809523809521</v>
      </c>
      <c r="P100" s="1">
        <f t="shared" si="19"/>
        <v>0.5</v>
      </c>
      <c r="Q100" s="1">
        <f t="shared" si="20"/>
        <v>0.66666666666666663</v>
      </c>
      <c r="S100" s="1" t="s">
        <v>89</v>
      </c>
      <c r="T100" s="1">
        <f t="shared" si="21"/>
        <v>0</v>
      </c>
      <c r="U100" s="1">
        <f t="shared" si="22"/>
        <v>5.2953607275567714E-2</v>
      </c>
      <c r="V100" s="1">
        <f t="shared" si="23"/>
        <v>3.1574382095289864E-2</v>
      </c>
      <c r="W100" s="1">
        <f t="shared" si="24"/>
        <v>2.6906911759852478E-2</v>
      </c>
      <c r="Y100" s="1" t="s">
        <v>89</v>
      </c>
      <c r="Z100" s="1">
        <f t="shared" si="25"/>
        <v>0</v>
      </c>
      <c r="AA100" s="1">
        <f t="shared" si="26"/>
        <v>1.0590721455113543E-2</v>
      </c>
      <c r="AB100" s="1">
        <f t="shared" si="27"/>
        <v>9.4723146285869593E-3</v>
      </c>
      <c r="AC100" s="1">
        <f t="shared" si="28"/>
        <v>5.3813823519704958E-3</v>
      </c>
      <c r="AK100" s="17" t="s">
        <v>689</v>
      </c>
      <c r="AL100" s="17">
        <f t="shared" si="29"/>
        <v>3.1013366504953507E-2</v>
      </c>
      <c r="AM100" s="17">
        <f t="shared" si="30"/>
        <v>1.2317050081552216E-2</v>
      </c>
      <c r="AO100" s="17" t="s">
        <v>1401</v>
      </c>
      <c r="AP100" s="17">
        <f t="shared" si="31"/>
        <v>0.40947000281194723</v>
      </c>
      <c r="AR100" s="1" t="s">
        <v>89</v>
      </c>
      <c r="AS100" s="17">
        <f t="shared" si="32"/>
        <v>0.40947000281194723</v>
      </c>
      <c r="AT100" s="17">
        <f t="shared" si="33"/>
        <v>591</v>
      </c>
    </row>
    <row r="101" spans="6:46" x14ac:dyDescent="0.3">
      <c r="F101" s="1">
        <v>99</v>
      </c>
      <c r="G101" s="1" t="s">
        <v>90</v>
      </c>
      <c r="H101" s="1">
        <v>0</v>
      </c>
      <c r="I101" s="1">
        <v>67</v>
      </c>
      <c r="J101" s="1">
        <v>1</v>
      </c>
      <c r="K101" s="1">
        <v>2</v>
      </c>
      <c r="M101" s="1" t="s">
        <v>90</v>
      </c>
      <c r="N101" s="1">
        <f t="shared" si="17"/>
        <v>0</v>
      </c>
      <c r="O101" s="1">
        <f t="shared" si="18"/>
        <v>0.63809523809523805</v>
      </c>
      <c r="P101" s="1">
        <f t="shared" si="19"/>
        <v>1</v>
      </c>
      <c r="Q101" s="1">
        <f t="shared" si="20"/>
        <v>0.66666666666666663</v>
      </c>
      <c r="S101" s="1" t="s">
        <v>90</v>
      </c>
      <c r="T101" s="1">
        <f t="shared" si="21"/>
        <v>0</v>
      </c>
      <c r="U101" s="1">
        <f t="shared" si="22"/>
        <v>4.8601255992644338E-2</v>
      </c>
      <c r="V101" s="1">
        <f t="shared" si="23"/>
        <v>6.3148764190579729E-2</v>
      </c>
      <c r="W101" s="1">
        <f t="shared" si="24"/>
        <v>2.6906911759852478E-2</v>
      </c>
      <c r="Y101" s="1" t="s">
        <v>90</v>
      </c>
      <c r="Z101" s="1">
        <f t="shared" si="25"/>
        <v>0</v>
      </c>
      <c r="AA101" s="1">
        <f t="shared" si="26"/>
        <v>9.7202511985288679E-3</v>
      </c>
      <c r="AB101" s="1">
        <f t="shared" si="27"/>
        <v>1.8944629257173919E-2</v>
      </c>
      <c r="AC101" s="1">
        <f t="shared" si="28"/>
        <v>5.3813823519704958E-3</v>
      </c>
      <c r="AK101" s="17" t="s">
        <v>690</v>
      </c>
      <c r="AL101" s="17">
        <f t="shared" si="29"/>
        <v>3.4176942351382106E-2</v>
      </c>
      <c r="AM101" s="17">
        <f t="shared" si="30"/>
        <v>7.0612663741672797E-3</v>
      </c>
      <c r="AO101" s="17" t="s">
        <v>1402</v>
      </c>
      <c r="AP101" s="17">
        <f t="shared" si="31"/>
        <v>0.21367033928562171</v>
      </c>
      <c r="AR101" s="1" t="s">
        <v>90</v>
      </c>
      <c r="AS101" s="17">
        <f t="shared" si="32"/>
        <v>0.21367033928562171</v>
      </c>
      <c r="AT101" s="17">
        <f t="shared" si="33"/>
        <v>679</v>
      </c>
    </row>
    <row r="102" spans="6:46" x14ac:dyDescent="0.3">
      <c r="F102" s="1">
        <v>100</v>
      </c>
      <c r="G102" s="1" t="s">
        <v>91</v>
      </c>
      <c r="H102" s="1">
        <v>3</v>
      </c>
      <c r="I102" s="1">
        <v>43</v>
      </c>
      <c r="J102" s="1">
        <v>2</v>
      </c>
      <c r="K102" s="1">
        <v>3</v>
      </c>
      <c r="M102" s="1" t="s">
        <v>91</v>
      </c>
      <c r="N102" s="1">
        <f t="shared" si="17"/>
        <v>0.42857142857142855</v>
      </c>
      <c r="O102" s="1">
        <f t="shared" si="18"/>
        <v>0.40952380952380951</v>
      </c>
      <c r="P102" s="1">
        <f t="shared" si="19"/>
        <v>0.5</v>
      </c>
      <c r="Q102" s="1">
        <f t="shared" si="20"/>
        <v>1</v>
      </c>
      <c r="S102" s="1" t="s">
        <v>91</v>
      </c>
      <c r="T102" s="1">
        <f t="shared" si="21"/>
        <v>4.2874646285627281E-2</v>
      </c>
      <c r="U102" s="1">
        <f t="shared" si="22"/>
        <v>3.1191850860950845E-2</v>
      </c>
      <c r="V102" s="1">
        <f t="shared" si="23"/>
        <v>3.1574382095289864E-2</v>
      </c>
      <c r="W102" s="1">
        <f t="shared" si="24"/>
        <v>4.0360367639778717E-2</v>
      </c>
      <c r="Y102" s="1" t="s">
        <v>91</v>
      </c>
      <c r="Z102" s="1">
        <f t="shared" si="25"/>
        <v>1.2862393885688184E-2</v>
      </c>
      <c r="AA102" s="1">
        <f t="shared" si="26"/>
        <v>6.2383701721901693E-3</v>
      </c>
      <c r="AB102" s="1">
        <f t="shared" si="27"/>
        <v>9.4723146285869593E-3</v>
      </c>
      <c r="AC102" s="1">
        <f t="shared" si="28"/>
        <v>8.0720735279557441E-3</v>
      </c>
      <c r="AK102" s="17" t="s">
        <v>691</v>
      </c>
      <c r="AL102" s="17">
        <f t="shared" si="29"/>
        <v>2.0182320213554348E-2</v>
      </c>
      <c r="AM102" s="17">
        <f t="shared" si="30"/>
        <v>1.7129134483087973E-2</v>
      </c>
      <c r="AO102" s="17" t="s">
        <v>1403</v>
      </c>
      <c r="AP102" s="17">
        <f t="shared" si="31"/>
        <v>0.86584892001023117</v>
      </c>
      <c r="AR102" s="1" t="s">
        <v>91</v>
      </c>
      <c r="AS102" s="17">
        <f t="shared" si="32"/>
        <v>0.86584892001023117</v>
      </c>
      <c r="AT102" s="17">
        <f t="shared" si="33"/>
        <v>222</v>
      </c>
    </row>
    <row r="103" spans="6:46" x14ac:dyDescent="0.3">
      <c r="F103" s="1">
        <v>101</v>
      </c>
      <c r="G103" s="1" t="s">
        <v>92</v>
      </c>
      <c r="H103" s="1">
        <v>2</v>
      </c>
      <c r="I103" s="1">
        <v>32</v>
      </c>
      <c r="J103" s="1">
        <v>3</v>
      </c>
      <c r="K103" s="1">
        <v>3</v>
      </c>
      <c r="M103" s="1" t="s">
        <v>92</v>
      </c>
      <c r="N103" s="1">
        <f t="shared" si="17"/>
        <v>0.2857142857142857</v>
      </c>
      <c r="O103" s="1">
        <f t="shared" si="18"/>
        <v>0.30476190476190479</v>
      </c>
      <c r="P103" s="1">
        <f t="shared" si="19"/>
        <v>0.33333333333333331</v>
      </c>
      <c r="Q103" s="1">
        <f t="shared" si="20"/>
        <v>1</v>
      </c>
      <c r="S103" s="1" t="s">
        <v>92</v>
      </c>
      <c r="T103" s="1">
        <f t="shared" si="21"/>
        <v>2.8583097523751523E-2</v>
      </c>
      <c r="U103" s="1">
        <f t="shared" si="22"/>
        <v>2.321254017559133E-2</v>
      </c>
      <c r="V103" s="1">
        <f t="shared" si="23"/>
        <v>2.1049588063526574E-2</v>
      </c>
      <c r="W103" s="1">
        <f t="shared" si="24"/>
        <v>4.0360367639778717E-2</v>
      </c>
      <c r="Y103" s="1" t="s">
        <v>92</v>
      </c>
      <c r="Z103" s="1">
        <f t="shared" si="25"/>
        <v>8.5749292571254566E-3</v>
      </c>
      <c r="AA103" s="1">
        <f t="shared" si="26"/>
        <v>4.642508035118266E-3</v>
      </c>
      <c r="AB103" s="1">
        <f t="shared" si="27"/>
        <v>6.314876419057972E-3</v>
      </c>
      <c r="AC103" s="1">
        <f t="shared" si="28"/>
        <v>8.0720735279557441E-3</v>
      </c>
      <c r="AK103" s="17" t="s">
        <v>692</v>
      </c>
      <c r="AL103" s="17">
        <f t="shared" si="29"/>
        <v>2.4043764903593855E-2</v>
      </c>
      <c r="AM103" s="17">
        <f t="shared" si="30"/>
        <v>1.62512805051113E-2</v>
      </c>
      <c r="AO103" s="17" t="s">
        <v>1404</v>
      </c>
      <c r="AP103" s="17">
        <f t="shared" si="31"/>
        <v>0.69215543155103165</v>
      </c>
      <c r="AR103" s="1" t="s">
        <v>92</v>
      </c>
      <c r="AS103" s="17">
        <f t="shared" si="32"/>
        <v>0.69215543155103165</v>
      </c>
      <c r="AT103" s="17">
        <f t="shared" si="33"/>
        <v>353</v>
      </c>
    </row>
    <row r="104" spans="6:46" x14ac:dyDescent="0.3">
      <c r="F104" s="1">
        <v>102</v>
      </c>
      <c r="G104" s="1" t="s">
        <v>93</v>
      </c>
      <c r="H104" s="1">
        <v>2</v>
      </c>
      <c r="I104" s="1">
        <v>41</v>
      </c>
      <c r="J104" s="1">
        <v>2</v>
      </c>
      <c r="K104" s="1">
        <v>3</v>
      </c>
      <c r="M104" s="1" t="s">
        <v>93</v>
      </c>
      <c r="N104" s="1">
        <f t="shared" si="17"/>
        <v>0.2857142857142857</v>
      </c>
      <c r="O104" s="1">
        <f t="shared" si="18"/>
        <v>0.39047619047619048</v>
      </c>
      <c r="P104" s="1">
        <f t="shared" si="19"/>
        <v>0.5</v>
      </c>
      <c r="Q104" s="1">
        <f t="shared" si="20"/>
        <v>1</v>
      </c>
      <c r="S104" s="1" t="s">
        <v>93</v>
      </c>
      <c r="T104" s="1">
        <f t="shared" si="21"/>
        <v>2.8583097523751523E-2</v>
      </c>
      <c r="U104" s="1">
        <f t="shared" si="22"/>
        <v>2.9741067099976388E-2</v>
      </c>
      <c r="V104" s="1">
        <f t="shared" si="23"/>
        <v>3.1574382095289864E-2</v>
      </c>
      <c r="W104" s="1">
        <f t="shared" si="24"/>
        <v>4.0360367639778717E-2</v>
      </c>
      <c r="Y104" s="1" t="s">
        <v>93</v>
      </c>
      <c r="Z104" s="1">
        <f t="shared" si="25"/>
        <v>8.5749292571254566E-3</v>
      </c>
      <c r="AA104" s="1">
        <f t="shared" si="26"/>
        <v>5.9482134199952781E-3</v>
      </c>
      <c r="AB104" s="1">
        <f t="shared" si="27"/>
        <v>9.4723146285869593E-3</v>
      </c>
      <c r="AC104" s="1">
        <f t="shared" si="28"/>
        <v>8.0720735279557441E-3</v>
      </c>
      <c r="AK104" s="17" t="s">
        <v>693</v>
      </c>
      <c r="AL104" s="17">
        <f t="shared" si="29"/>
        <v>2.4043112422193251E-2</v>
      </c>
      <c r="AM104" s="17">
        <f t="shared" si="30"/>
        <v>1.4135475394090753E-2</v>
      </c>
      <c r="AO104" s="17" t="s">
        <v>1405</v>
      </c>
      <c r="AP104" s="17">
        <f t="shared" si="31"/>
        <v>0.6020575025374173</v>
      </c>
      <c r="AR104" s="1" t="s">
        <v>93</v>
      </c>
      <c r="AS104" s="17">
        <f t="shared" si="32"/>
        <v>0.6020575025374173</v>
      </c>
      <c r="AT104" s="17">
        <f t="shared" si="33"/>
        <v>428</v>
      </c>
    </row>
    <row r="105" spans="6:46" x14ac:dyDescent="0.3">
      <c r="F105" s="1">
        <v>103</v>
      </c>
      <c r="G105" s="1" t="s">
        <v>94</v>
      </c>
      <c r="H105" s="1">
        <v>1</v>
      </c>
      <c r="I105" s="1">
        <v>65</v>
      </c>
      <c r="J105" s="1">
        <v>1</v>
      </c>
      <c r="K105" s="1">
        <v>3</v>
      </c>
      <c r="M105" s="1" t="s">
        <v>94</v>
      </c>
      <c r="N105" s="1">
        <f t="shared" si="17"/>
        <v>0.14285714285714285</v>
      </c>
      <c r="O105" s="1">
        <f t="shared" si="18"/>
        <v>0.61904761904761907</v>
      </c>
      <c r="P105" s="1">
        <f t="shared" si="19"/>
        <v>1</v>
      </c>
      <c r="Q105" s="1">
        <f t="shared" si="20"/>
        <v>1</v>
      </c>
      <c r="S105" s="1" t="s">
        <v>94</v>
      </c>
      <c r="T105" s="1">
        <f t="shared" si="21"/>
        <v>1.4291548761875762E-2</v>
      </c>
      <c r="U105" s="1">
        <f t="shared" si="22"/>
        <v>4.7150472231669883E-2</v>
      </c>
      <c r="V105" s="1">
        <f t="shared" si="23"/>
        <v>6.3148764190579729E-2</v>
      </c>
      <c r="W105" s="1">
        <f t="shared" si="24"/>
        <v>4.0360367639778717E-2</v>
      </c>
      <c r="Y105" s="1" t="s">
        <v>94</v>
      </c>
      <c r="Z105" s="1">
        <f t="shared" si="25"/>
        <v>4.2874646285627283E-3</v>
      </c>
      <c r="AA105" s="1">
        <f t="shared" si="26"/>
        <v>9.4300944463339767E-3</v>
      </c>
      <c r="AB105" s="1">
        <f t="shared" si="27"/>
        <v>1.8944629257173919E-2</v>
      </c>
      <c r="AC105" s="1">
        <f t="shared" si="28"/>
        <v>8.0720735279557441E-3</v>
      </c>
      <c r="AK105" s="17" t="s">
        <v>694</v>
      </c>
      <c r="AL105" s="17">
        <f t="shared" si="29"/>
        <v>3.0416055430361168E-2</v>
      </c>
      <c r="AM105" s="17">
        <f t="shared" si="30"/>
        <v>9.2875664931427564E-3</v>
      </c>
      <c r="AO105" s="17" t="s">
        <v>1406</v>
      </c>
      <c r="AP105" s="17">
        <f t="shared" si="31"/>
        <v>0.31463835448098781</v>
      </c>
      <c r="AR105" s="1" t="s">
        <v>94</v>
      </c>
      <c r="AS105" s="17">
        <f t="shared" si="32"/>
        <v>0.31463835448098781</v>
      </c>
      <c r="AT105" s="17">
        <f t="shared" si="33"/>
        <v>645</v>
      </c>
    </row>
    <row r="106" spans="6:46" x14ac:dyDescent="0.3">
      <c r="F106" s="1">
        <v>104</v>
      </c>
      <c r="G106" s="1" t="s">
        <v>95</v>
      </c>
      <c r="H106" s="1">
        <v>2</v>
      </c>
      <c r="I106" s="1">
        <v>35</v>
      </c>
      <c r="J106" s="1">
        <v>3</v>
      </c>
      <c r="K106" s="1">
        <v>3</v>
      </c>
      <c r="M106" s="1" t="s">
        <v>95</v>
      </c>
      <c r="N106" s="1">
        <f t="shared" si="17"/>
        <v>0.2857142857142857</v>
      </c>
      <c r="O106" s="1">
        <f t="shared" si="18"/>
        <v>0.33333333333333331</v>
      </c>
      <c r="P106" s="1">
        <f t="shared" si="19"/>
        <v>0.33333333333333331</v>
      </c>
      <c r="Q106" s="1">
        <f t="shared" si="20"/>
        <v>1</v>
      </c>
      <c r="S106" s="1" t="s">
        <v>95</v>
      </c>
      <c r="T106" s="1">
        <f t="shared" si="21"/>
        <v>2.8583097523751523E-2</v>
      </c>
      <c r="U106" s="1">
        <f t="shared" si="22"/>
        <v>2.5388715817053011E-2</v>
      </c>
      <c r="V106" s="1">
        <f t="shared" si="23"/>
        <v>2.1049588063526574E-2</v>
      </c>
      <c r="W106" s="1">
        <f t="shared" si="24"/>
        <v>4.0360367639778717E-2</v>
      </c>
      <c r="Y106" s="1" t="s">
        <v>95</v>
      </c>
      <c r="Z106" s="1">
        <f t="shared" si="25"/>
        <v>8.5749292571254566E-3</v>
      </c>
      <c r="AA106" s="1">
        <f t="shared" si="26"/>
        <v>5.0777431634106028E-3</v>
      </c>
      <c r="AB106" s="1">
        <f t="shared" si="27"/>
        <v>6.314876419057972E-3</v>
      </c>
      <c r="AC106" s="1">
        <f t="shared" si="28"/>
        <v>8.0720735279557441E-3</v>
      </c>
      <c r="AK106" s="17" t="s">
        <v>695</v>
      </c>
      <c r="AL106" s="17">
        <f t="shared" si="29"/>
        <v>2.3855254187154281E-2</v>
      </c>
      <c r="AM106" s="17">
        <f t="shared" si="30"/>
        <v>1.629590168678538E-2</v>
      </c>
      <c r="AO106" s="17" t="s">
        <v>1407</v>
      </c>
      <c r="AP106" s="17">
        <f t="shared" si="31"/>
        <v>0.69941172845338906</v>
      </c>
      <c r="AR106" s="1" t="s">
        <v>95</v>
      </c>
      <c r="AS106" s="17">
        <f t="shared" si="32"/>
        <v>0.69941172845338906</v>
      </c>
      <c r="AT106" s="17">
        <f t="shared" si="33"/>
        <v>343</v>
      </c>
    </row>
    <row r="107" spans="6:46" x14ac:dyDescent="0.3">
      <c r="F107" s="1">
        <v>105</v>
      </c>
      <c r="G107" s="1" t="s">
        <v>96</v>
      </c>
      <c r="H107" s="1">
        <v>2</v>
      </c>
      <c r="I107" s="1">
        <v>48</v>
      </c>
      <c r="J107" s="1">
        <v>2</v>
      </c>
      <c r="K107" s="1">
        <v>3</v>
      </c>
      <c r="M107" s="1" t="s">
        <v>96</v>
      </c>
      <c r="N107" s="1">
        <f t="shared" si="17"/>
        <v>0.2857142857142857</v>
      </c>
      <c r="O107" s="1">
        <f t="shared" si="18"/>
        <v>0.45714285714285713</v>
      </c>
      <c r="P107" s="1">
        <f t="shared" si="19"/>
        <v>0.5</v>
      </c>
      <c r="Q107" s="1">
        <f t="shared" si="20"/>
        <v>1</v>
      </c>
      <c r="S107" s="1" t="s">
        <v>96</v>
      </c>
      <c r="T107" s="1">
        <f t="shared" si="21"/>
        <v>2.8583097523751523E-2</v>
      </c>
      <c r="U107" s="1">
        <f t="shared" si="22"/>
        <v>3.4818810263386991E-2</v>
      </c>
      <c r="V107" s="1">
        <f t="shared" si="23"/>
        <v>3.1574382095289864E-2</v>
      </c>
      <c r="W107" s="1">
        <f t="shared" si="24"/>
        <v>4.0360367639778717E-2</v>
      </c>
      <c r="Y107" s="1" t="s">
        <v>96</v>
      </c>
      <c r="Z107" s="1">
        <f t="shared" si="25"/>
        <v>8.5749292571254566E-3</v>
      </c>
      <c r="AA107" s="1">
        <f t="shared" si="26"/>
        <v>6.963762052677399E-3</v>
      </c>
      <c r="AB107" s="1">
        <f t="shared" si="27"/>
        <v>9.4723146285869593E-3</v>
      </c>
      <c r="AC107" s="1">
        <f t="shared" si="28"/>
        <v>8.0720735279557441E-3</v>
      </c>
      <c r="AK107" s="17" t="s">
        <v>696</v>
      </c>
      <c r="AL107" s="17">
        <f t="shared" si="29"/>
        <v>2.3669470277605398E-2</v>
      </c>
      <c r="AM107" s="17">
        <f t="shared" si="30"/>
        <v>1.4368079245620578E-2</v>
      </c>
      <c r="AO107" s="17" t="s">
        <v>1408</v>
      </c>
      <c r="AP107" s="17">
        <f t="shared" si="31"/>
        <v>0.62139810894657144</v>
      </c>
      <c r="AR107" s="1" t="s">
        <v>96</v>
      </c>
      <c r="AS107" s="17">
        <f t="shared" si="32"/>
        <v>0.62139810894657144</v>
      </c>
      <c r="AT107" s="17">
        <f t="shared" si="33"/>
        <v>411</v>
      </c>
    </row>
    <row r="108" spans="6:46" x14ac:dyDescent="0.3">
      <c r="F108" s="1">
        <v>106</v>
      </c>
      <c r="G108" s="1" t="s">
        <v>97</v>
      </c>
      <c r="H108" s="1">
        <v>1</v>
      </c>
      <c r="I108" s="1">
        <v>58</v>
      </c>
      <c r="J108" s="1">
        <v>2</v>
      </c>
      <c r="K108" s="1">
        <v>3</v>
      </c>
      <c r="M108" s="1" t="s">
        <v>97</v>
      </c>
      <c r="N108" s="1">
        <f t="shared" si="17"/>
        <v>0.14285714285714285</v>
      </c>
      <c r="O108" s="1">
        <f t="shared" si="18"/>
        <v>0.55238095238095242</v>
      </c>
      <c r="P108" s="1">
        <f t="shared" si="19"/>
        <v>0.5</v>
      </c>
      <c r="Q108" s="1">
        <f t="shared" si="20"/>
        <v>1</v>
      </c>
      <c r="S108" s="1" t="s">
        <v>97</v>
      </c>
      <c r="T108" s="1">
        <f t="shared" si="21"/>
        <v>1.4291548761875762E-2</v>
      </c>
      <c r="U108" s="1">
        <f t="shared" si="22"/>
        <v>4.2072729068259283E-2</v>
      </c>
      <c r="V108" s="1">
        <f t="shared" si="23"/>
        <v>3.1574382095289864E-2</v>
      </c>
      <c r="W108" s="1">
        <f t="shared" si="24"/>
        <v>4.0360367639778717E-2</v>
      </c>
      <c r="Y108" s="1" t="s">
        <v>97</v>
      </c>
      <c r="Z108" s="1">
        <f t="shared" si="25"/>
        <v>4.2874646285627283E-3</v>
      </c>
      <c r="AA108" s="1">
        <f t="shared" si="26"/>
        <v>8.4145458136518567E-3</v>
      </c>
      <c r="AB108" s="1">
        <f t="shared" si="27"/>
        <v>9.4723146285869593E-3</v>
      </c>
      <c r="AC108" s="1">
        <f t="shared" si="28"/>
        <v>8.0720735279557441E-3</v>
      </c>
      <c r="AK108" s="17" t="s">
        <v>697</v>
      </c>
      <c r="AL108" s="17">
        <f t="shared" si="29"/>
        <v>2.7213233195558965E-2</v>
      </c>
      <c r="AM108" s="17">
        <f t="shared" si="30"/>
        <v>1.281968167372996E-2</v>
      </c>
      <c r="AO108" s="17" t="s">
        <v>1409</v>
      </c>
      <c r="AP108" s="17">
        <f t="shared" si="31"/>
        <v>0.48390231935979711</v>
      </c>
      <c r="AR108" s="1" t="s">
        <v>97</v>
      </c>
      <c r="AS108" s="17">
        <f t="shared" si="32"/>
        <v>0.48390231935979711</v>
      </c>
      <c r="AT108" s="17">
        <f t="shared" si="33"/>
        <v>550</v>
      </c>
    </row>
    <row r="109" spans="6:46" x14ac:dyDescent="0.3">
      <c r="F109" s="1">
        <v>107</v>
      </c>
      <c r="G109" s="1" t="s">
        <v>97</v>
      </c>
      <c r="H109" s="1">
        <v>3</v>
      </c>
      <c r="I109" s="1">
        <v>53</v>
      </c>
      <c r="J109" s="1">
        <v>1</v>
      </c>
      <c r="K109" s="1">
        <v>3</v>
      </c>
      <c r="M109" s="1" t="s">
        <v>97</v>
      </c>
      <c r="N109" s="1">
        <f t="shared" si="17"/>
        <v>0.42857142857142855</v>
      </c>
      <c r="O109" s="1">
        <f t="shared" si="18"/>
        <v>0.50476190476190474</v>
      </c>
      <c r="P109" s="1">
        <f t="shared" si="19"/>
        <v>1</v>
      </c>
      <c r="Q109" s="1">
        <f t="shared" si="20"/>
        <v>1</v>
      </c>
      <c r="S109" s="1" t="s">
        <v>97</v>
      </c>
      <c r="T109" s="1">
        <f t="shared" si="21"/>
        <v>4.2874646285627281E-2</v>
      </c>
      <c r="U109" s="1">
        <f t="shared" si="22"/>
        <v>3.844576966582313E-2</v>
      </c>
      <c r="V109" s="1">
        <f t="shared" si="23"/>
        <v>6.3148764190579729E-2</v>
      </c>
      <c r="W109" s="1">
        <f t="shared" si="24"/>
        <v>4.0360367639778717E-2</v>
      </c>
      <c r="Y109" s="1" t="s">
        <v>97</v>
      </c>
      <c r="Z109" s="1">
        <f t="shared" si="25"/>
        <v>1.2862393885688184E-2</v>
      </c>
      <c r="AA109" s="1">
        <f t="shared" si="26"/>
        <v>7.6891539331646261E-3</v>
      </c>
      <c r="AB109" s="1">
        <f t="shared" si="27"/>
        <v>1.8944629257173919E-2</v>
      </c>
      <c r="AC109" s="1">
        <f t="shared" si="28"/>
        <v>8.0720735279557441E-3</v>
      </c>
      <c r="AK109" s="17" t="s">
        <v>698</v>
      </c>
      <c r="AL109" s="17">
        <f t="shared" si="29"/>
        <v>2.4098258625724307E-2</v>
      </c>
      <c r="AM109" s="17">
        <f t="shared" si="30"/>
        <v>1.46501647098771E-2</v>
      </c>
      <c r="AO109" s="17" t="s">
        <v>1410</v>
      </c>
      <c r="AP109" s="17">
        <f t="shared" si="31"/>
        <v>0.62258474361087723</v>
      </c>
      <c r="AR109" s="1" t="s">
        <v>97</v>
      </c>
      <c r="AS109" s="17">
        <f t="shared" si="32"/>
        <v>0.62258474361087723</v>
      </c>
      <c r="AT109" s="17">
        <f t="shared" si="33"/>
        <v>410</v>
      </c>
    </row>
    <row r="110" spans="6:46" x14ac:dyDescent="0.3">
      <c r="F110" s="1">
        <v>108</v>
      </c>
      <c r="G110" s="1" t="s">
        <v>98</v>
      </c>
      <c r="H110" s="1">
        <v>2</v>
      </c>
      <c r="I110" s="1">
        <v>60</v>
      </c>
      <c r="J110" s="1">
        <v>2</v>
      </c>
      <c r="K110" s="1">
        <v>3</v>
      </c>
      <c r="M110" s="1" t="s">
        <v>98</v>
      </c>
      <c r="N110" s="1">
        <f t="shared" si="17"/>
        <v>0.2857142857142857</v>
      </c>
      <c r="O110" s="1">
        <f t="shared" si="18"/>
        <v>0.5714285714285714</v>
      </c>
      <c r="P110" s="1">
        <f t="shared" si="19"/>
        <v>0.5</v>
      </c>
      <c r="Q110" s="1">
        <f t="shared" si="20"/>
        <v>1</v>
      </c>
      <c r="S110" s="1" t="s">
        <v>98</v>
      </c>
      <c r="T110" s="1">
        <f t="shared" si="21"/>
        <v>2.8583097523751523E-2</v>
      </c>
      <c r="U110" s="1">
        <f t="shared" si="22"/>
        <v>4.3523512829233738E-2</v>
      </c>
      <c r="V110" s="1">
        <f t="shared" si="23"/>
        <v>3.1574382095289864E-2</v>
      </c>
      <c r="W110" s="1">
        <f t="shared" si="24"/>
        <v>4.0360367639778717E-2</v>
      </c>
      <c r="Y110" s="1" t="s">
        <v>98</v>
      </c>
      <c r="Z110" s="1">
        <f t="shared" si="25"/>
        <v>8.5749292571254566E-3</v>
      </c>
      <c r="AA110" s="1">
        <f t="shared" si="26"/>
        <v>8.7047025658467479E-3</v>
      </c>
      <c r="AB110" s="1">
        <f t="shared" si="27"/>
        <v>9.4723146285869593E-3</v>
      </c>
      <c r="AC110" s="1">
        <f t="shared" si="28"/>
        <v>8.0720735279557441E-3</v>
      </c>
      <c r="AK110" s="17" t="s">
        <v>699</v>
      </c>
      <c r="AL110" s="17">
        <f t="shared" si="29"/>
        <v>2.3118853676687635E-2</v>
      </c>
      <c r="AM110" s="17">
        <f t="shared" si="30"/>
        <v>1.4919998721532653E-2</v>
      </c>
      <c r="AO110" s="17" t="s">
        <v>1411</v>
      </c>
      <c r="AP110" s="17">
        <f t="shared" si="31"/>
        <v>0.66028066107035555</v>
      </c>
      <c r="AR110" s="1" t="s">
        <v>98</v>
      </c>
      <c r="AS110" s="17">
        <f t="shared" si="32"/>
        <v>0.66028066107035555</v>
      </c>
      <c r="AT110" s="17">
        <f t="shared" si="33"/>
        <v>376</v>
      </c>
    </row>
    <row r="111" spans="6:46" x14ac:dyDescent="0.3">
      <c r="F111" s="1">
        <v>109</v>
      </c>
      <c r="G111" s="1" t="s">
        <v>99</v>
      </c>
      <c r="H111" s="1">
        <v>0</v>
      </c>
      <c r="I111" s="1">
        <v>76</v>
      </c>
      <c r="J111" s="1">
        <v>2</v>
      </c>
      <c r="K111" s="1">
        <v>2</v>
      </c>
      <c r="M111" s="1" t="s">
        <v>99</v>
      </c>
      <c r="N111" s="1">
        <f t="shared" si="17"/>
        <v>0</v>
      </c>
      <c r="O111" s="1">
        <f t="shared" si="18"/>
        <v>0.72380952380952379</v>
      </c>
      <c r="P111" s="1">
        <f t="shared" si="19"/>
        <v>0.5</v>
      </c>
      <c r="Q111" s="1">
        <f t="shared" si="20"/>
        <v>0.66666666666666663</v>
      </c>
      <c r="S111" s="1" t="s">
        <v>99</v>
      </c>
      <c r="T111" s="1">
        <f t="shared" si="21"/>
        <v>0</v>
      </c>
      <c r="U111" s="1">
        <f t="shared" si="22"/>
        <v>5.5129782917029399E-2</v>
      </c>
      <c r="V111" s="1">
        <f t="shared" si="23"/>
        <v>3.1574382095289864E-2</v>
      </c>
      <c r="W111" s="1">
        <f t="shared" si="24"/>
        <v>2.6906911759852478E-2</v>
      </c>
      <c r="Y111" s="1" t="s">
        <v>99</v>
      </c>
      <c r="Z111" s="1">
        <f t="shared" si="25"/>
        <v>0</v>
      </c>
      <c r="AA111" s="1">
        <f t="shared" si="26"/>
        <v>1.1025956583405881E-2</v>
      </c>
      <c r="AB111" s="1">
        <f t="shared" si="27"/>
        <v>9.4723146285869593E-3</v>
      </c>
      <c r="AC111" s="1">
        <f t="shared" si="28"/>
        <v>5.3813823519704958E-3</v>
      </c>
      <c r="AK111" s="17" t="s">
        <v>700</v>
      </c>
      <c r="AL111" s="17">
        <f t="shared" si="29"/>
        <v>3.0951206219256559E-2</v>
      </c>
      <c r="AM111" s="17">
        <f t="shared" si="30"/>
        <v>1.2583312731667805E-2</v>
      </c>
      <c r="AO111" s="17" t="s">
        <v>1412</v>
      </c>
      <c r="AP111" s="17">
        <f t="shared" si="31"/>
        <v>0.41913653855842053</v>
      </c>
      <c r="AR111" s="1" t="s">
        <v>99</v>
      </c>
      <c r="AS111" s="17">
        <f t="shared" si="32"/>
        <v>0.41913653855842053</v>
      </c>
      <c r="AT111" s="17">
        <f t="shared" si="33"/>
        <v>583</v>
      </c>
    </row>
    <row r="112" spans="6:46" x14ac:dyDescent="0.3">
      <c r="F112" s="1">
        <v>110</v>
      </c>
      <c r="G112" s="1" t="s">
        <v>100</v>
      </c>
      <c r="H112" s="1">
        <v>2</v>
      </c>
      <c r="I112" s="1">
        <v>54</v>
      </c>
      <c r="J112" s="1">
        <v>2</v>
      </c>
      <c r="K112" s="1">
        <v>3</v>
      </c>
      <c r="M112" s="1" t="s">
        <v>100</v>
      </c>
      <c r="N112" s="1">
        <f t="shared" si="17"/>
        <v>0.2857142857142857</v>
      </c>
      <c r="O112" s="1">
        <f t="shared" si="18"/>
        <v>0.51428571428571423</v>
      </c>
      <c r="P112" s="1">
        <f t="shared" si="19"/>
        <v>0.5</v>
      </c>
      <c r="Q112" s="1">
        <f t="shared" si="20"/>
        <v>1</v>
      </c>
      <c r="S112" s="1" t="s">
        <v>100</v>
      </c>
      <c r="T112" s="1">
        <f t="shared" si="21"/>
        <v>2.8583097523751523E-2</v>
      </c>
      <c r="U112" s="1">
        <f t="shared" si="22"/>
        <v>3.9171161546310361E-2</v>
      </c>
      <c r="V112" s="1">
        <f t="shared" si="23"/>
        <v>3.1574382095289864E-2</v>
      </c>
      <c r="W112" s="1">
        <f t="shared" si="24"/>
        <v>4.0360367639778717E-2</v>
      </c>
      <c r="Y112" s="1" t="s">
        <v>100</v>
      </c>
      <c r="Z112" s="1">
        <f t="shared" si="25"/>
        <v>8.5749292571254566E-3</v>
      </c>
      <c r="AA112" s="1">
        <f t="shared" si="26"/>
        <v>7.8342323092620725E-3</v>
      </c>
      <c r="AB112" s="1">
        <f t="shared" si="27"/>
        <v>9.4723146285869593E-3</v>
      </c>
      <c r="AC112" s="1">
        <f t="shared" si="28"/>
        <v>8.0720735279557441E-3</v>
      </c>
      <c r="AK112" s="17" t="s">
        <v>701</v>
      </c>
      <c r="AL112" s="17">
        <f t="shared" si="29"/>
        <v>2.3379582776552509E-2</v>
      </c>
      <c r="AM112" s="17">
        <f t="shared" si="30"/>
        <v>1.4620749401514472E-2</v>
      </c>
      <c r="AO112" s="17" t="s">
        <v>1413</v>
      </c>
      <c r="AP112" s="17">
        <f t="shared" si="31"/>
        <v>0.63998474931761595</v>
      </c>
      <c r="AR112" s="1" t="s">
        <v>100</v>
      </c>
      <c r="AS112" s="17">
        <f t="shared" si="32"/>
        <v>0.63998474931761595</v>
      </c>
      <c r="AT112" s="17">
        <f t="shared" si="33"/>
        <v>393</v>
      </c>
    </row>
    <row r="113" spans="6:46" x14ac:dyDescent="0.3">
      <c r="F113" s="1">
        <v>111</v>
      </c>
      <c r="G113" s="1" t="s">
        <v>101</v>
      </c>
      <c r="H113" s="1">
        <v>2</v>
      </c>
      <c r="I113" s="1">
        <v>45</v>
      </c>
      <c r="J113" s="1">
        <v>1</v>
      </c>
      <c r="K113" s="1">
        <v>2</v>
      </c>
      <c r="M113" s="1" t="s">
        <v>101</v>
      </c>
      <c r="N113" s="1">
        <f t="shared" si="17"/>
        <v>0.2857142857142857</v>
      </c>
      <c r="O113" s="1">
        <f t="shared" si="18"/>
        <v>0.42857142857142855</v>
      </c>
      <c r="P113" s="1">
        <f t="shared" si="19"/>
        <v>1</v>
      </c>
      <c r="Q113" s="1">
        <f t="shared" si="20"/>
        <v>0.66666666666666663</v>
      </c>
      <c r="S113" s="1" t="s">
        <v>101</v>
      </c>
      <c r="T113" s="1">
        <f t="shared" si="21"/>
        <v>2.8583097523751523E-2</v>
      </c>
      <c r="U113" s="1">
        <f t="shared" si="22"/>
        <v>3.26426346219253E-2</v>
      </c>
      <c r="V113" s="1">
        <f t="shared" si="23"/>
        <v>6.3148764190579729E-2</v>
      </c>
      <c r="W113" s="1">
        <f t="shared" si="24"/>
        <v>2.6906911759852478E-2</v>
      </c>
      <c r="Y113" s="1" t="s">
        <v>101</v>
      </c>
      <c r="Z113" s="1">
        <f t="shared" si="25"/>
        <v>8.5749292571254566E-3</v>
      </c>
      <c r="AA113" s="1">
        <f t="shared" si="26"/>
        <v>6.5285269243850605E-3</v>
      </c>
      <c r="AB113" s="1">
        <f t="shared" si="27"/>
        <v>1.8944629257173919E-2</v>
      </c>
      <c r="AC113" s="1">
        <f t="shared" si="28"/>
        <v>5.3813823519704958E-3</v>
      </c>
      <c r="AK113" s="17" t="s">
        <v>702</v>
      </c>
      <c r="AL113" s="17">
        <f t="shared" si="29"/>
        <v>2.778967137294952E-2</v>
      </c>
      <c r="AM113" s="17">
        <f t="shared" si="30"/>
        <v>9.5866304140656243E-3</v>
      </c>
      <c r="AO113" s="17" t="s">
        <v>1414</v>
      </c>
      <c r="AP113" s="17">
        <f t="shared" si="31"/>
        <v>0.35455761929007135</v>
      </c>
      <c r="AR113" s="1" t="s">
        <v>101</v>
      </c>
      <c r="AS113" s="17">
        <f t="shared" si="32"/>
        <v>0.35455761929007135</v>
      </c>
      <c r="AT113" s="17">
        <f t="shared" si="33"/>
        <v>628</v>
      </c>
    </row>
    <row r="114" spans="6:46" x14ac:dyDescent="0.3">
      <c r="F114" s="1">
        <v>112</v>
      </c>
      <c r="G114" s="1" t="s">
        <v>102</v>
      </c>
      <c r="H114" s="1">
        <v>2</v>
      </c>
      <c r="I114" s="1">
        <v>27</v>
      </c>
      <c r="J114" s="1">
        <v>1</v>
      </c>
      <c r="K114" s="1">
        <v>3</v>
      </c>
      <c r="M114" s="1" t="s">
        <v>102</v>
      </c>
      <c r="N114" s="1">
        <f t="shared" si="17"/>
        <v>0.2857142857142857</v>
      </c>
      <c r="O114" s="1">
        <f t="shared" si="18"/>
        <v>0.25714285714285712</v>
      </c>
      <c r="P114" s="1">
        <f t="shared" si="19"/>
        <v>1</v>
      </c>
      <c r="Q114" s="1">
        <f t="shared" si="20"/>
        <v>1</v>
      </c>
      <c r="S114" s="1" t="s">
        <v>102</v>
      </c>
      <c r="T114" s="1">
        <f t="shared" si="21"/>
        <v>2.8583097523751523E-2</v>
      </c>
      <c r="U114" s="1">
        <f t="shared" si="22"/>
        <v>1.9585580773155181E-2</v>
      </c>
      <c r="V114" s="1">
        <f t="shared" si="23"/>
        <v>6.3148764190579729E-2</v>
      </c>
      <c r="W114" s="1">
        <f t="shared" si="24"/>
        <v>4.0360367639778717E-2</v>
      </c>
      <c r="Y114" s="1" t="s">
        <v>102</v>
      </c>
      <c r="Z114" s="1">
        <f t="shared" si="25"/>
        <v>8.5749292571254566E-3</v>
      </c>
      <c r="AA114" s="1">
        <f t="shared" si="26"/>
        <v>3.9171161546310363E-3</v>
      </c>
      <c r="AB114" s="1">
        <f t="shared" si="27"/>
        <v>1.8944629257173919E-2</v>
      </c>
      <c r="AC114" s="1">
        <f t="shared" si="28"/>
        <v>8.0720735279557441E-3</v>
      </c>
      <c r="AK114" s="17" t="s">
        <v>703</v>
      </c>
      <c r="AL114" s="17">
        <f t="shared" si="29"/>
        <v>2.8588609449854464E-2</v>
      </c>
      <c r="AM114" s="17">
        <f t="shared" si="30"/>
        <v>1.014962468089744E-2</v>
      </c>
      <c r="AO114" s="17" t="s">
        <v>1415</v>
      </c>
      <c r="AP114" s="17">
        <f t="shared" si="31"/>
        <v>0.36517300204034114</v>
      </c>
      <c r="AR114" s="1" t="s">
        <v>102</v>
      </c>
      <c r="AS114" s="17">
        <f t="shared" si="32"/>
        <v>0.36517300204034114</v>
      </c>
      <c r="AT114" s="17">
        <f t="shared" si="33"/>
        <v>619</v>
      </c>
    </row>
    <row r="115" spans="6:46" x14ac:dyDescent="0.3">
      <c r="F115" s="1">
        <v>113</v>
      </c>
      <c r="G115" s="1" t="s">
        <v>103</v>
      </c>
      <c r="H115" s="1">
        <v>0</v>
      </c>
      <c r="I115" s="1">
        <v>47</v>
      </c>
      <c r="J115" s="1">
        <v>1</v>
      </c>
      <c r="K115" s="1">
        <v>2</v>
      </c>
      <c r="M115" s="1" t="s">
        <v>103</v>
      </c>
      <c r="N115" s="1">
        <f t="shared" si="17"/>
        <v>0</v>
      </c>
      <c r="O115" s="1">
        <f t="shared" si="18"/>
        <v>0.44761904761904764</v>
      </c>
      <c r="P115" s="1">
        <f t="shared" si="19"/>
        <v>1</v>
      </c>
      <c r="Q115" s="1">
        <f t="shared" si="20"/>
        <v>0.66666666666666663</v>
      </c>
      <c r="S115" s="1" t="s">
        <v>103</v>
      </c>
      <c r="T115" s="1">
        <f t="shared" si="21"/>
        <v>0</v>
      </c>
      <c r="U115" s="1">
        <f t="shared" si="22"/>
        <v>3.4093418382899761E-2</v>
      </c>
      <c r="V115" s="1">
        <f t="shared" si="23"/>
        <v>6.3148764190579729E-2</v>
      </c>
      <c r="W115" s="1">
        <f t="shared" si="24"/>
        <v>2.6906911759852478E-2</v>
      </c>
      <c r="Y115" s="1" t="s">
        <v>103</v>
      </c>
      <c r="Z115" s="1">
        <f t="shared" si="25"/>
        <v>0</v>
      </c>
      <c r="AA115" s="1">
        <f t="shared" si="26"/>
        <v>6.8186836765799525E-3</v>
      </c>
      <c r="AB115" s="1">
        <f t="shared" si="27"/>
        <v>1.8944629257173919E-2</v>
      </c>
      <c r="AC115" s="1">
        <f t="shared" si="28"/>
        <v>5.3813823519704958E-3</v>
      </c>
      <c r="AK115" s="17" t="s">
        <v>704</v>
      </c>
      <c r="AL115" s="17">
        <f t="shared" si="29"/>
        <v>3.4763127593686875E-2</v>
      </c>
      <c r="AM115" s="17">
        <f t="shared" si="30"/>
        <v>4.5160440112386891E-3</v>
      </c>
      <c r="AO115" s="17" t="s">
        <v>1416</v>
      </c>
      <c r="AP115" s="17">
        <f t="shared" si="31"/>
        <v>0.13442506899950876</v>
      </c>
      <c r="AR115" s="1" t="s">
        <v>103</v>
      </c>
      <c r="AS115" s="17">
        <f t="shared" si="32"/>
        <v>0.13442506899950876</v>
      </c>
      <c r="AT115" s="17">
        <f t="shared" si="33"/>
        <v>701</v>
      </c>
    </row>
    <row r="116" spans="6:46" x14ac:dyDescent="0.3">
      <c r="F116" s="1">
        <v>114</v>
      </c>
      <c r="G116" s="1" t="s">
        <v>104</v>
      </c>
      <c r="H116" s="1">
        <v>0</v>
      </c>
      <c r="I116" s="1">
        <v>69</v>
      </c>
      <c r="J116" s="1">
        <v>2</v>
      </c>
      <c r="K116" s="1">
        <v>2</v>
      </c>
      <c r="M116" s="1" t="s">
        <v>104</v>
      </c>
      <c r="N116" s="1">
        <f t="shared" si="17"/>
        <v>0</v>
      </c>
      <c r="O116" s="1">
        <f t="shared" si="18"/>
        <v>0.65714285714285714</v>
      </c>
      <c r="P116" s="1">
        <f t="shared" si="19"/>
        <v>0.5</v>
      </c>
      <c r="Q116" s="1">
        <f t="shared" si="20"/>
        <v>0.66666666666666663</v>
      </c>
      <c r="S116" s="1" t="s">
        <v>104</v>
      </c>
      <c r="T116" s="1">
        <f t="shared" si="21"/>
        <v>0</v>
      </c>
      <c r="U116" s="1">
        <f t="shared" si="22"/>
        <v>5.0052039753618799E-2</v>
      </c>
      <c r="V116" s="1">
        <f t="shared" si="23"/>
        <v>3.1574382095289864E-2</v>
      </c>
      <c r="W116" s="1">
        <f t="shared" si="24"/>
        <v>2.6906911759852478E-2</v>
      </c>
      <c r="Y116" s="1" t="s">
        <v>104</v>
      </c>
      <c r="Z116" s="1">
        <f t="shared" si="25"/>
        <v>0</v>
      </c>
      <c r="AA116" s="1">
        <f t="shared" si="26"/>
        <v>1.0010407950723761E-2</v>
      </c>
      <c r="AB116" s="1">
        <f t="shared" si="27"/>
        <v>9.4723146285869593E-3</v>
      </c>
      <c r="AC116" s="1">
        <f t="shared" si="28"/>
        <v>5.3813823519704958E-3</v>
      </c>
      <c r="AK116" s="17" t="s">
        <v>705</v>
      </c>
      <c r="AL116" s="17">
        <f t="shared" si="29"/>
        <v>3.1105528221651912E-2</v>
      </c>
      <c r="AM116" s="17">
        <f t="shared" si="30"/>
        <v>1.1977437560209832E-2</v>
      </c>
      <c r="AO116" s="17" t="s">
        <v>1417</v>
      </c>
      <c r="AP116" s="17">
        <f t="shared" si="31"/>
        <v>0.39703560068995819</v>
      </c>
      <c r="AR116" s="1" t="s">
        <v>104</v>
      </c>
      <c r="AS116" s="17">
        <f t="shared" si="32"/>
        <v>0.39703560068995819</v>
      </c>
      <c r="AT116" s="17">
        <f t="shared" si="33"/>
        <v>601</v>
      </c>
    </row>
    <row r="117" spans="6:46" x14ac:dyDescent="0.3">
      <c r="F117" s="1">
        <v>115</v>
      </c>
      <c r="G117" s="1" t="s">
        <v>105</v>
      </c>
      <c r="H117" s="1">
        <v>4</v>
      </c>
      <c r="I117" s="1">
        <v>50</v>
      </c>
      <c r="J117" s="1">
        <v>2</v>
      </c>
      <c r="K117" s="1">
        <v>3</v>
      </c>
      <c r="M117" s="1" t="s">
        <v>105</v>
      </c>
      <c r="N117" s="1">
        <f t="shared" si="17"/>
        <v>0.5714285714285714</v>
      </c>
      <c r="O117" s="1">
        <f t="shared" si="18"/>
        <v>0.47619047619047616</v>
      </c>
      <c r="P117" s="1">
        <f t="shared" si="19"/>
        <v>0.5</v>
      </c>
      <c r="Q117" s="1">
        <f t="shared" si="20"/>
        <v>1</v>
      </c>
      <c r="S117" s="1" t="s">
        <v>105</v>
      </c>
      <c r="T117" s="1">
        <f t="shared" si="21"/>
        <v>5.7166195047503046E-2</v>
      </c>
      <c r="U117" s="1">
        <f t="shared" si="22"/>
        <v>3.6269594024361446E-2</v>
      </c>
      <c r="V117" s="1">
        <f t="shared" si="23"/>
        <v>3.1574382095289864E-2</v>
      </c>
      <c r="W117" s="1">
        <f t="shared" si="24"/>
        <v>4.0360367639778717E-2</v>
      </c>
      <c r="Y117" s="1" t="s">
        <v>105</v>
      </c>
      <c r="Z117" s="1">
        <f t="shared" si="25"/>
        <v>1.7149858514250913E-2</v>
      </c>
      <c r="AA117" s="1">
        <f t="shared" si="26"/>
        <v>7.2539188048722893E-3</v>
      </c>
      <c r="AB117" s="1">
        <f t="shared" si="27"/>
        <v>9.4723146285869593E-3</v>
      </c>
      <c r="AC117" s="1">
        <f t="shared" si="28"/>
        <v>8.0720735279557441E-3</v>
      </c>
      <c r="AK117" s="17" t="s">
        <v>706</v>
      </c>
      <c r="AL117" s="17">
        <f t="shared" si="29"/>
        <v>1.616822449981261E-2</v>
      </c>
      <c r="AM117" s="17">
        <f t="shared" si="30"/>
        <v>2.0719630592878506E-2</v>
      </c>
      <c r="AO117" s="17" t="s">
        <v>1418</v>
      </c>
      <c r="AP117" s="17">
        <f t="shared" si="31"/>
        <v>1.3022227785185303</v>
      </c>
      <c r="AR117" s="1" t="s">
        <v>105</v>
      </c>
      <c r="AS117" s="17">
        <f t="shared" si="32"/>
        <v>1.3022227785185303</v>
      </c>
      <c r="AT117" s="17">
        <f t="shared" si="33"/>
        <v>62</v>
      </c>
    </row>
    <row r="118" spans="6:46" x14ac:dyDescent="0.3">
      <c r="F118" s="1">
        <v>116</v>
      </c>
      <c r="G118" s="1" t="s">
        <v>106</v>
      </c>
      <c r="H118" s="1">
        <v>1</v>
      </c>
      <c r="I118" s="1">
        <v>62</v>
      </c>
      <c r="J118" s="1">
        <v>2</v>
      </c>
      <c r="K118" s="1">
        <v>3</v>
      </c>
      <c r="M118" s="1" t="s">
        <v>106</v>
      </c>
      <c r="N118" s="1">
        <f t="shared" si="17"/>
        <v>0.14285714285714285</v>
      </c>
      <c r="O118" s="1">
        <f t="shared" si="18"/>
        <v>0.59047619047619049</v>
      </c>
      <c r="P118" s="1">
        <f t="shared" si="19"/>
        <v>0.5</v>
      </c>
      <c r="Q118" s="1">
        <f t="shared" si="20"/>
        <v>1</v>
      </c>
      <c r="S118" s="1" t="s">
        <v>106</v>
      </c>
      <c r="T118" s="1">
        <f t="shared" si="21"/>
        <v>1.4291548761875762E-2</v>
      </c>
      <c r="U118" s="1">
        <f t="shared" si="22"/>
        <v>4.4974296590208199E-2</v>
      </c>
      <c r="V118" s="1">
        <f t="shared" si="23"/>
        <v>3.1574382095289864E-2</v>
      </c>
      <c r="W118" s="1">
        <f t="shared" si="24"/>
        <v>4.0360367639778717E-2</v>
      </c>
      <c r="Y118" s="1" t="s">
        <v>106</v>
      </c>
      <c r="Z118" s="1">
        <f t="shared" si="25"/>
        <v>4.2874646285627283E-3</v>
      </c>
      <c r="AA118" s="1">
        <f t="shared" si="26"/>
        <v>8.9948593180416408E-3</v>
      </c>
      <c r="AB118" s="1">
        <f t="shared" si="27"/>
        <v>9.4723146285869593E-3</v>
      </c>
      <c r="AC118" s="1">
        <f t="shared" si="28"/>
        <v>8.0720735279557441E-3</v>
      </c>
      <c r="AK118" s="17" t="s">
        <v>707</v>
      </c>
      <c r="AL118" s="17">
        <f t="shared" si="29"/>
        <v>2.7073656499998048E-2</v>
      </c>
      <c r="AM118" s="17">
        <f t="shared" si="30"/>
        <v>1.3066856918170248E-2</v>
      </c>
      <c r="AO118" s="17" t="s">
        <v>1419</v>
      </c>
      <c r="AP118" s="17">
        <f t="shared" si="31"/>
        <v>0.49570786694100144</v>
      </c>
      <c r="AR118" s="1" t="s">
        <v>106</v>
      </c>
      <c r="AS118" s="17">
        <f t="shared" si="32"/>
        <v>0.49570786694100144</v>
      </c>
      <c r="AT118" s="17">
        <f t="shared" si="33"/>
        <v>540</v>
      </c>
    </row>
    <row r="119" spans="6:46" x14ac:dyDescent="0.3">
      <c r="F119" s="1">
        <v>117</v>
      </c>
      <c r="G119" s="1" t="s">
        <v>107</v>
      </c>
      <c r="H119" s="1">
        <v>3</v>
      </c>
      <c r="I119" s="1">
        <v>55</v>
      </c>
      <c r="J119" s="1">
        <v>2</v>
      </c>
      <c r="K119" s="1">
        <v>3</v>
      </c>
      <c r="M119" s="1" t="s">
        <v>107</v>
      </c>
      <c r="N119" s="1">
        <f t="shared" si="17"/>
        <v>0.42857142857142855</v>
      </c>
      <c r="O119" s="1">
        <f t="shared" si="18"/>
        <v>0.52380952380952384</v>
      </c>
      <c r="P119" s="1">
        <f t="shared" si="19"/>
        <v>0.5</v>
      </c>
      <c r="Q119" s="1">
        <f t="shared" si="20"/>
        <v>1</v>
      </c>
      <c r="S119" s="1" t="s">
        <v>107</v>
      </c>
      <c r="T119" s="1">
        <f t="shared" si="21"/>
        <v>4.2874646285627281E-2</v>
      </c>
      <c r="U119" s="1">
        <f t="shared" si="22"/>
        <v>3.9896553426797592E-2</v>
      </c>
      <c r="V119" s="1">
        <f t="shared" si="23"/>
        <v>3.1574382095289864E-2</v>
      </c>
      <c r="W119" s="1">
        <f t="shared" si="24"/>
        <v>4.0360367639778717E-2</v>
      </c>
      <c r="Y119" s="1" t="s">
        <v>107</v>
      </c>
      <c r="Z119" s="1">
        <f t="shared" si="25"/>
        <v>1.2862393885688184E-2</v>
      </c>
      <c r="AA119" s="1">
        <f t="shared" si="26"/>
        <v>7.979310685359519E-3</v>
      </c>
      <c r="AB119" s="1">
        <f t="shared" si="27"/>
        <v>9.4723146285869593E-3</v>
      </c>
      <c r="AC119" s="1">
        <f t="shared" si="28"/>
        <v>8.0720735279557441E-3</v>
      </c>
      <c r="AK119" s="17" t="s">
        <v>708</v>
      </c>
      <c r="AL119" s="17">
        <f t="shared" si="29"/>
        <v>1.9468895527963669E-2</v>
      </c>
      <c r="AM119" s="17">
        <f t="shared" si="30"/>
        <v>1.7522733250166428E-2</v>
      </c>
      <c r="AO119" s="17" t="s">
        <v>1420</v>
      </c>
      <c r="AP119" s="17">
        <f t="shared" si="31"/>
        <v>0.91756008899015074</v>
      </c>
      <c r="AR119" s="1" t="s">
        <v>107</v>
      </c>
      <c r="AS119" s="17">
        <f t="shared" si="32"/>
        <v>0.91756008899015074</v>
      </c>
      <c r="AT119" s="17">
        <f t="shared" si="33"/>
        <v>172</v>
      </c>
    </row>
    <row r="120" spans="6:46" x14ac:dyDescent="0.3">
      <c r="F120" s="1">
        <v>118</v>
      </c>
      <c r="G120" s="1" t="s">
        <v>108</v>
      </c>
      <c r="H120" s="1">
        <v>3</v>
      </c>
      <c r="I120" s="1">
        <v>43</v>
      </c>
      <c r="J120" s="1">
        <v>3</v>
      </c>
      <c r="K120" s="1">
        <v>2</v>
      </c>
      <c r="M120" s="1" t="s">
        <v>108</v>
      </c>
      <c r="N120" s="1">
        <f t="shared" si="17"/>
        <v>0.42857142857142855</v>
      </c>
      <c r="O120" s="1">
        <f t="shared" si="18"/>
        <v>0.40952380952380951</v>
      </c>
      <c r="P120" s="1">
        <f t="shared" si="19"/>
        <v>0.33333333333333331</v>
      </c>
      <c r="Q120" s="1">
        <f t="shared" si="20"/>
        <v>0.66666666666666663</v>
      </c>
      <c r="S120" s="1" t="s">
        <v>108</v>
      </c>
      <c r="T120" s="1">
        <f t="shared" si="21"/>
        <v>4.2874646285627281E-2</v>
      </c>
      <c r="U120" s="1">
        <f t="shared" si="22"/>
        <v>3.1191850860950845E-2</v>
      </c>
      <c r="V120" s="1">
        <f t="shared" si="23"/>
        <v>2.1049588063526574E-2</v>
      </c>
      <c r="W120" s="1">
        <f t="shared" si="24"/>
        <v>2.6906911759852478E-2</v>
      </c>
      <c r="Y120" s="1" t="s">
        <v>108</v>
      </c>
      <c r="Z120" s="1">
        <f t="shared" si="25"/>
        <v>1.2862393885688184E-2</v>
      </c>
      <c r="AA120" s="1">
        <f t="shared" si="26"/>
        <v>6.2383701721901693E-3</v>
      </c>
      <c r="AB120" s="1">
        <f t="shared" si="27"/>
        <v>6.314876419057972E-3</v>
      </c>
      <c r="AC120" s="1">
        <f t="shared" si="28"/>
        <v>5.3813823519704958E-3</v>
      </c>
      <c r="AK120" s="17" t="s">
        <v>709</v>
      </c>
      <c r="AL120" s="17">
        <f t="shared" si="29"/>
        <v>1.9714091064129378E-2</v>
      </c>
      <c r="AM120" s="17">
        <f t="shared" si="30"/>
        <v>1.8479007101440657E-2</v>
      </c>
      <c r="AO120" s="17" t="s">
        <v>1421</v>
      </c>
      <c r="AP120" s="17">
        <f t="shared" si="31"/>
        <v>0.95582920201171939</v>
      </c>
      <c r="AR120" s="1" t="s">
        <v>108</v>
      </c>
      <c r="AS120" s="17">
        <f t="shared" si="32"/>
        <v>0.95582920201171939</v>
      </c>
      <c r="AT120" s="17">
        <f t="shared" si="33"/>
        <v>156</v>
      </c>
    </row>
    <row r="121" spans="6:46" x14ac:dyDescent="0.3">
      <c r="F121" s="1">
        <v>119</v>
      </c>
      <c r="G121" s="1" t="s">
        <v>108</v>
      </c>
      <c r="H121" s="1">
        <v>1</v>
      </c>
      <c r="I121" s="1">
        <v>56</v>
      </c>
      <c r="J121" s="1">
        <v>2</v>
      </c>
      <c r="K121" s="1">
        <v>2</v>
      </c>
      <c r="M121" s="1" t="s">
        <v>108</v>
      </c>
      <c r="N121" s="1">
        <f t="shared" si="17"/>
        <v>0.14285714285714285</v>
      </c>
      <c r="O121" s="1">
        <f t="shared" si="18"/>
        <v>0.53333333333333333</v>
      </c>
      <c r="P121" s="1">
        <f t="shared" si="19"/>
        <v>0.5</v>
      </c>
      <c r="Q121" s="1">
        <f t="shared" si="20"/>
        <v>0.66666666666666663</v>
      </c>
      <c r="S121" s="1" t="s">
        <v>108</v>
      </c>
      <c r="T121" s="1">
        <f t="shared" si="21"/>
        <v>1.4291548761875762E-2</v>
      </c>
      <c r="U121" s="1">
        <f t="shared" si="22"/>
        <v>4.0621945307284822E-2</v>
      </c>
      <c r="V121" s="1">
        <f t="shared" si="23"/>
        <v>3.1574382095289864E-2</v>
      </c>
      <c r="W121" s="1">
        <f t="shared" si="24"/>
        <v>2.6906911759852478E-2</v>
      </c>
      <c r="Y121" s="1" t="s">
        <v>108</v>
      </c>
      <c r="Z121" s="1">
        <f t="shared" si="25"/>
        <v>4.2874646285627283E-3</v>
      </c>
      <c r="AA121" s="1">
        <f t="shared" si="26"/>
        <v>8.1243890614569655E-3</v>
      </c>
      <c r="AB121" s="1">
        <f t="shared" si="27"/>
        <v>9.4723146285869593E-3</v>
      </c>
      <c r="AC121" s="1">
        <f t="shared" si="28"/>
        <v>5.3813823519704958E-3</v>
      </c>
      <c r="AK121" s="17" t="s">
        <v>710</v>
      </c>
      <c r="AL121" s="17">
        <f t="shared" si="29"/>
        <v>2.7419720004422422E-2</v>
      </c>
      <c r="AM121" s="17">
        <f t="shared" si="30"/>
        <v>1.1818548907232355E-2</v>
      </c>
      <c r="AO121" s="17" t="s">
        <v>1422</v>
      </c>
      <c r="AP121" s="17">
        <f t="shared" si="31"/>
        <v>0.4428422393506864</v>
      </c>
      <c r="AR121" s="1" t="s">
        <v>108</v>
      </c>
      <c r="AS121" s="17">
        <f t="shared" si="32"/>
        <v>0.4428422393506864</v>
      </c>
      <c r="AT121" s="17">
        <f t="shared" si="33"/>
        <v>571</v>
      </c>
    </row>
    <row r="122" spans="6:46" x14ac:dyDescent="0.3">
      <c r="F122" s="1">
        <v>120</v>
      </c>
      <c r="G122" s="1" t="s">
        <v>109</v>
      </c>
      <c r="H122" s="1">
        <v>1</v>
      </c>
      <c r="I122" s="1">
        <v>65</v>
      </c>
      <c r="J122" s="1">
        <v>2</v>
      </c>
      <c r="K122" s="1">
        <v>3</v>
      </c>
      <c r="M122" s="1" t="s">
        <v>109</v>
      </c>
      <c r="N122" s="1">
        <f t="shared" si="17"/>
        <v>0.14285714285714285</v>
      </c>
      <c r="O122" s="1">
        <f t="shared" si="18"/>
        <v>0.61904761904761907</v>
      </c>
      <c r="P122" s="1">
        <f t="shared" si="19"/>
        <v>0.5</v>
      </c>
      <c r="Q122" s="1">
        <f t="shared" si="20"/>
        <v>1</v>
      </c>
      <c r="S122" s="1" t="s">
        <v>109</v>
      </c>
      <c r="T122" s="1">
        <f t="shared" si="21"/>
        <v>1.4291548761875762E-2</v>
      </c>
      <c r="U122" s="1">
        <f t="shared" si="22"/>
        <v>4.7150472231669883E-2</v>
      </c>
      <c r="V122" s="1">
        <f t="shared" si="23"/>
        <v>3.1574382095289864E-2</v>
      </c>
      <c r="W122" s="1">
        <f t="shared" si="24"/>
        <v>4.0360367639778717E-2</v>
      </c>
      <c r="Y122" s="1" t="s">
        <v>109</v>
      </c>
      <c r="Z122" s="1">
        <f t="shared" si="25"/>
        <v>4.2874646285627283E-3</v>
      </c>
      <c r="AA122" s="1">
        <f t="shared" si="26"/>
        <v>9.4300944463339767E-3</v>
      </c>
      <c r="AB122" s="1">
        <f t="shared" si="27"/>
        <v>9.4723146285869593E-3</v>
      </c>
      <c r="AC122" s="1">
        <f t="shared" si="28"/>
        <v>8.0720735279557441E-3</v>
      </c>
      <c r="AK122" s="17" t="s">
        <v>711</v>
      </c>
      <c r="AL122" s="17">
        <f t="shared" si="29"/>
        <v>2.6976693463290301E-2</v>
      </c>
      <c r="AM122" s="17">
        <f t="shared" si="30"/>
        <v>1.326588239762024E-2</v>
      </c>
      <c r="AO122" s="17" t="s">
        <v>1423</v>
      </c>
      <c r="AP122" s="17">
        <f t="shared" si="31"/>
        <v>0.50501934416536287</v>
      </c>
      <c r="AR122" s="1" t="s">
        <v>109</v>
      </c>
      <c r="AS122" s="17">
        <f t="shared" si="32"/>
        <v>0.50501934416536287</v>
      </c>
      <c r="AT122" s="17">
        <f t="shared" si="33"/>
        <v>529</v>
      </c>
    </row>
    <row r="123" spans="6:46" x14ac:dyDescent="0.3">
      <c r="F123" s="1">
        <v>121</v>
      </c>
      <c r="G123" s="1" t="s">
        <v>110</v>
      </c>
      <c r="H123" s="1">
        <v>0</v>
      </c>
      <c r="I123" s="1">
        <v>77</v>
      </c>
      <c r="J123" s="1">
        <v>5</v>
      </c>
      <c r="K123" s="1">
        <v>2</v>
      </c>
      <c r="M123" s="1" t="s">
        <v>110</v>
      </c>
      <c r="N123" s="1">
        <f t="shared" si="17"/>
        <v>0</v>
      </c>
      <c r="O123" s="1">
        <f t="shared" si="18"/>
        <v>0.73333333333333328</v>
      </c>
      <c r="P123" s="1">
        <f t="shared" si="19"/>
        <v>0.2</v>
      </c>
      <c r="Q123" s="1">
        <f t="shared" si="20"/>
        <v>0.66666666666666663</v>
      </c>
      <c r="S123" s="1" t="s">
        <v>110</v>
      </c>
      <c r="T123" s="1">
        <f t="shared" si="21"/>
        <v>0</v>
      </c>
      <c r="U123" s="1">
        <f t="shared" si="22"/>
        <v>5.5855174797516623E-2</v>
      </c>
      <c r="V123" s="1">
        <f t="shared" si="23"/>
        <v>1.2629752838115946E-2</v>
      </c>
      <c r="W123" s="1">
        <f t="shared" si="24"/>
        <v>2.6906911759852478E-2</v>
      </c>
      <c r="Y123" s="1" t="s">
        <v>110</v>
      </c>
      <c r="Z123" s="1">
        <f t="shared" si="25"/>
        <v>0</v>
      </c>
      <c r="AA123" s="1">
        <f t="shared" si="26"/>
        <v>1.1171034959503326E-2</v>
      </c>
      <c r="AB123" s="1">
        <f t="shared" si="27"/>
        <v>3.7889258514347836E-3</v>
      </c>
      <c r="AC123" s="1">
        <f t="shared" si="28"/>
        <v>5.3813823519704958E-3</v>
      </c>
      <c r="AK123" s="17" t="s">
        <v>712</v>
      </c>
      <c r="AL123" s="17">
        <f t="shared" si="29"/>
        <v>3.040520576361317E-2</v>
      </c>
      <c r="AM123" s="17">
        <f t="shared" si="30"/>
        <v>1.7337951543961307E-2</v>
      </c>
      <c r="AO123" s="17" t="s">
        <v>1424</v>
      </c>
      <c r="AP123" s="17">
        <f t="shared" si="31"/>
        <v>0.58756765756062501</v>
      </c>
      <c r="AR123" s="1" t="s">
        <v>110</v>
      </c>
      <c r="AS123" s="17">
        <f t="shared" si="32"/>
        <v>0.58756765756062501</v>
      </c>
      <c r="AT123" s="17">
        <f t="shared" si="33"/>
        <v>456</v>
      </c>
    </row>
    <row r="124" spans="6:46" x14ac:dyDescent="0.3">
      <c r="F124" s="1">
        <v>122</v>
      </c>
      <c r="G124" s="1" t="s">
        <v>111</v>
      </c>
      <c r="H124" s="1">
        <v>1</v>
      </c>
      <c r="I124" s="1">
        <v>60</v>
      </c>
      <c r="J124" s="1">
        <v>2</v>
      </c>
      <c r="K124" s="1">
        <v>3</v>
      </c>
      <c r="M124" s="1" t="s">
        <v>111</v>
      </c>
      <c r="N124" s="1">
        <f t="shared" si="17"/>
        <v>0.14285714285714285</v>
      </c>
      <c r="O124" s="1">
        <f t="shared" si="18"/>
        <v>0.5714285714285714</v>
      </c>
      <c r="P124" s="1">
        <f t="shared" si="19"/>
        <v>0.5</v>
      </c>
      <c r="Q124" s="1">
        <f t="shared" si="20"/>
        <v>1</v>
      </c>
      <c r="S124" s="1" t="s">
        <v>111</v>
      </c>
      <c r="T124" s="1">
        <f t="shared" si="21"/>
        <v>1.4291548761875762E-2</v>
      </c>
      <c r="U124" s="1">
        <f t="shared" si="22"/>
        <v>4.3523512829233738E-2</v>
      </c>
      <c r="V124" s="1">
        <f t="shared" si="23"/>
        <v>3.1574382095289864E-2</v>
      </c>
      <c r="W124" s="1">
        <f t="shared" si="24"/>
        <v>4.0360367639778717E-2</v>
      </c>
      <c r="Y124" s="1" t="s">
        <v>111</v>
      </c>
      <c r="Z124" s="1">
        <f t="shared" si="25"/>
        <v>4.2874646285627283E-3</v>
      </c>
      <c r="AA124" s="1">
        <f t="shared" si="26"/>
        <v>8.7047025658467479E-3</v>
      </c>
      <c r="AB124" s="1">
        <f t="shared" si="27"/>
        <v>9.4723146285869593E-3</v>
      </c>
      <c r="AC124" s="1">
        <f t="shared" si="28"/>
        <v>8.0720735279557441E-3</v>
      </c>
      <c r="AK124" s="17" t="s">
        <v>713</v>
      </c>
      <c r="AL124" s="17">
        <f t="shared" si="29"/>
        <v>2.7141983672477499E-2</v>
      </c>
      <c r="AM124" s="17">
        <f t="shared" si="30"/>
        <v>1.2940606748796844E-2</v>
      </c>
      <c r="AO124" s="17" t="s">
        <v>1425</v>
      </c>
      <c r="AP124" s="17">
        <f t="shared" si="31"/>
        <v>0.48971514559427082</v>
      </c>
      <c r="AR124" s="1" t="s">
        <v>111</v>
      </c>
      <c r="AS124" s="17">
        <f t="shared" si="32"/>
        <v>0.48971514559427082</v>
      </c>
      <c r="AT124" s="17">
        <f t="shared" si="33"/>
        <v>544</v>
      </c>
    </row>
    <row r="125" spans="6:46" x14ac:dyDescent="0.3">
      <c r="F125" s="1">
        <v>123</v>
      </c>
      <c r="G125" s="1" t="s">
        <v>112</v>
      </c>
      <c r="H125" s="1">
        <v>0</v>
      </c>
      <c r="I125" s="1">
        <v>62</v>
      </c>
      <c r="J125" s="1">
        <v>2</v>
      </c>
      <c r="K125" s="1">
        <v>2</v>
      </c>
      <c r="M125" s="1" t="s">
        <v>112</v>
      </c>
      <c r="N125" s="1">
        <f t="shared" si="17"/>
        <v>0</v>
      </c>
      <c r="O125" s="1">
        <f t="shared" si="18"/>
        <v>0.59047619047619049</v>
      </c>
      <c r="P125" s="1">
        <f t="shared" si="19"/>
        <v>0.5</v>
      </c>
      <c r="Q125" s="1">
        <f t="shared" si="20"/>
        <v>0.66666666666666663</v>
      </c>
      <c r="S125" s="1" t="s">
        <v>112</v>
      </c>
      <c r="T125" s="1">
        <f t="shared" si="21"/>
        <v>0</v>
      </c>
      <c r="U125" s="1">
        <f t="shared" si="22"/>
        <v>4.4974296590208199E-2</v>
      </c>
      <c r="V125" s="1">
        <f t="shared" si="23"/>
        <v>3.1574382095289864E-2</v>
      </c>
      <c r="W125" s="1">
        <f t="shared" si="24"/>
        <v>2.6906911759852478E-2</v>
      </c>
      <c r="Y125" s="1" t="s">
        <v>112</v>
      </c>
      <c r="Z125" s="1">
        <f t="shared" si="25"/>
        <v>0</v>
      </c>
      <c r="AA125" s="1">
        <f t="shared" si="26"/>
        <v>8.9948593180416408E-3</v>
      </c>
      <c r="AB125" s="1">
        <f t="shared" si="27"/>
        <v>9.4723146285869593E-3</v>
      </c>
      <c r="AC125" s="1">
        <f t="shared" si="28"/>
        <v>5.3813823519704958E-3</v>
      </c>
      <c r="AK125" s="17" t="s">
        <v>714</v>
      </c>
      <c r="AL125" s="17">
        <f t="shared" si="29"/>
        <v>3.1292064225929651E-2</v>
      </c>
      <c r="AM125" s="17">
        <f t="shared" si="30"/>
        <v>1.1429826760068696E-2</v>
      </c>
      <c r="AO125" s="17" t="s">
        <v>1426</v>
      </c>
      <c r="AP125" s="17">
        <f t="shared" si="31"/>
        <v>0.37669261919028363</v>
      </c>
      <c r="AR125" s="1" t="s">
        <v>112</v>
      </c>
      <c r="AS125" s="17">
        <f t="shared" si="32"/>
        <v>0.37669261919028363</v>
      </c>
      <c r="AT125" s="17">
        <f t="shared" si="33"/>
        <v>614</v>
      </c>
    </row>
    <row r="126" spans="6:46" x14ac:dyDescent="0.3">
      <c r="F126" s="1">
        <v>124</v>
      </c>
      <c r="G126" s="1" t="s">
        <v>113</v>
      </c>
      <c r="H126" s="1">
        <v>3</v>
      </c>
      <c r="I126" s="1">
        <v>37</v>
      </c>
      <c r="J126" s="1">
        <v>2</v>
      </c>
      <c r="K126" s="1">
        <v>3</v>
      </c>
      <c r="M126" s="1" t="s">
        <v>113</v>
      </c>
      <c r="N126" s="1">
        <f t="shared" si="17"/>
        <v>0.42857142857142855</v>
      </c>
      <c r="O126" s="1">
        <f t="shared" si="18"/>
        <v>0.35238095238095241</v>
      </c>
      <c r="P126" s="1">
        <f t="shared" si="19"/>
        <v>0.5</v>
      </c>
      <c r="Q126" s="1">
        <f t="shared" si="20"/>
        <v>1</v>
      </c>
      <c r="S126" s="1" t="s">
        <v>113</v>
      </c>
      <c r="T126" s="1">
        <f t="shared" si="21"/>
        <v>4.2874646285627281E-2</v>
      </c>
      <c r="U126" s="1">
        <f t="shared" si="22"/>
        <v>2.6839499578027472E-2</v>
      </c>
      <c r="V126" s="1">
        <f t="shared" si="23"/>
        <v>3.1574382095289864E-2</v>
      </c>
      <c r="W126" s="1">
        <f t="shared" si="24"/>
        <v>4.0360367639778717E-2</v>
      </c>
      <c r="Y126" s="1" t="s">
        <v>113</v>
      </c>
      <c r="Z126" s="1">
        <f t="shared" si="25"/>
        <v>1.2862393885688184E-2</v>
      </c>
      <c r="AA126" s="1">
        <f t="shared" si="26"/>
        <v>5.3678999156054948E-3</v>
      </c>
      <c r="AB126" s="1">
        <f t="shared" si="27"/>
        <v>9.4723146285869593E-3</v>
      </c>
      <c r="AC126" s="1">
        <f t="shared" si="28"/>
        <v>8.0720735279557441E-3</v>
      </c>
      <c r="AK126" s="17" t="s">
        <v>715</v>
      </c>
      <c r="AL126" s="17">
        <f t="shared" si="29"/>
        <v>2.0585025690221536E-2</v>
      </c>
      <c r="AM126" s="17">
        <f t="shared" si="30"/>
        <v>1.6995909429451603E-2</v>
      </c>
      <c r="AO126" s="17" t="s">
        <v>1427</v>
      </c>
      <c r="AP126" s="17">
        <f t="shared" si="31"/>
        <v>0.84264022414726791</v>
      </c>
      <c r="AR126" s="1" t="s">
        <v>113</v>
      </c>
      <c r="AS126" s="17">
        <f t="shared" si="32"/>
        <v>0.84264022414726791</v>
      </c>
      <c r="AT126" s="17">
        <f t="shared" si="33"/>
        <v>269</v>
      </c>
    </row>
    <row r="127" spans="6:46" x14ac:dyDescent="0.3">
      <c r="F127" s="1">
        <v>125</v>
      </c>
      <c r="G127" s="1" t="s">
        <v>114</v>
      </c>
      <c r="H127" s="1">
        <v>3</v>
      </c>
      <c r="I127" s="1">
        <v>42</v>
      </c>
      <c r="J127" s="1">
        <v>5</v>
      </c>
      <c r="K127" s="1">
        <v>3</v>
      </c>
      <c r="M127" s="1" t="s">
        <v>114</v>
      </c>
      <c r="N127" s="1">
        <f t="shared" si="17"/>
        <v>0.42857142857142855</v>
      </c>
      <c r="O127" s="1">
        <f t="shared" si="18"/>
        <v>0.4</v>
      </c>
      <c r="P127" s="1">
        <f t="shared" si="19"/>
        <v>0.2</v>
      </c>
      <c r="Q127" s="1">
        <f t="shared" si="20"/>
        <v>1</v>
      </c>
      <c r="S127" s="1" t="s">
        <v>114</v>
      </c>
      <c r="T127" s="1">
        <f t="shared" si="21"/>
        <v>4.2874646285627281E-2</v>
      </c>
      <c r="U127" s="1">
        <f t="shared" si="22"/>
        <v>3.0466458980463618E-2</v>
      </c>
      <c r="V127" s="1">
        <f t="shared" si="23"/>
        <v>1.2629752838115946E-2</v>
      </c>
      <c r="W127" s="1">
        <f t="shared" si="24"/>
        <v>4.0360367639778717E-2</v>
      </c>
      <c r="Y127" s="1" t="s">
        <v>114</v>
      </c>
      <c r="Z127" s="1">
        <f t="shared" si="25"/>
        <v>1.2862393885688184E-2</v>
      </c>
      <c r="AA127" s="1">
        <f t="shared" si="26"/>
        <v>6.0932917960927237E-3</v>
      </c>
      <c r="AB127" s="1">
        <f t="shared" si="27"/>
        <v>3.7889258514347836E-3</v>
      </c>
      <c r="AC127" s="1">
        <f t="shared" si="28"/>
        <v>8.0720735279557441E-3</v>
      </c>
      <c r="AK127" s="17" t="s">
        <v>716</v>
      </c>
      <c r="AL127" s="17">
        <f t="shared" si="29"/>
        <v>1.9433376137757669E-2</v>
      </c>
      <c r="AM127" s="17">
        <f t="shared" si="30"/>
        <v>2.0796992385819873E-2</v>
      </c>
      <c r="AO127" s="17" t="s">
        <v>1428</v>
      </c>
      <c r="AP127" s="17">
        <f t="shared" si="31"/>
        <v>1.0909657699773159</v>
      </c>
      <c r="AR127" s="1" t="s">
        <v>114</v>
      </c>
      <c r="AS127" s="17">
        <f t="shared" si="32"/>
        <v>1.0909657699773159</v>
      </c>
      <c r="AT127" s="17">
        <f t="shared" si="33"/>
        <v>109</v>
      </c>
    </row>
    <row r="128" spans="6:46" x14ac:dyDescent="0.3">
      <c r="F128" s="1">
        <v>126</v>
      </c>
      <c r="G128" s="1" t="s">
        <v>115</v>
      </c>
      <c r="H128" s="1">
        <v>2</v>
      </c>
      <c r="I128" s="1">
        <v>45</v>
      </c>
      <c r="J128" s="1">
        <v>1</v>
      </c>
      <c r="K128" s="1">
        <v>3</v>
      </c>
      <c r="M128" s="1" t="s">
        <v>115</v>
      </c>
      <c r="N128" s="1">
        <f t="shared" si="17"/>
        <v>0.2857142857142857</v>
      </c>
      <c r="O128" s="1">
        <f t="shared" si="18"/>
        <v>0.42857142857142855</v>
      </c>
      <c r="P128" s="1">
        <f t="shared" si="19"/>
        <v>1</v>
      </c>
      <c r="Q128" s="1">
        <f t="shared" si="20"/>
        <v>1</v>
      </c>
      <c r="S128" s="1" t="s">
        <v>115</v>
      </c>
      <c r="T128" s="1">
        <f t="shared" si="21"/>
        <v>2.8583097523751523E-2</v>
      </c>
      <c r="U128" s="1">
        <f t="shared" si="22"/>
        <v>3.26426346219253E-2</v>
      </c>
      <c r="V128" s="1">
        <f t="shared" si="23"/>
        <v>6.3148764190579729E-2</v>
      </c>
      <c r="W128" s="1">
        <f t="shared" si="24"/>
        <v>4.0360367639778717E-2</v>
      </c>
      <c r="Y128" s="1" t="s">
        <v>115</v>
      </c>
      <c r="Z128" s="1">
        <f t="shared" si="25"/>
        <v>8.5749292571254566E-3</v>
      </c>
      <c r="AA128" s="1">
        <f t="shared" si="26"/>
        <v>6.5285269243850605E-3</v>
      </c>
      <c r="AB128" s="1">
        <f t="shared" si="27"/>
        <v>1.8944629257173919E-2</v>
      </c>
      <c r="AC128" s="1">
        <f t="shared" si="28"/>
        <v>8.0720735279557441E-3</v>
      </c>
      <c r="AK128" s="17" t="s">
        <v>717</v>
      </c>
      <c r="AL128" s="17">
        <f t="shared" si="29"/>
        <v>2.7659103673329785E-2</v>
      </c>
      <c r="AM128" s="17">
        <f t="shared" si="30"/>
        <v>1.0659406161201602E-2</v>
      </c>
      <c r="AO128" s="17" t="s">
        <v>1429</v>
      </c>
      <c r="AP128" s="17">
        <f t="shared" si="31"/>
        <v>0.39604449626012284</v>
      </c>
      <c r="AR128" s="1" t="s">
        <v>115</v>
      </c>
      <c r="AS128" s="17">
        <f t="shared" si="32"/>
        <v>0.39604449626012284</v>
      </c>
      <c r="AT128" s="17">
        <f t="shared" si="33"/>
        <v>602</v>
      </c>
    </row>
    <row r="129" spans="6:46" x14ac:dyDescent="0.3">
      <c r="F129" s="1">
        <v>127</v>
      </c>
      <c r="G129" s="1" t="s">
        <v>116</v>
      </c>
      <c r="H129" s="1">
        <v>3</v>
      </c>
      <c r="I129" s="1">
        <v>40</v>
      </c>
      <c r="J129" s="1">
        <v>2</v>
      </c>
      <c r="K129" s="1">
        <v>3</v>
      </c>
      <c r="M129" s="1" t="s">
        <v>116</v>
      </c>
      <c r="N129" s="1">
        <f t="shared" si="17"/>
        <v>0.42857142857142855</v>
      </c>
      <c r="O129" s="1">
        <f t="shared" si="18"/>
        <v>0.38095238095238093</v>
      </c>
      <c r="P129" s="1">
        <f t="shared" si="19"/>
        <v>0.5</v>
      </c>
      <c r="Q129" s="1">
        <f t="shared" si="20"/>
        <v>1</v>
      </c>
      <c r="S129" s="1" t="s">
        <v>116</v>
      </c>
      <c r="T129" s="1">
        <f t="shared" si="21"/>
        <v>4.2874646285627281E-2</v>
      </c>
      <c r="U129" s="1">
        <f t="shared" si="22"/>
        <v>2.9015675219489157E-2</v>
      </c>
      <c r="V129" s="1">
        <f t="shared" si="23"/>
        <v>3.1574382095289864E-2</v>
      </c>
      <c r="W129" s="1">
        <f t="shared" si="24"/>
        <v>4.0360367639778717E-2</v>
      </c>
      <c r="Y129" s="1" t="s">
        <v>116</v>
      </c>
      <c r="Z129" s="1">
        <f t="shared" si="25"/>
        <v>1.2862393885688184E-2</v>
      </c>
      <c r="AA129" s="1">
        <f t="shared" si="26"/>
        <v>5.8031350438978316E-3</v>
      </c>
      <c r="AB129" s="1">
        <f t="shared" si="27"/>
        <v>9.4723146285869593E-3</v>
      </c>
      <c r="AC129" s="1">
        <f t="shared" si="28"/>
        <v>8.0720735279557441E-3</v>
      </c>
      <c r="AK129" s="17" t="s">
        <v>718</v>
      </c>
      <c r="AL129" s="17">
        <f t="shared" si="29"/>
        <v>2.0380020518092293E-2</v>
      </c>
      <c r="AM129" s="17">
        <f t="shared" si="30"/>
        <v>1.7057100079439589E-2</v>
      </c>
      <c r="AO129" s="17" t="s">
        <v>1430</v>
      </c>
      <c r="AP129" s="17">
        <f t="shared" si="31"/>
        <v>0.85400915634931462</v>
      </c>
      <c r="AR129" s="1" t="s">
        <v>116</v>
      </c>
      <c r="AS129" s="17">
        <f t="shared" si="32"/>
        <v>0.85400915634931462</v>
      </c>
      <c r="AT129" s="17">
        <f t="shared" si="33"/>
        <v>247</v>
      </c>
    </row>
    <row r="130" spans="6:46" x14ac:dyDescent="0.3">
      <c r="F130" s="1">
        <v>128</v>
      </c>
      <c r="G130" s="1" t="s">
        <v>117</v>
      </c>
      <c r="H130" s="1">
        <v>4</v>
      </c>
      <c r="I130" s="1">
        <v>50</v>
      </c>
      <c r="J130" s="1">
        <v>5</v>
      </c>
      <c r="K130" s="1">
        <v>3</v>
      </c>
      <c r="M130" s="1" t="s">
        <v>117</v>
      </c>
      <c r="N130" s="1">
        <f t="shared" si="17"/>
        <v>0.5714285714285714</v>
      </c>
      <c r="O130" s="1">
        <f t="shared" si="18"/>
        <v>0.47619047619047616</v>
      </c>
      <c r="P130" s="1">
        <f t="shared" si="19"/>
        <v>0.2</v>
      </c>
      <c r="Q130" s="1">
        <f t="shared" si="20"/>
        <v>1</v>
      </c>
      <c r="S130" s="1" t="s">
        <v>117</v>
      </c>
      <c r="T130" s="1">
        <f t="shared" si="21"/>
        <v>5.7166195047503046E-2</v>
      </c>
      <c r="U130" s="1">
        <f t="shared" si="22"/>
        <v>3.6269594024361446E-2</v>
      </c>
      <c r="V130" s="1">
        <f t="shared" si="23"/>
        <v>1.2629752838115946E-2</v>
      </c>
      <c r="W130" s="1">
        <f t="shared" si="24"/>
        <v>4.0360367639778717E-2</v>
      </c>
      <c r="Y130" s="1" t="s">
        <v>117</v>
      </c>
      <c r="Z130" s="1">
        <f t="shared" si="25"/>
        <v>1.7149858514250913E-2</v>
      </c>
      <c r="AA130" s="1">
        <f t="shared" si="26"/>
        <v>7.2539188048722893E-3</v>
      </c>
      <c r="AB130" s="1">
        <f t="shared" si="27"/>
        <v>3.7889258514347836E-3</v>
      </c>
      <c r="AC130" s="1">
        <f t="shared" si="28"/>
        <v>8.0720735279557441E-3</v>
      </c>
      <c r="AK130" s="17" t="s">
        <v>719</v>
      </c>
      <c r="AL130" s="17">
        <f t="shared" si="29"/>
        <v>1.5136399026323317E-2</v>
      </c>
      <c r="AM130" s="17">
        <f t="shared" si="30"/>
        <v>2.3859457102062009E-2</v>
      </c>
      <c r="AO130" s="17" t="s">
        <v>1431</v>
      </c>
      <c r="AP130" s="17">
        <f t="shared" si="31"/>
        <v>1.6001562408066043</v>
      </c>
      <c r="AR130" s="1" t="s">
        <v>117</v>
      </c>
      <c r="AS130" s="17">
        <f t="shared" si="32"/>
        <v>1.6001562408066043</v>
      </c>
      <c r="AT130" s="17">
        <f t="shared" si="33"/>
        <v>30</v>
      </c>
    </row>
    <row r="131" spans="6:46" x14ac:dyDescent="0.3">
      <c r="F131" s="1">
        <v>129</v>
      </c>
      <c r="G131" s="1" t="s">
        <v>118</v>
      </c>
      <c r="H131" s="1">
        <v>4</v>
      </c>
      <c r="I131" s="1">
        <v>37</v>
      </c>
      <c r="J131" s="1">
        <v>1</v>
      </c>
      <c r="K131" s="1">
        <v>3</v>
      </c>
      <c r="M131" s="1" t="s">
        <v>118</v>
      </c>
      <c r="N131" s="1">
        <f t="shared" si="17"/>
        <v>0.5714285714285714</v>
      </c>
      <c r="O131" s="1">
        <f t="shared" si="18"/>
        <v>0.35238095238095241</v>
      </c>
      <c r="P131" s="1">
        <f t="shared" si="19"/>
        <v>1</v>
      </c>
      <c r="Q131" s="1">
        <f t="shared" si="20"/>
        <v>1</v>
      </c>
      <c r="S131" s="1" t="s">
        <v>118</v>
      </c>
      <c r="T131" s="1">
        <f t="shared" si="21"/>
        <v>5.7166195047503046E-2</v>
      </c>
      <c r="U131" s="1">
        <f t="shared" si="22"/>
        <v>2.6839499578027472E-2</v>
      </c>
      <c r="V131" s="1">
        <f t="shared" si="23"/>
        <v>6.3148764190579729E-2</v>
      </c>
      <c r="W131" s="1">
        <f t="shared" si="24"/>
        <v>4.0360367639778717E-2</v>
      </c>
      <c r="Y131" s="1" t="s">
        <v>118</v>
      </c>
      <c r="Z131" s="1">
        <f t="shared" si="25"/>
        <v>1.7149858514250913E-2</v>
      </c>
      <c r="AA131" s="1">
        <f t="shared" si="26"/>
        <v>5.3678999156054948E-3</v>
      </c>
      <c r="AB131" s="1">
        <f t="shared" si="27"/>
        <v>1.8944629257173919E-2</v>
      </c>
      <c r="AC131" s="1">
        <f t="shared" si="28"/>
        <v>8.0720735279557441E-3</v>
      </c>
      <c r="AK131" s="17" t="s">
        <v>720</v>
      </c>
      <c r="AL131" s="17">
        <f t="shared" si="29"/>
        <v>2.2191467950753465E-2</v>
      </c>
      <c r="AM131" s="17">
        <f t="shared" si="30"/>
        <v>1.8105597573662549E-2</v>
      </c>
      <c r="AO131" s="17" t="s">
        <v>1432</v>
      </c>
      <c r="AP131" s="17">
        <f t="shared" si="31"/>
        <v>0.83398662057952511</v>
      </c>
      <c r="AR131" s="1" t="s">
        <v>118</v>
      </c>
      <c r="AS131" s="17">
        <f t="shared" si="32"/>
        <v>0.83398662057952511</v>
      </c>
      <c r="AT131" s="17">
        <f t="shared" si="33"/>
        <v>289</v>
      </c>
    </row>
    <row r="132" spans="6:46" x14ac:dyDescent="0.3">
      <c r="F132" s="1">
        <v>130</v>
      </c>
      <c r="G132" s="1" t="s">
        <v>118</v>
      </c>
      <c r="H132" s="1">
        <v>2</v>
      </c>
      <c r="I132" s="1">
        <v>27</v>
      </c>
      <c r="J132" s="1">
        <v>2</v>
      </c>
      <c r="K132" s="1">
        <v>3</v>
      </c>
      <c r="M132" s="1" t="s">
        <v>118</v>
      </c>
      <c r="N132" s="1">
        <f t="shared" ref="N132:N195" si="34">H132/MAX($H$3:$H$712)</f>
        <v>0.2857142857142857</v>
      </c>
      <c r="O132" s="1">
        <f t="shared" ref="O132:O195" si="35">I132/MAX($I$3:$I$712)</f>
        <v>0.25714285714285712</v>
      </c>
      <c r="P132" s="1">
        <f t="shared" ref="P132:P195" si="36">MIN($J$3:$J$712)/J132</f>
        <v>0.5</v>
      </c>
      <c r="Q132" s="1">
        <f t="shared" ref="Q132:Q195" si="37">K132/MAX($K$3:$K$712)</f>
        <v>1</v>
      </c>
      <c r="S132" s="1" t="s">
        <v>118</v>
      </c>
      <c r="T132" s="1">
        <f t="shared" ref="T132:T195" si="38">N132/SQRT(SUMSQ($N$3:$N$712))</f>
        <v>2.8583097523751523E-2</v>
      </c>
      <c r="U132" s="1">
        <f t="shared" ref="U132:U195" si="39">O132/SQRT(SUMSQ($O$3:$O$712))</f>
        <v>1.9585580773155181E-2</v>
      </c>
      <c r="V132" s="1">
        <f t="shared" ref="V132:V195" si="40">P132/SQRT(SUMSQ($P$3:$P$712))</f>
        <v>3.1574382095289864E-2</v>
      </c>
      <c r="W132" s="1">
        <f t="shared" ref="W132:W195" si="41">Q132/SQRT(SUMSQ($Q$3:$Q$712))</f>
        <v>4.0360367639778717E-2</v>
      </c>
      <c r="Y132" s="1" t="s">
        <v>118</v>
      </c>
      <c r="Z132" s="1">
        <f t="shared" ref="Z132:Z195" si="42">T132*$D$3</f>
        <v>8.5749292571254566E-3</v>
      </c>
      <c r="AA132" s="1">
        <f t="shared" ref="AA132:AA195" si="43">U132*$D$4</f>
        <v>3.9171161546310363E-3</v>
      </c>
      <c r="AB132" s="1">
        <f t="shared" ref="AB132:AB195" si="44">V132*$D$5</f>
        <v>9.4723146285869593E-3</v>
      </c>
      <c r="AC132" s="1">
        <f t="shared" ref="AC132:AC195" si="45">W132*$D$6</f>
        <v>8.0720735279557441E-3</v>
      </c>
      <c r="AK132" s="17" t="s">
        <v>721</v>
      </c>
      <c r="AL132" s="17">
        <f t="shared" ref="AL132:AL195" si="46">SQRT( ($AF$3-Z132)^2 + ($AG$3-AA132)^2 + ($AH$3-AB132)^2 + ($AI$3-AC132)^2 )</f>
        <v>2.4898075277937335E-2</v>
      </c>
      <c r="AM132" s="17">
        <f t="shared" ref="AM132:AM195" si="47">SQRT( (Z132-$AF$4)^2 + (AA132-$AG$4)^2 + (AB132-$AH$4)^2 + (AC132-$AI$4)^2 )</f>
        <v>1.3883069746494286E-2</v>
      </c>
      <c r="AO132" s="17" t="s">
        <v>1433</v>
      </c>
      <c r="AP132" s="17">
        <f t="shared" ref="AP132:AP195" si="48">AM132/AL132+AM132</f>
        <v>0.57147917271901372</v>
      </c>
      <c r="AR132" s="1" t="s">
        <v>118</v>
      </c>
      <c r="AS132" s="17">
        <f t="shared" ref="AS132:AS195" si="49">AP132</f>
        <v>0.57147917271901372</v>
      </c>
      <c r="AT132" s="17">
        <f t="shared" ref="AT132:AT195" si="50">RANK(AS132,$AS$3:$AS$712,0)</f>
        <v>488</v>
      </c>
    </row>
    <row r="133" spans="6:46" x14ac:dyDescent="0.3">
      <c r="F133" s="1">
        <v>131</v>
      </c>
      <c r="G133" s="1" t="s">
        <v>119</v>
      </c>
      <c r="H133" s="1">
        <v>2</v>
      </c>
      <c r="I133" s="1">
        <v>30</v>
      </c>
      <c r="J133" s="1">
        <v>5</v>
      </c>
      <c r="K133" s="1">
        <v>3</v>
      </c>
      <c r="M133" s="1" t="s">
        <v>119</v>
      </c>
      <c r="N133" s="1">
        <f t="shared" si="34"/>
        <v>0.2857142857142857</v>
      </c>
      <c r="O133" s="1">
        <f t="shared" si="35"/>
        <v>0.2857142857142857</v>
      </c>
      <c r="P133" s="1">
        <f t="shared" si="36"/>
        <v>0.2</v>
      </c>
      <c r="Q133" s="1">
        <f t="shared" si="37"/>
        <v>1</v>
      </c>
      <c r="S133" s="1" t="s">
        <v>119</v>
      </c>
      <c r="T133" s="1">
        <f t="shared" si="38"/>
        <v>2.8583097523751523E-2</v>
      </c>
      <c r="U133" s="1">
        <f t="shared" si="39"/>
        <v>2.1761756414616869E-2</v>
      </c>
      <c r="V133" s="1">
        <f t="shared" si="40"/>
        <v>1.2629752838115946E-2</v>
      </c>
      <c r="W133" s="1">
        <f t="shared" si="41"/>
        <v>4.0360367639778717E-2</v>
      </c>
      <c r="Y133" s="1" t="s">
        <v>119</v>
      </c>
      <c r="Z133" s="1">
        <f t="shared" si="42"/>
        <v>8.5749292571254566E-3</v>
      </c>
      <c r="AA133" s="1">
        <f t="shared" si="43"/>
        <v>4.3523512829233739E-3</v>
      </c>
      <c r="AB133" s="1">
        <f t="shared" si="44"/>
        <v>3.7889258514347836E-3</v>
      </c>
      <c r="AC133" s="1">
        <f t="shared" si="45"/>
        <v>8.0720735279557441E-3</v>
      </c>
      <c r="AK133" s="17" t="s">
        <v>722</v>
      </c>
      <c r="AL133" s="17">
        <f t="shared" si="46"/>
        <v>2.4040639219698238E-2</v>
      </c>
      <c r="AM133" s="17">
        <f t="shared" si="47"/>
        <v>1.8262833530398481E-2</v>
      </c>
      <c r="AO133" s="17" t="s">
        <v>1434</v>
      </c>
      <c r="AP133" s="17">
        <f t="shared" si="48"/>
        <v>0.77792788916812117</v>
      </c>
      <c r="AR133" s="1" t="s">
        <v>119</v>
      </c>
      <c r="AS133" s="17">
        <f t="shared" si="49"/>
        <v>0.77792788916812117</v>
      </c>
      <c r="AT133" s="17">
        <f t="shared" si="50"/>
        <v>315</v>
      </c>
    </row>
    <row r="134" spans="6:46" x14ac:dyDescent="0.3">
      <c r="F134" s="1">
        <v>132</v>
      </c>
      <c r="G134" s="1" t="s">
        <v>120</v>
      </c>
      <c r="H134" s="1">
        <v>2</v>
      </c>
      <c r="I134" s="1">
        <v>72</v>
      </c>
      <c r="J134" s="1">
        <v>2</v>
      </c>
      <c r="K134" s="1">
        <v>2</v>
      </c>
      <c r="M134" s="1" t="s">
        <v>120</v>
      </c>
      <c r="N134" s="1">
        <f t="shared" si="34"/>
        <v>0.2857142857142857</v>
      </c>
      <c r="O134" s="1">
        <f t="shared" si="35"/>
        <v>0.68571428571428572</v>
      </c>
      <c r="P134" s="1">
        <f t="shared" si="36"/>
        <v>0.5</v>
      </c>
      <c r="Q134" s="1">
        <f t="shared" si="37"/>
        <v>0.66666666666666663</v>
      </c>
      <c r="S134" s="1" t="s">
        <v>120</v>
      </c>
      <c r="T134" s="1">
        <f t="shared" si="38"/>
        <v>2.8583097523751523E-2</v>
      </c>
      <c r="U134" s="1">
        <f t="shared" si="39"/>
        <v>5.2228215395080484E-2</v>
      </c>
      <c r="V134" s="1">
        <f t="shared" si="40"/>
        <v>3.1574382095289864E-2</v>
      </c>
      <c r="W134" s="1">
        <f t="shared" si="41"/>
        <v>2.6906911759852478E-2</v>
      </c>
      <c r="Y134" s="1" t="s">
        <v>120</v>
      </c>
      <c r="Z134" s="1">
        <f t="shared" si="42"/>
        <v>8.5749292571254566E-3</v>
      </c>
      <c r="AA134" s="1">
        <f t="shared" si="43"/>
        <v>1.0445643079016097E-2</v>
      </c>
      <c r="AB134" s="1">
        <f t="shared" si="44"/>
        <v>9.4723146285869593E-3</v>
      </c>
      <c r="AC134" s="1">
        <f t="shared" si="45"/>
        <v>5.3813823519704958E-3</v>
      </c>
      <c r="AK134" s="17" t="s">
        <v>723</v>
      </c>
      <c r="AL134" s="17">
        <f t="shared" si="46"/>
        <v>2.2847768691297954E-2</v>
      </c>
      <c r="AM134" s="17">
        <f t="shared" si="47"/>
        <v>1.4936978048449201E-2</v>
      </c>
      <c r="AO134" s="17" t="s">
        <v>1435</v>
      </c>
      <c r="AP134" s="17">
        <f t="shared" si="48"/>
        <v>0.66869788793275919</v>
      </c>
      <c r="AR134" s="1" t="s">
        <v>120</v>
      </c>
      <c r="AS134" s="17">
        <f t="shared" si="49"/>
        <v>0.66869788793275919</v>
      </c>
      <c r="AT134" s="17">
        <f t="shared" si="50"/>
        <v>370</v>
      </c>
    </row>
    <row r="135" spans="6:46" x14ac:dyDescent="0.3">
      <c r="F135" s="1">
        <v>133</v>
      </c>
      <c r="G135" s="1" t="s">
        <v>121</v>
      </c>
      <c r="H135" s="1">
        <v>0</v>
      </c>
      <c r="I135" s="1">
        <v>72</v>
      </c>
      <c r="J135" s="1">
        <v>2</v>
      </c>
      <c r="K135" s="1">
        <v>2</v>
      </c>
      <c r="M135" s="1" t="s">
        <v>121</v>
      </c>
      <c r="N135" s="1">
        <f t="shared" si="34"/>
        <v>0</v>
      </c>
      <c r="O135" s="1">
        <f t="shared" si="35"/>
        <v>0.68571428571428572</v>
      </c>
      <c r="P135" s="1">
        <f t="shared" si="36"/>
        <v>0.5</v>
      </c>
      <c r="Q135" s="1">
        <f t="shared" si="37"/>
        <v>0.66666666666666663</v>
      </c>
      <c r="S135" s="1" t="s">
        <v>121</v>
      </c>
      <c r="T135" s="1">
        <f t="shared" si="38"/>
        <v>0</v>
      </c>
      <c r="U135" s="1">
        <f t="shared" si="39"/>
        <v>5.2228215395080484E-2</v>
      </c>
      <c r="V135" s="1">
        <f t="shared" si="40"/>
        <v>3.1574382095289864E-2</v>
      </c>
      <c r="W135" s="1">
        <f t="shared" si="41"/>
        <v>2.6906911759852478E-2</v>
      </c>
      <c r="Y135" s="1" t="s">
        <v>121</v>
      </c>
      <c r="Z135" s="1">
        <f t="shared" si="42"/>
        <v>0</v>
      </c>
      <c r="AA135" s="1">
        <f t="shared" si="43"/>
        <v>1.0445643079016097E-2</v>
      </c>
      <c r="AB135" s="1">
        <f t="shared" si="44"/>
        <v>9.4723146285869593E-3</v>
      </c>
      <c r="AC135" s="1">
        <f t="shared" si="45"/>
        <v>5.3813823519704958E-3</v>
      </c>
      <c r="AK135" s="17" t="s">
        <v>724</v>
      </c>
      <c r="AL135" s="17">
        <f t="shared" si="46"/>
        <v>3.1035415330865023E-2</v>
      </c>
      <c r="AM135" s="17">
        <f t="shared" si="47"/>
        <v>1.2230449765039191E-2</v>
      </c>
      <c r="AO135" s="17" t="s">
        <v>1436</v>
      </c>
      <c r="AP135" s="17">
        <f t="shared" si="48"/>
        <v>0.40631087803228677</v>
      </c>
      <c r="AR135" s="1" t="s">
        <v>121</v>
      </c>
      <c r="AS135" s="17">
        <f t="shared" si="49"/>
        <v>0.40631087803228677</v>
      </c>
      <c r="AT135" s="17">
        <f t="shared" si="50"/>
        <v>593</v>
      </c>
    </row>
    <row r="136" spans="6:46" x14ac:dyDescent="0.3">
      <c r="F136" s="1">
        <v>134</v>
      </c>
      <c r="G136" s="1" t="s">
        <v>122</v>
      </c>
      <c r="H136" s="1">
        <v>2</v>
      </c>
      <c r="I136" s="1">
        <v>41</v>
      </c>
      <c r="J136" s="1">
        <v>2</v>
      </c>
      <c r="K136" s="1">
        <v>3</v>
      </c>
      <c r="M136" s="1" t="s">
        <v>122</v>
      </c>
      <c r="N136" s="1">
        <f t="shared" si="34"/>
        <v>0.2857142857142857</v>
      </c>
      <c r="O136" s="1">
        <f t="shared" si="35"/>
        <v>0.39047619047619048</v>
      </c>
      <c r="P136" s="1">
        <f t="shared" si="36"/>
        <v>0.5</v>
      </c>
      <c r="Q136" s="1">
        <f t="shared" si="37"/>
        <v>1</v>
      </c>
      <c r="S136" s="1" t="s">
        <v>122</v>
      </c>
      <c r="T136" s="1">
        <f t="shared" si="38"/>
        <v>2.8583097523751523E-2</v>
      </c>
      <c r="U136" s="1">
        <f t="shared" si="39"/>
        <v>2.9741067099976388E-2</v>
      </c>
      <c r="V136" s="1">
        <f t="shared" si="40"/>
        <v>3.1574382095289864E-2</v>
      </c>
      <c r="W136" s="1">
        <f t="shared" si="41"/>
        <v>4.0360367639778717E-2</v>
      </c>
      <c r="Y136" s="1" t="s">
        <v>122</v>
      </c>
      <c r="Z136" s="1">
        <f t="shared" si="42"/>
        <v>8.5749292571254566E-3</v>
      </c>
      <c r="AA136" s="1">
        <f t="shared" si="43"/>
        <v>5.9482134199952781E-3</v>
      </c>
      <c r="AB136" s="1">
        <f t="shared" si="44"/>
        <v>9.4723146285869593E-3</v>
      </c>
      <c r="AC136" s="1">
        <f t="shared" si="45"/>
        <v>8.0720735279557441E-3</v>
      </c>
      <c r="AK136" s="17" t="s">
        <v>725</v>
      </c>
      <c r="AL136" s="17">
        <f t="shared" si="46"/>
        <v>2.4043112422193251E-2</v>
      </c>
      <c r="AM136" s="17">
        <f t="shared" si="47"/>
        <v>1.4135475394090753E-2</v>
      </c>
      <c r="AO136" s="17" t="s">
        <v>1437</v>
      </c>
      <c r="AP136" s="17">
        <f t="shared" si="48"/>
        <v>0.6020575025374173</v>
      </c>
      <c r="AR136" s="1" t="s">
        <v>122</v>
      </c>
      <c r="AS136" s="17">
        <f t="shared" si="49"/>
        <v>0.6020575025374173</v>
      </c>
      <c r="AT136" s="17">
        <f t="shared" si="50"/>
        <v>428</v>
      </c>
    </row>
    <row r="137" spans="6:46" x14ac:dyDescent="0.3">
      <c r="F137" s="1">
        <v>135</v>
      </c>
      <c r="G137" s="1" t="s">
        <v>123</v>
      </c>
      <c r="H137" s="1">
        <v>4</v>
      </c>
      <c r="I137" s="1">
        <v>46</v>
      </c>
      <c r="J137" s="1">
        <v>5</v>
      </c>
      <c r="K137" s="1">
        <v>3</v>
      </c>
      <c r="M137" s="1" t="s">
        <v>123</v>
      </c>
      <c r="N137" s="1">
        <f t="shared" si="34"/>
        <v>0.5714285714285714</v>
      </c>
      <c r="O137" s="1">
        <f t="shared" si="35"/>
        <v>0.43809523809523809</v>
      </c>
      <c r="P137" s="1">
        <f t="shared" si="36"/>
        <v>0.2</v>
      </c>
      <c r="Q137" s="1">
        <f t="shared" si="37"/>
        <v>1</v>
      </c>
      <c r="S137" s="1" t="s">
        <v>123</v>
      </c>
      <c r="T137" s="1">
        <f t="shared" si="38"/>
        <v>5.7166195047503046E-2</v>
      </c>
      <c r="U137" s="1">
        <f t="shared" si="39"/>
        <v>3.336802650241253E-2</v>
      </c>
      <c r="V137" s="1">
        <f t="shared" si="40"/>
        <v>1.2629752838115946E-2</v>
      </c>
      <c r="W137" s="1">
        <f t="shared" si="41"/>
        <v>4.0360367639778717E-2</v>
      </c>
      <c r="Y137" s="1" t="s">
        <v>123</v>
      </c>
      <c r="Z137" s="1">
        <f t="shared" si="42"/>
        <v>1.7149858514250913E-2</v>
      </c>
      <c r="AA137" s="1">
        <f t="shared" si="43"/>
        <v>6.6736053004825061E-3</v>
      </c>
      <c r="AB137" s="1">
        <f t="shared" si="44"/>
        <v>3.7889258514347836E-3</v>
      </c>
      <c r="AC137" s="1">
        <f t="shared" si="45"/>
        <v>8.0720735279557441E-3</v>
      </c>
      <c r="AK137" s="17" t="s">
        <v>726</v>
      </c>
      <c r="AL137" s="17">
        <f t="shared" si="46"/>
        <v>1.5450189084290529E-2</v>
      </c>
      <c r="AM137" s="17">
        <f t="shared" si="47"/>
        <v>2.3767535932048871E-2</v>
      </c>
      <c r="AO137" s="17" t="s">
        <v>1438</v>
      </c>
      <c r="AP137" s="17">
        <f t="shared" si="48"/>
        <v>1.5621005493587434</v>
      </c>
      <c r="AR137" s="1" t="s">
        <v>123</v>
      </c>
      <c r="AS137" s="17">
        <f t="shared" si="49"/>
        <v>1.5621005493587434</v>
      </c>
      <c r="AT137" s="17">
        <f t="shared" si="50"/>
        <v>35</v>
      </c>
    </row>
    <row r="138" spans="6:46" x14ac:dyDescent="0.3">
      <c r="F138" s="1">
        <v>136</v>
      </c>
      <c r="G138" s="1" t="s">
        <v>124</v>
      </c>
      <c r="H138" s="1">
        <v>0</v>
      </c>
      <c r="I138" s="1">
        <v>73</v>
      </c>
      <c r="J138" s="1">
        <v>1</v>
      </c>
      <c r="K138" s="1">
        <v>2</v>
      </c>
      <c r="M138" s="1" t="s">
        <v>124</v>
      </c>
      <c r="N138" s="1">
        <f t="shared" si="34"/>
        <v>0</v>
      </c>
      <c r="O138" s="1">
        <f t="shared" si="35"/>
        <v>0.69523809523809521</v>
      </c>
      <c r="P138" s="1">
        <f t="shared" si="36"/>
        <v>1</v>
      </c>
      <c r="Q138" s="1">
        <f t="shared" si="37"/>
        <v>0.66666666666666663</v>
      </c>
      <c r="S138" s="1" t="s">
        <v>124</v>
      </c>
      <c r="T138" s="1">
        <f t="shared" si="38"/>
        <v>0</v>
      </c>
      <c r="U138" s="1">
        <f t="shared" si="39"/>
        <v>5.2953607275567714E-2</v>
      </c>
      <c r="V138" s="1">
        <f t="shared" si="40"/>
        <v>6.3148764190579729E-2</v>
      </c>
      <c r="W138" s="1">
        <f t="shared" si="41"/>
        <v>2.6906911759852478E-2</v>
      </c>
      <c r="Y138" s="1" t="s">
        <v>124</v>
      </c>
      <c r="Z138" s="1">
        <f t="shared" si="42"/>
        <v>0</v>
      </c>
      <c r="AA138" s="1">
        <f t="shared" si="43"/>
        <v>1.0590721455113543E-2</v>
      </c>
      <c r="AB138" s="1">
        <f t="shared" si="44"/>
        <v>1.8944629257173919E-2</v>
      </c>
      <c r="AC138" s="1">
        <f t="shared" si="45"/>
        <v>5.3813823519704958E-3</v>
      </c>
      <c r="AK138" s="17" t="s">
        <v>727</v>
      </c>
      <c r="AL138" s="17">
        <f t="shared" si="46"/>
        <v>3.404736905696306E-2</v>
      </c>
      <c r="AM138" s="17">
        <f t="shared" si="47"/>
        <v>7.8730539365942983E-3</v>
      </c>
      <c r="AO138" s="17" t="s">
        <v>1439</v>
      </c>
      <c r="AP138" s="17">
        <f t="shared" si="48"/>
        <v>0.23911130096303149</v>
      </c>
      <c r="AR138" s="1" t="s">
        <v>124</v>
      </c>
      <c r="AS138" s="17">
        <f t="shared" si="49"/>
        <v>0.23911130096303149</v>
      </c>
      <c r="AT138" s="17">
        <f t="shared" si="50"/>
        <v>666</v>
      </c>
    </row>
    <row r="139" spans="6:46" x14ac:dyDescent="0.3">
      <c r="F139" s="1">
        <v>137</v>
      </c>
      <c r="G139" s="1" t="s">
        <v>125</v>
      </c>
      <c r="H139" s="1">
        <v>3</v>
      </c>
      <c r="I139" s="1">
        <v>42</v>
      </c>
      <c r="J139" s="1">
        <v>2</v>
      </c>
      <c r="K139" s="1">
        <v>3</v>
      </c>
      <c r="M139" s="1" t="s">
        <v>125</v>
      </c>
      <c r="N139" s="1">
        <f t="shared" si="34"/>
        <v>0.42857142857142855</v>
      </c>
      <c r="O139" s="1">
        <f t="shared" si="35"/>
        <v>0.4</v>
      </c>
      <c r="P139" s="1">
        <f t="shared" si="36"/>
        <v>0.5</v>
      </c>
      <c r="Q139" s="1">
        <f t="shared" si="37"/>
        <v>1</v>
      </c>
      <c r="S139" s="1" t="s">
        <v>125</v>
      </c>
      <c r="T139" s="1">
        <f t="shared" si="38"/>
        <v>4.2874646285627281E-2</v>
      </c>
      <c r="U139" s="1">
        <f t="shared" si="39"/>
        <v>3.0466458980463618E-2</v>
      </c>
      <c r="V139" s="1">
        <f t="shared" si="40"/>
        <v>3.1574382095289864E-2</v>
      </c>
      <c r="W139" s="1">
        <f t="shared" si="41"/>
        <v>4.0360367639778717E-2</v>
      </c>
      <c r="Y139" s="1" t="s">
        <v>125</v>
      </c>
      <c r="Z139" s="1">
        <f t="shared" si="42"/>
        <v>1.2862393885688184E-2</v>
      </c>
      <c r="AA139" s="1">
        <f t="shared" si="43"/>
        <v>6.0932917960927237E-3</v>
      </c>
      <c r="AB139" s="1">
        <f t="shared" si="44"/>
        <v>9.4723146285869593E-3</v>
      </c>
      <c r="AC139" s="1">
        <f t="shared" si="45"/>
        <v>8.0720735279557441E-3</v>
      </c>
      <c r="AK139" s="17" t="s">
        <v>728</v>
      </c>
      <c r="AL139" s="17">
        <f t="shared" si="46"/>
        <v>2.0247395291835158E-2</v>
      </c>
      <c r="AM139" s="17">
        <f t="shared" si="47"/>
        <v>1.7103926186582411E-2</v>
      </c>
      <c r="AO139" s="17" t="s">
        <v>1440</v>
      </c>
      <c r="AP139" s="17">
        <f t="shared" si="48"/>
        <v>0.86185091413518222</v>
      </c>
      <c r="AR139" s="1" t="s">
        <v>125</v>
      </c>
      <c r="AS139" s="17">
        <f t="shared" si="49"/>
        <v>0.86185091413518222</v>
      </c>
      <c r="AT139" s="17">
        <f t="shared" si="50"/>
        <v>232</v>
      </c>
    </row>
    <row r="140" spans="6:46" x14ac:dyDescent="0.3">
      <c r="F140" s="1">
        <v>138</v>
      </c>
      <c r="G140" s="1" t="s">
        <v>126</v>
      </c>
      <c r="H140" s="1">
        <v>3</v>
      </c>
      <c r="I140" s="1">
        <v>35</v>
      </c>
      <c r="J140" s="1">
        <v>2</v>
      </c>
      <c r="K140" s="1">
        <v>3</v>
      </c>
      <c r="M140" s="1" t="s">
        <v>126</v>
      </c>
      <c r="N140" s="1">
        <f t="shared" si="34"/>
        <v>0.42857142857142855</v>
      </c>
      <c r="O140" s="1">
        <f t="shared" si="35"/>
        <v>0.33333333333333331</v>
      </c>
      <c r="P140" s="1">
        <f t="shared" si="36"/>
        <v>0.5</v>
      </c>
      <c r="Q140" s="1">
        <f t="shared" si="37"/>
        <v>1</v>
      </c>
      <c r="S140" s="1" t="s">
        <v>126</v>
      </c>
      <c r="T140" s="1">
        <f t="shared" si="38"/>
        <v>4.2874646285627281E-2</v>
      </c>
      <c r="U140" s="1">
        <f t="shared" si="39"/>
        <v>2.5388715817053011E-2</v>
      </c>
      <c r="V140" s="1">
        <f t="shared" si="40"/>
        <v>3.1574382095289864E-2</v>
      </c>
      <c r="W140" s="1">
        <f t="shared" si="41"/>
        <v>4.0360367639778717E-2</v>
      </c>
      <c r="Y140" s="1" t="s">
        <v>126</v>
      </c>
      <c r="Z140" s="1">
        <f t="shared" si="42"/>
        <v>1.2862393885688184E-2</v>
      </c>
      <c r="AA140" s="1">
        <f t="shared" si="43"/>
        <v>5.0777431634106028E-3</v>
      </c>
      <c r="AB140" s="1">
        <f t="shared" si="44"/>
        <v>9.4723146285869593E-3</v>
      </c>
      <c r="AC140" s="1">
        <f t="shared" si="45"/>
        <v>8.0720735279557441E-3</v>
      </c>
      <c r="AK140" s="17" t="s">
        <v>729</v>
      </c>
      <c r="AL140" s="17">
        <f t="shared" si="46"/>
        <v>2.0725647338149331E-2</v>
      </c>
      <c r="AM140" s="17">
        <f t="shared" si="47"/>
        <v>1.6961198783172784E-2</v>
      </c>
      <c r="AO140" s="17" t="s">
        <v>1441</v>
      </c>
      <c r="AP140" s="17">
        <f t="shared" si="48"/>
        <v>0.83532882351606141</v>
      </c>
      <c r="AR140" s="1" t="s">
        <v>126</v>
      </c>
      <c r="AS140" s="17">
        <f t="shared" si="49"/>
        <v>0.83532882351606141</v>
      </c>
      <c r="AT140" s="17">
        <f t="shared" si="50"/>
        <v>283</v>
      </c>
    </row>
    <row r="141" spans="6:46" x14ac:dyDescent="0.3">
      <c r="F141" s="1">
        <v>139</v>
      </c>
      <c r="G141" s="1" t="s">
        <v>127</v>
      </c>
      <c r="H141" s="1">
        <v>3</v>
      </c>
      <c r="I141" s="1">
        <v>88</v>
      </c>
      <c r="J141" s="1">
        <v>1</v>
      </c>
      <c r="K141" s="1">
        <v>2</v>
      </c>
      <c r="M141" s="1" t="s">
        <v>127</v>
      </c>
      <c r="N141" s="1">
        <f t="shared" si="34"/>
        <v>0.42857142857142855</v>
      </c>
      <c r="O141" s="1">
        <f t="shared" si="35"/>
        <v>0.83809523809523812</v>
      </c>
      <c r="P141" s="1">
        <f t="shared" si="36"/>
        <v>1</v>
      </c>
      <c r="Q141" s="1">
        <f t="shared" si="37"/>
        <v>0.66666666666666663</v>
      </c>
      <c r="S141" s="1" t="s">
        <v>127</v>
      </c>
      <c r="T141" s="1">
        <f t="shared" si="38"/>
        <v>4.2874646285627281E-2</v>
      </c>
      <c r="U141" s="1">
        <f t="shared" si="39"/>
        <v>6.3834485482876152E-2</v>
      </c>
      <c r="V141" s="1">
        <f t="shared" si="40"/>
        <v>6.3148764190579729E-2</v>
      </c>
      <c r="W141" s="1">
        <f t="shared" si="41"/>
        <v>2.6906911759852478E-2</v>
      </c>
      <c r="Y141" s="1" t="s">
        <v>127</v>
      </c>
      <c r="Z141" s="1">
        <f t="shared" si="42"/>
        <v>1.2862393885688184E-2</v>
      </c>
      <c r="AA141" s="1">
        <f t="shared" si="43"/>
        <v>1.2766897096575231E-2</v>
      </c>
      <c r="AB141" s="1">
        <f t="shared" si="44"/>
        <v>1.8944629257173919E-2</v>
      </c>
      <c r="AC141" s="1">
        <f t="shared" si="45"/>
        <v>5.3813823519704958E-3</v>
      </c>
      <c r="AK141" s="17" t="s">
        <v>730</v>
      </c>
      <c r="AL141" s="17">
        <f t="shared" si="46"/>
        <v>2.3176186210463579E-2</v>
      </c>
      <c r="AM141" s="17">
        <f t="shared" si="47"/>
        <v>1.6259302877262082E-2</v>
      </c>
      <c r="AO141" s="17" t="s">
        <v>1442</v>
      </c>
      <c r="AP141" s="17">
        <f t="shared" si="48"/>
        <v>0.7178114361579887</v>
      </c>
      <c r="AR141" s="1" t="s">
        <v>127</v>
      </c>
      <c r="AS141" s="17">
        <f t="shared" si="49"/>
        <v>0.7178114361579887</v>
      </c>
      <c r="AT141" s="17">
        <f t="shared" si="50"/>
        <v>331</v>
      </c>
    </row>
    <row r="142" spans="6:46" x14ac:dyDescent="0.3">
      <c r="F142" s="1">
        <v>140</v>
      </c>
      <c r="G142" s="1" t="s">
        <v>127</v>
      </c>
      <c r="H142" s="1">
        <v>1</v>
      </c>
      <c r="I142" s="1">
        <v>85</v>
      </c>
      <c r="J142" s="1">
        <v>1</v>
      </c>
      <c r="K142" s="1">
        <v>2</v>
      </c>
      <c r="M142" s="1" t="s">
        <v>127</v>
      </c>
      <c r="N142" s="1">
        <f t="shared" si="34"/>
        <v>0.14285714285714285</v>
      </c>
      <c r="O142" s="1">
        <f t="shared" si="35"/>
        <v>0.80952380952380953</v>
      </c>
      <c r="P142" s="1">
        <f t="shared" si="36"/>
        <v>1</v>
      </c>
      <c r="Q142" s="1">
        <f t="shared" si="37"/>
        <v>0.66666666666666663</v>
      </c>
      <c r="S142" s="1" t="s">
        <v>127</v>
      </c>
      <c r="T142" s="1">
        <f t="shared" si="38"/>
        <v>1.4291548761875762E-2</v>
      </c>
      <c r="U142" s="1">
        <f t="shared" si="39"/>
        <v>6.165830984141446E-2</v>
      </c>
      <c r="V142" s="1">
        <f t="shared" si="40"/>
        <v>6.3148764190579729E-2</v>
      </c>
      <c r="W142" s="1">
        <f t="shared" si="41"/>
        <v>2.6906911759852478E-2</v>
      </c>
      <c r="Y142" s="1" t="s">
        <v>127</v>
      </c>
      <c r="Z142" s="1">
        <f t="shared" si="42"/>
        <v>4.2874646285627283E-3</v>
      </c>
      <c r="AA142" s="1">
        <f t="shared" si="43"/>
        <v>1.2331661968282892E-2</v>
      </c>
      <c r="AB142" s="1">
        <f t="shared" si="44"/>
        <v>1.8944629257173919E-2</v>
      </c>
      <c r="AC142" s="1">
        <f t="shared" si="45"/>
        <v>5.3813823519704958E-3</v>
      </c>
      <c r="AK142" s="17" t="s">
        <v>731</v>
      </c>
      <c r="AL142" s="17">
        <f t="shared" si="46"/>
        <v>3.0118415706906661E-2</v>
      </c>
      <c r="AM142" s="17">
        <f t="shared" si="47"/>
        <v>1.0447996602145593E-2</v>
      </c>
      <c r="AO142" s="17" t="s">
        <v>1443</v>
      </c>
      <c r="AP142" s="17">
        <f t="shared" si="48"/>
        <v>0.35734528043735381</v>
      </c>
      <c r="AR142" s="1" t="s">
        <v>127</v>
      </c>
      <c r="AS142" s="17">
        <f t="shared" si="49"/>
        <v>0.35734528043735381</v>
      </c>
      <c r="AT142" s="17">
        <f t="shared" si="50"/>
        <v>626</v>
      </c>
    </row>
    <row r="143" spans="6:46" x14ac:dyDescent="0.3">
      <c r="F143" s="1">
        <v>141</v>
      </c>
      <c r="G143" s="1" t="s">
        <v>128</v>
      </c>
      <c r="H143" s="1">
        <v>2</v>
      </c>
      <c r="I143" s="1">
        <v>43</v>
      </c>
      <c r="J143" s="1">
        <v>5</v>
      </c>
      <c r="K143" s="1">
        <v>3</v>
      </c>
      <c r="M143" s="1" t="s">
        <v>128</v>
      </c>
      <c r="N143" s="1">
        <f t="shared" si="34"/>
        <v>0.2857142857142857</v>
      </c>
      <c r="O143" s="1">
        <f t="shared" si="35"/>
        <v>0.40952380952380951</v>
      </c>
      <c r="P143" s="1">
        <f t="shared" si="36"/>
        <v>0.2</v>
      </c>
      <c r="Q143" s="1">
        <f t="shared" si="37"/>
        <v>1</v>
      </c>
      <c r="S143" s="1" t="s">
        <v>128</v>
      </c>
      <c r="T143" s="1">
        <f t="shared" si="38"/>
        <v>2.8583097523751523E-2</v>
      </c>
      <c r="U143" s="1">
        <f t="shared" si="39"/>
        <v>3.1191850860950845E-2</v>
      </c>
      <c r="V143" s="1">
        <f t="shared" si="40"/>
        <v>1.2629752838115946E-2</v>
      </c>
      <c r="W143" s="1">
        <f t="shared" si="41"/>
        <v>4.0360367639778717E-2</v>
      </c>
      <c r="Y143" s="1" t="s">
        <v>128</v>
      </c>
      <c r="Z143" s="1">
        <f t="shared" si="42"/>
        <v>8.5749292571254566E-3</v>
      </c>
      <c r="AA143" s="1">
        <f t="shared" si="43"/>
        <v>6.2383701721901693E-3</v>
      </c>
      <c r="AB143" s="1">
        <f t="shared" si="44"/>
        <v>3.7889258514347836E-3</v>
      </c>
      <c r="AC143" s="1">
        <f t="shared" si="45"/>
        <v>8.0720735279557441E-3</v>
      </c>
      <c r="AK143" s="17" t="s">
        <v>732</v>
      </c>
      <c r="AL143" s="17">
        <f t="shared" si="46"/>
        <v>2.3247931471009928E-2</v>
      </c>
      <c r="AM143" s="17">
        <f t="shared" si="47"/>
        <v>1.847880095497598E-2</v>
      </c>
      <c r="AO143" s="17" t="s">
        <v>1444</v>
      </c>
      <c r="AP143" s="17">
        <f t="shared" si="48"/>
        <v>0.81333665650306919</v>
      </c>
      <c r="AR143" s="1" t="s">
        <v>128</v>
      </c>
      <c r="AS143" s="17">
        <f t="shared" si="49"/>
        <v>0.81333665650306919</v>
      </c>
      <c r="AT143" s="17">
        <f t="shared" si="50"/>
        <v>304</v>
      </c>
    </row>
    <row r="144" spans="6:46" x14ac:dyDescent="0.3">
      <c r="F144" s="1">
        <v>142</v>
      </c>
      <c r="G144" s="1" t="s">
        <v>129</v>
      </c>
      <c r="H144" s="1">
        <v>0</v>
      </c>
      <c r="I144" s="1">
        <v>74</v>
      </c>
      <c r="J144" s="1">
        <v>1</v>
      </c>
      <c r="K144" s="1">
        <v>1</v>
      </c>
      <c r="M144" s="1" t="s">
        <v>129</v>
      </c>
      <c r="N144" s="1">
        <f t="shared" si="34"/>
        <v>0</v>
      </c>
      <c r="O144" s="1">
        <f t="shared" si="35"/>
        <v>0.70476190476190481</v>
      </c>
      <c r="P144" s="1">
        <f t="shared" si="36"/>
        <v>1</v>
      </c>
      <c r="Q144" s="1">
        <f t="shared" si="37"/>
        <v>0.33333333333333331</v>
      </c>
      <c r="S144" s="1" t="s">
        <v>129</v>
      </c>
      <c r="T144" s="1">
        <f t="shared" si="38"/>
        <v>0</v>
      </c>
      <c r="U144" s="1">
        <f t="shared" si="39"/>
        <v>5.3678999156054945E-2</v>
      </c>
      <c r="V144" s="1">
        <f t="shared" si="40"/>
        <v>6.3148764190579729E-2</v>
      </c>
      <c r="W144" s="1">
        <f t="shared" si="41"/>
        <v>1.3453455879926239E-2</v>
      </c>
      <c r="Y144" s="1" t="s">
        <v>129</v>
      </c>
      <c r="Z144" s="1">
        <f t="shared" si="42"/>
        <v>0</v>
      </c>
      <c r="AA144" s="1">
        <f t="shared" si="43"/>
        <v>1.073579983121099E-2</v>
      </c>
      <c r="AB144" s="1">
        <f t="shared" si="44"/>
        <v>1.8944629257173919E-2</v>
      </c>
      <c r="AC144" s="1">
        <f t="shared" si="45"/>
        <v>2.6906911759852479E-3</v>
      </c>
      <c r="AK144" s="17" t="s">
        <v>733</v>
      </c>
      <c r="AL144" s="17">
        <f t="shared" si="46"/>
        <v>3.4345549775717993E-2</v>
      </c>
      <c r="AM144" s="17">
        <f t="shared" si="47"/>
        <v>7.5440755570671814E-3</v>
      </c>
      <c r="AO144" s="17" t="s">
        <v>1445</v>
      </c>
      <c r="AP144" s="17">
        <f t="shared" si="48"/>
        <v>0.22719627522576422</v>
      </c>
      <c r="AR144" s="1" t="s">
        <v>129</v>
      </c>
      <c r="AS144" s="17">
        <f t="shared" si="49"/>
        <v>0.22719627522576422</v>
      </c>
      <c r="AT144" s="17">
        <f t="shared" si="50"/>
        <v>675</v>
      </c>
    </row>
    <row r="145" spans="6:46" x14ac:dyDescent="0.3">
      <c r="F145" s="1">
        <v>143</v>
      </c>
      <c r="G145" s="1" t="s">
        <v>130</v>
      </c>
      <c r="H145" s="1">
        <v>2</v>
      </c>
      <c r="I145" s="1">
        <v>36</v>
      </c>
      <c r="J145" s="1">
        <v>1</v>
      </c>
      <c r="K145" s="1">
        <v>2</v>
      </c>
      <c r="M145" s="1" t="s">
        <v>130</v>
      </c>
      <c r="N145" s="1">
        <f t="shared" si="34"/>
        <v>0.2857142857142857</v>
      </c>
      <c r="O145" s="1">
        <f t="shared" si="35"/>
        <v>0.34285714285714286</v>
      </c>
      <c r="P145" s="1">
        <f t="shared" si="36"/>
        <v>1</v>
      </c>
      <c r="Q145" s="1">
        <f t="shared" si="37"/>
        <v>0.66666666666666663</v>
      </c>
      <c r="S145" s="1" t="s">
        <v>130</v>
      </c>
      <c r="T145" s="1">
        <f t="shared" si="38"/>
        <v>2.8583097523751523E-2</v>
      </c>
      <c r="U145" s="1">
        <f t="shared" si="39"/>
        <v>2.6114107697540242E-2</v>
      </c>
      <c r="V145" s="1">
        <f t="shared" si="40"/>
        <v>6.3148764190579729E-2</v>
      </c>
      <c r="W145" s="1">
        <f t="shared" si="41"/>
        <v>2.6906911759852478E-2</v>
      </c>
      <c r="Y145" s="1" t="s">
        <v>130</v>
      </c>
      <c r="Z145" s="1">
        <f t="shared" si="42"/>
        <v>8.5749292571254566E-3</v>
      </c>
      <c r="AA145" s="1">
        <f t="shared" si="43"/>
        <v>5.2228215395080484E-3</v>
      </c>
      <c r="AB145" s="1">
        <f t="shared" si="44"/>
        <v>1.8944629257173919E-2</v>
      </c>
      <c r="AC145" s="1">
        <f t="shared" si="45"/>
        <v>5.3813823519704958E-3</v>
      </c>
      <c r="AK145" s="17" t="s">
        <v>734</v>
      </c>
      <c r="AL145" s="17">
        <f t="shared" si="46"/>
        <v>2.8225914610453009E-2</v>
      </c>
      <c r="AM145" s="17">
        <f t="shared" si="47"/>
        <v>9.2138258541498985E-3</v>
      </c>
      <c r="AO145" s="17" t="s">
        <v>1446</v>
      </c>
      <c r="AP145" s="17">
        <f t="shared" si="48"/>
        <v>0.33564526240138959</v>
      </c>
      <c r="AR145" s="1" t="s">
        <v>130</v>
      </c>
      <c r="AS145" s="17">
        <f t="shared" si="49"/>
        <v>0.33564526240138959</v>
      </c>
      <c r="AT145" s="17">
        <f t="shared" si="50"/>
        <v>637</v>
      </c>
    </row>
    <row r="146" spans="6:46" x14ac:dyDescent="0.3">
      <c r="F146" s="1">
        <v>144</v>
      </c>
      <c r="G146" s="1" t="s">
        <v>131</v>
      </c>
      <c r="H146" s="1">
        <v>3</v>
      </c>
      <c r="I146" s="1">
        <v>56</v>
      </c>
      <c r="J146" s="1">
        <v>1</v>
      </c>
      <c r="K146" s="1">
        <v>3</v>
      </c>
      <c r="M146" s="1" t="s">
        <v>131</v>
      </c>
      <c r="N146" s="1">
        <f t="shared" si="34"/>
        <v>0.42857142857142855</v>
      </c>
      <c r="O146" s="1">
        <f t="shared" si="35"/>
        <v>0.53333333333333333</v>
      </c>
      <c r="P146" s="1">
        <f t="shared" si="36"/>
        <v>1</v>
      </c>
      <c r="Q146" s="1">
        <f t="shared" si="37"/>
        <v>1</v>
      </c>
      <c r="S146" s="1" t="s">
        <v>131</v>
      </c>
      <c r="T146" s="1">
        <f t="shared" si="38"/>
        <v>4.2874646285627281E-2</v>
      </c>
      <c r="U146" s="1">
        <f t="shared" si="39"/>
        <v>4.0621945307284822E-2</v>
      </c>
      <c r="V146" s="1">
        <f t="shared" si="40"/>
        <v>6.3148764190579729E-2</v>
      </c>
      <c r="W146" s="1">
        <f t="shared" si="41"/>
        <v>4.0360367639778717E-2</v>
      </c>
      <c r="Y146" s="1" t="s">
        <v>131</v>
      </c>
      <c r="Z146" s="1">
        <f t="shared" si="42"/>
        <v>1.2862393885688184E-2</v>
      </c>
      <c r="AA146" s="1">
        <f t="shared" si="43"/>
        <v>8.1243890614569655E-3</v>
      </c>
      <c r="AB146" s="1">
        <f t="shared" si="44"/>
        <v>1.8944629257173919E-2</v>
      </c>
      <c r="AC146" s="1">
        <f t="shared" si="45"/>
        <v>8.0720735279557441E-3</v>
      </c>
      <c r="AK146" s="17" t="s">
        <v>735</v>
      </c>
      <c r="AL146" s="17">
        <f t="shared" si="46"/>
        <v>2.3965571243417944E-2</v>
      </c>
      <c r="AM146" s="17">
        <f t="shared" si="47"/>
        <v>1.4789578573870435E-2</v>
      </c>
      <c r="AO146" s="17" t="s">
        <v>1447</v>
      </c>
      <c r="AP146" s="17">
        <f t="shared" si="48"/>
        <v>0.6319072939687137</v>
      </c>
      <c r="AR146" s="1" t="s">
        <v>131</v>
      </c>
      <c r="AS146" s="17">
        <f t="shared" si="49"/>
        <v>0.6319072939687137</v>
      </c>
      <c r="AT146" s="17">
        <f t="shared" si="50"/>
        <v>398</v>
      </c>
    </row>
    <row r="147" spans="6:46" x14ac:dyDescent="0.3">
      <c r="F147" s="1">
        <v>145</v>
      </c>
      <c r="G147" s="1" t="s">
        <v>132</v>
      </c>
      <c r="H147" s="1">
        <v>1</v>
      </c>
      <c r="I147" s="1">
        <v>60</v>
      </c>
      <c r="J147" s="1">
        <v>1</v>
      </c>
      <c r="K147" s="1">
        <v>1</v>
      </c>
      <c r="M147" s="1" t="s">
        <v>132</v>
      </c>
      <c r="N147" s="1">
        <f t="shared" si="34"/>
        <v>0.14285714285714285</v>
      </c>
      <c r="O147" s="1">
        <f t="shared" si="35"/>
        <v>0.5714285714285714</v>
      </c>
      <c r="P147" s="1">
        <f t="shared" si="36"/>
        <v>1</v>
      </c>
      <c r="Q147" s="1">
        <f t="shared" si="37"/>
        <v>0.33333333333333331</v>
      </c>
      <c r="S147" s="1" t="s">
        <v>132</v>
      </c>
      <c r="T147" s="1">
        <f t="shared" si="38"/>
        <v>1.4291548761875762E-2</v>
      </c>
      <c r="U147" s="1">
        <f t="shared" si="39"/>
        <v>4.3523512829233738E-2</v>
      </c>
      <c r="V147" s="1">
        <f t="shared" si="40"/>
        <v>6.3148764190579729E-2</v>
      </c>
      <c r="W147" s="1">
        <f t="shared" si="41"/>
        <v>1.3453455879926239E-2</v>
      </c>
      <c r="Y147" s="1" t="s">
        <v>132</v>
      </c>
      <c r="Z147" s="1">
        <f t="shared" si="42"/>
        <v>4.2874646285627283E-3</v>
      </c>
      <c r="AA147" s="1">
        <f t="shared" si="43"/>
        <v>8.7047025658467479E-3</v>
      </c>
      <c r="AB147" s="1">
        <f t="shared" si="44"/>
        <v>1.8944629257173919E-2</v>
      </c>
      <c r="AC147" s="1">
        <f t="shared" si="45"/>
        <v>2.6906911759852479E-3</v>
      </c>
      <c r="AK147" s="17" t="s">
        <v>736</v>
      </c>
      <c r="AL147" s="17">
        <f t="shared" si="46"/>
        <v>3.1032901756452107E-2</v>
      </c>
      <c r="AM147" s="17">
        <f t="shared" si="47"/>
        <v>6.9839303107895054E-3</v>
      </c>
      <c r="AO147" s="17" t="s">
        <v>1448</v>
      </c>
      <c r="AP147" s="17">
        <f t="shared" si="48"/>
        <v>0.23203314954267987</v>
      </c>
      <c r="AR147" s="1" t="s">
        <v>132</v>
      </c>
      <c r="AS147" s="17">
        <f t="shared" si="49"/>
        <v>0.23203314954267987</v>
      </c>
      <c r="AT147" s="17">
        <f t="shared" si="50"/>
        <v>669</v>
      </c>
    </row>
    <row r="148" spans="6:46" x14ac:dyDescent="0.3">
      <c r="F148" s="1">
        <v>146</v>
      </c>
      <c r="G148" s="1" t="s">
        <v>133</v>
      </c>
      <c r="H148" s="1">
        <v>1</v>
      </c>
      <c r="I148" s="1">
        <v>54</v>
      </c>
      <c r="J148" s="1">
        <v>1</v>
      </c>
      <c r="K148" s="1">
        <v>2</v>
      </c>
      <c r="M148" s="1" t="s">
        <v>133</v>
      </c>
      <c r="N148" s="1">
        <f t="shared" si="34"/>
        <v>0.14285714285714285</v>
      </c>
      <c r="O148" s="1">
        <f t="shared" si="35"/>
        <v>0.51428571428571423</v>
      </c>
      <c r="P148" s="1">
        <f t="shared" si="36"/>
        <v>1</v>
      </c>
      <c r="Q148" s="1">
        <f t="shared" si="37"/>
        <v>0.66666666666666663</v>
      </c>
      <c r="S148" s="1" t="s">
        <v>133</v>
      </c>
      <c r="T148" s="1">
        <f t="shared" si="38"/>
        <v>1.4291548761875762E-2</v>
      </c>
      <c r="U148" s="1">
        <f t="shared" si="39"/>
        <v>3.9171161546310361E-2</v>
      </c>
      <c r="V148" s="1">
        <f t="shared" si="40"/>
        <v>6.3148764190579729E-2</v>
      </c>
      <c r="W148" s="1">
        <f t="shared" si="41"/>
        <v>2.6906911759852478E-2</v>
      </c>
      <c r="Y148" s="1" t="s">
        <v>133</v>
      </c>
      <c r="Z148" s="1">
        <f t="shared" si="42"/>
        <v>4.2874646285627283E-3</v>
      </c>
      <c r="AA148" s="1">
        <f t="shared" si="43"/>
        <v>7.8342323092620725E-3</v>
      </c>
      <c r="AB148" s="1">
        <f t="shared" si="44"/>
        <v>1.8944629257173919E-2</v>
      </c>
      <c r="AC148" s="1">
        <f t="shared" si="45"/>
        <v>5.3813823519704958E-3</v>
      </c>
      <c r="AK148" s="17" t="s">
        <v>737</v>
      </c>
      <c r="AL148" s="17">
        <f t="shared" si="46"/>
        <v>3.0877905205722929E-2</v>
      </c>
      <c r="AM148" s="17">
        <f t="shared" si="47"/>
        <v>6.8684097724174154E-3</v>
      </c>
      <c r="AO148" s="17" t="s">
        <v>1449</v>
      </c>
      <c r="AP148" s="17">
        <f t="shared" si="48"/>
        <v>0.2293060954462636</v>
      </c>
      <c r="AR148" s="1" t="s">
        <v>133</v>
      </c>
      <c r="AS148" s="17">
        <f t="shared" si="49"/>
        <v>0.2293060954462636</v>
      </c>
      <c r="AT148" s="17">
        <f t="shared" si="50"/>
        <v>672</v>
      </c>
    </row>
    <row r="149" spans="6:46" x14ac:dyDescent="0.3">
      <c r="F149" s="1">
        <v>147</v>
      </c>
      <c r="G149" s="1" t="s">
        <v>134</v>
      </c>
      <c r="H149" s="1">
        <v>0</v>
      </c>
      <c r="I149" s="1">
        <v>67</v>
      </c>
      <c r="J149" s="1">
        <v>2</v>
      </c>
      <c r="K149" s="1">
        <v>2</v>
      </c>
      <c r="M149" s="1" t="s">
        <v>134</v>
      </c>
      <c r="N149" s="1">
        <f t="shared" si="34"/>
        <v>0</v>
      </c>
      <c r="O149" s="1">
        <f t="shared" si="35"/>
        <v>0.63809523809523805</v>
      </c>
      <c r="P149" s="1">
        <f t="shared" si="36"/>
        <v>0.5</v>
      </c>
      <c r="Q149" s="1">
        <f t="shared" si="37"/>
        <v>0.66666666666666663</v>
      </c>
      <c r="S149" s="1" t="s">
        <v>134</v>
      </c>
      <c r="T149" s="1">
        <f t="shared" si="38"/>
        <v>0</v>
      </c>
      <c r="U149" s="1">
        <f t="shared" si="39"/>
        <v>4.8601255992644338E-2</v>
      </c>
      <c r="V149" s="1">
        <f t="shared" si="40"/>
        <v>3.1574382095289864E-2</v>
      </c>
      <c r="W149" s="1">
        <f t="shared" si="41"/>
        <v>2.6906911759852478E-2</v>
      </c>
      <c r="Y149" s="1" t="s">
        <v>134</v>
      </c>
      <c r="Z149" s="1">
        <f t="shared" si="42"/>
        <v>0</v>
      </c>
      <c r="AA149" s="1">
        <f t="shared" si="43"/>
        <v>9.7202511985288679E-3</v>
      </c>
      <c r="AB149" s="1">
        <f t="shared" si="44"/>
        <v>9.4723146285869593E-3</v>
      </c>
      <c r="AC149" s="1">
        <f t="shared" si="45"/>
        <v>5.3813823519704958E-3</v>
      </c>
      <c r="AK149" s="17" t="s">
        <v>738</v>
      </c>
      <c r="AL149" s="17">
        <f t="shared" si="46"/>
        <v>3.1155560511074459E-2</v>
      </c>
      <c r="AM149" s="17">
        <f t="shared" si="47"/>
        <v>1.1814661536831601E-2</v>
      </c>
      <c r="AO149" s="17" t="s">
        <v>1450</v>
      </c>
      <c r="AP149" s="17">
        <f t="shared" si="48"/>
        <v>0.39102984312960049</v>
      </c>
      <c r="AR149" s="1" t="s">
        <v>134</v>
      </c>
      <c r="AS149" s="17">
        <f t="shared" si="49"/>
        <v>0.39102984312960049</v>
      </c>
      <c r="AT149" s="17">
        <f t="shared" si="50"/>
        <v>605</v>
      </c>
    </row>
    <row r="150" spans="6:46" x14ac:dyDescent="0.3">
      <c r="F150" s="1">
        <v>148</v>
      </c>
      <c r="G150" s="1" t="s">
        <v>135</v>
      </c>
      <c r="H150" s="1">
        <v>3</v>
      </c>
      <c r="I150" s="1">
        <v>59</v>
      </c>
      <c r="J150" s="1">
        <v>2</v>
      </c>
      <c r="K150" s="1">
        <v>3</v>
      </c>
      <c r="M150" s="1" t="s">
        <v>135</v>
      </c>
      <c r="N150" s="1">
        <f t="shared" si="34"/>
        <v>0.42857142857142855</v>
      </c>
      <c r="O150" s="1">
        <f t="shared" si="35"/>
        <v>0.56190476190476191</v>
      </c>
      <c r="P150" s="1">
        <f t="shared" si="36"/>
        <v>0.5</v>
      </c>
      <c r="Q150" s="1">
        <f t="shared" si="37"/>
        <v>1</v>
      </c>
      <c r="S150" s="1" t="s">
        <v>135</v>
      </c>
      <c r="T150" s="1">
        <f t="shared" si="38"/>
        <v>4.2874646285627281E-2</v>
      </c>
      <c r="U150" s="1">
        <f t="shared" si="39"/>
        <v>4.2798120948746507E-2</v>
      </c>
      <c r="V150" s="1">
        <f t="shared" si="40"/>
        <v>3.1574382095289864E-2</v>
      </c>
      <c r="W150" s="1">
        <f t="shared" si="41"/>
        <v>4.0360367639778717E-2</v>
      </c>
      <c r="Y150" s="1" t="s">
        <v>135</v>
      </c>
      <c r="Z150" s="1">
        <f t="shared" si="42"/>
        <v>1.2862393885688184E-2</v>
      </c>
      <c r="AA150" s="1">
        <f t="shared" si="43"/>
        <v>8.5596241897493014E-3</v>
      </c>
      <c r="AB150" s="1">
        <f t="shared" si="44"/>
        <v>9.4723146285869593E-3</v>
      </c>
      <c r="AC150" s="1">
        <f t="shared" si="45"/>
        <v>8.0720735279557441E-3</v>
      </c>
      <c r="AK150" s="17" t="s">
        <v>739</v>
      </c>
      <c r="AL150" s="17">
        <f t="shared" si="46"/>
        <v>1.9260206716380596E-2</v>
      </c>
      <c r="AM150" s="17">
        <f t="shared" si="47"/>
        <v>1.7690097411139041E-2</v>
      </c>
      <c r="AO150" s="17" t="s">
        <v>1451</v>
      </c>
      <c r="AP150" s="17">
        <f t="shared" si="48"/>
        <v>0.93616920158886352</v>
      </c>
      <c r="AR150" s="1" t="s">
        <v>135</v>
      </c>
      <c r="AS150" s="17">
        <f t="shared" si="49"/>
        <v>0.93616920158886352</v>
      </c>
      <c r="AT150" s="17">
        <f t="shared" si="50"/>
        <v>164</v>
      </c>
    </row>
    <row r="151" spans="6:46" x14ac:dyDescent="0.3">
      <c r="F151" s="1">
        <v>149</v>
      </c>
      <c r="G151" s="1" t="s">
        <v>136</v>
      </c>
      <c r="H151" s="1">
        <v>3</v>
      </c>
      <c r="I151" s="1">
        <v>53</v>
      </c>
      <c r="J151" s="1">
        <v>2</v>
      </c>
      <c r="K151" s="1">
        <v>3</v>
      </c>
      <c r="M151" s="1" t="s">
        <v>136</v>
      </c>
      <c r="N151" s="1">
        <f t="shared" si="34"/>
        <v>0.42857142857142855</v>
      </c>
      <c r="O151" s="1">
        <f t="shared" si="35"/>
        <v>0.50476190476190474</v>
      </c>
      <c r="P151" s="1">
        <f t="shared" si="36"/>
        <v>0.5</v>
      </c>
      <c r="Q151" s="1">
        <f t="shared" si="37"/>
        <v>1</v>
      </c>
      <c r="S151" s="1" t="s">
        <v>136</v>
      </c>
      <c r="T151" s="1">
        <f t="shared" si="38"/>
        <v>4.2874646285627281E-2</v>
      </c>
      <c r="U151" s="1">
        <f t="shared" si="39"/>
        <v>3.844576966582313E-2</v>
      </c>
      <c r="V151" s="1">
        <f t="shared" si="40"/>
        <v>3.1574382095289864E-2</v>
      </c>
      <c r="W151" s="1">
        <f t="shared" si="41"/>
        <v>4.0360367639778717E-2</v>
      </c>
      <c r="Y151" s="1" t="s">
        <v>136</v>
      </c>
      <c r="Z151" s="1">
        <f t="shared" si="42"/>
        <v>1.2862393885688184E-2</v>
      </c>
      <c r="AA151" s="1">
        <f t="shared" si="43"/>
        <v>7.6891539331646261E-3</v>
      </c>
      <c r="AB151" s="1">
        <f t="shared" si="44"/>
        <v>9.4723146285869593E-3</v>
      </c>
      <c r="AC151" s="1">
        <f t="shared" si="45"/>
        <v>8.0720735279557441E-3</v>
      </c>
      <c r="AK151" s="17" t="s">
        <v>740</v>
      </c>
      <c r="AL151" s="17">
        <f t="shared" si="46"/>
        <v>1.9578856735310735E-2</v>
      </c>
      <c r="AM151" s="17">
        <f t="shared" si="47"/>
        <v>1.7445689165219897E-2</v>
      </c>
      <c r="AO151" s="17" t="s">
        <v>1452</v>
      </c>
      <c r="AP151" s="17">
        <f t="shared" si="48"/>
        <v>0.90849307773701327</v>
      </c>
      <c r="AR151" s="1" t="s">
        <v>136</v>
      </c>
      <c r="AS151" s="17">
        <f t="shared" si="49"/>
        <v>0.90849307773701327</v>
      </c>
      <c r="AT151" s="17">
        <f t="shared" si="50"/>
        <v>176</v>
      </c>
    </row>
    <row r="152" spans="6:46" x14ac:dyDescent="0.3">
      <c r="F152" s="1">
        <v>150</v>
      </c>
      <c r="G152" s="1" t="s">
        <v>137</v>
      </c>
      <c r="H152" s="1">
        <v>5</v>
      </c>
      <c r="I152" s="1">
        <v>50</v>
      </c>
      <c r="J152" s="1">
        <v>2</v>
      </c>
      <c r="K152" s="1">
        <v>3</v>
      </c>
      <c r="M152" s="1" t="s">
        <v>137</v>
      </c>
      <c r="N152" s="1">
        <f t="shared" si="34"/>
        <v>0.7142857142857143</v>
      </c>
      <c r="O152" s="1">
        <f t="shared" si="35"/>
        <v>0.47619047619047616</v>
      </c>
      <c r="P152" s="1">
        <f t="shared" si="36"/>
        <v>0.5</v>
      </c>
      <c r="Q152" s="1">
        <f t="shared" si="37"/>
        <v>1</v>
      </c>
      <c r="S152" s="1" t="s">
        <v>137</v>
      </c>
      <c r="T152" s="1">
        <f t="shared" si="38"/>
        <v>7.1457743809378804E-2</v>
      </c>
      <c r="U152" s="1">
        <f t="shared" si="39"/>
        <v>3.6269594024361446E-2</v>
      </c>
      <c r="V152" s="1">
        <f t="shared" si="40"/>
        <v>3.1574382095289864E-2</v>
      </c>
      <c r="W152" s="1">
        <f t="shared" si="41"/>
        <v>4.0360367639778717E-2</v>
      </c>
      <c r="Y152" s="1" t="s">
        <v>137</v>
      </c>
      <c r="Z152" s="1">
        <f t="shared" si="42"/>
        <v>2.1437323142813641E-2</v>
      </c>
      <c r="AA152" s="1">
        <f t="shared" si="43"/>
        <v>7.2539188048722893E-3</v>
      </c>
      <c r="AB152" s="1">
        <f t="shared" si="44"/>
        <v>9.4723146285869593E-3</v>
      </c>
      <c r="AC152" s="1">
        <f t="shared" si="45"/>
        <v>8.0720735279557441E-3</v>
      </c>
      <c r="AK152" s="17" t="s">
        <v>741</v>
      </c>
      <c r="AL152" s="17">
        <f t="shared" si="46"/>
        <v>1.3019205765731567E-2</v>
      </c>
      <c r="AM152" s="17">
        <f t="shared" si="47"/>
        <v>2.4387379284702481E-2</v>
      </c>
      <c r="AO152" s="17" t="s">
        <v>1453</v>
      </c>
      <c r="AP152" s="17">
        <f t="shared" si="48"/>
        <v>1.8975722511985937</v>
      </c>
      <c r="AR152" s="1" t="s">
        <v>137</v>
      </c>
      <c r="AS152" s="17">
        <f t="shared" si="49"/>
        <v>1.8975722511985937</v>
      </c>
      <c r="AT152" s="17">
        <f t="shared" si="50"/>
        <v>16</v>
      </c>
    </row>
    <row r="153" spans="6:46" x14ac:dyDescent="0.3">
      <c r="F153" s="1">
        <v>151</v>
      </c>
      <c r="G153" s="1" t="s">
        <v>138</v>
      </c>
      <c r="H153" s="1">
        <v>5</v>
      </c>
      <c r="I153" s="1">
        <v>51</v>
      </c>
      <c r="J153" s="1">
        <v>3</v>
      </c>
      <c r="K153" s="1">
        <v>3</v>
      </c>
      <c r="M153" s="1" t="s">
        <v>138</v>
      </c>
      <c r="N153" s="1">
        <f t="shared" si="34"/>
        <v>0.7142857142857143</v>
      </c>
      <c r="O153" s="1">
        <f t="shared" si="35"/>
        <v>0.48571428571428571</v>
      </c>
      <c r="P153" s="1">
        <f t="shared" si="36"/>
        <v>0.33333333333333331</v>
      </c>
      <c r="Q153" s="1">
        <f t="shared" si="37"/>
        <v>1</v>
      </c>
      <c r="S153" s="1" t="s">
        <v>138</v>
      </c>
      <c r="T153" s="1">
        <f t="shared" si="38"/>
        <v>7.1457743809378804E-2</v>
      </c>
      <c r="U153" s="1">
        <f t="shared" si="39"/>
        <v>3.6994985904848676E-2</v>
      </c>
      <c r="V153" s="1">
        <f t="shared" si="40"/>
        <v>2.1049588063526574E-2</v>
      </c>
      <c r="W153" s="1">
        <f t="shared" si="41"/>
        <v>4.0360367639778717E-2</v>
      </c>
      <c r="Y153" s="1" t="s">
        <v>138</v>
      </c>
      <c r="Z153" s="1">
        <f t="shared" si="42"/>
        <v>2.1437323142813641E-2</v>
      </c>
      <c r="AA153" s="1">
        <f t="shared" si="43"/>
        <v>7.3989971809697358E-3</v>
      </c>
      <c r="AB153" s="1">
        <f t="shared" si="44"/>
        <v>6.314876419057972E-3</v>
      </c>
      <c r="AC153" s="1">
        <f t="shared" si="45"/>
        <v>8.0720735279557441E-3</v>
      </c>
      <c r="AK153" s="17" t="s">
        <v>742</v>
      </c>
      <c r="AL153" s="17">
        <f t="shared" si="46"/>
        <v>1.1886338120307189E-2</v>
      </c>
      <c r="AM153" s="17">
        <f t="shared" si="47"/>
        <v>2.5801742220476549E-2</v>
      </c>
      <c r="AO153" s="17" t="s">
        <v>1454</v>
      </c>
      <c r="AP153" s="17">
        <f t="shared" si="48"/>
        <v>2.1965074683511858</v>
      </c>
      <c r="AR153" s="1" t="s">
        <v>138</v>
      </c>
      <c r="AS153" s="17">
        <f t="shared" si="49"/>
        <v>2.1965074683511858</v>
      </c>
      <c r="AT153" s="17">
        <f t="shared" si="50"/>
        <v>11</v>
      </c>
    </row>
    <row r="154" spans="6:46" x14ac:dyDescent="0.3">
      <c r="F154" s="1">
        <v>152</v>
      </c>
      <c r="G154" s="1" t="s">
        <v>139</v>
      </c>
      <c r="H154" s="1">
        <v>0</v>
      </c>
      <c r="I154" s="1">
        <v>54</v>
      </c>
      <c r="J154" s="1">
        <v>2</v>
      </c>
      <c r="K154" s="1">
        <v>2</v>
      </c>
      <c r="M154" s="1" t="s">
        <v>139</v>
      </c>
      <c r="N154" s="1">
        <f t="shared" si="34"/>
        <v>0</v>
      </c>
      <c r="O154" s="1">
        <f t="shared" si="35"/>
        <v>0.51428571428571423</v>
      </c>
      <c r="P154" s="1">
        <f t="shared" si="36"/>
        <v>0.5</v>
      </c>
      <c r="Q154" s="1">
        <f t="shared" si="37"/>
        <v>0.66666666666666663</v>
      </c>
      <c r="S154" s="1" t="s">
        <v>139</v>
      </c>
      <c r="T154" s="1">
        <f t="shared" si="38"/>
        <v>0</v>
      </c>
      <c r="U154" s="1">
        <f t="shared" si="39"/>
        <v>3.9171161546310361E-2</v>
      </c>
      <c r="V154" s="1">
        <f t="shared" si="40"/>
        <v>3.1574382095289864E-2</v>
      </c>
      <c r="W154" s="1">
        <f t="shared" si="41"/>
        <v>2.6906911759852478E-2</v>
      </c>
      <c r="Y154" s="1" t="s">
        <v>139</v>
      </c>
      <c r="Z154" s="1">
        <f t="shared" si="42"/>
        <v>0</v>
      </c>
      <c r="AA154" s="1">
        <f t="shared" si="43"/>
        <v>7.8342323092620725E-3</v>
      </c>
      <c r="AB154" s="1">
        <f t="shared" si="44"/>
        <v>9.4723146285869593E-3</v>
      </c>
      <c r="AC154" s="1">
        <f t="shared" si="45"/>
        <v>5.3813823519704958E-3</v>
      </c>
      <c r="AK154" s="17" t="s">
        <v>743</v>
      </c>
      <c r="AL154" s="17">
        <f t="shared" si="46"/>
        <v>3.1543956321273853E-2</v>
      </c>
      <c r="AM154" s="17">
        <f t="shared" si="47"/>
        <v>1.0886571741535763E-2</v>
      </c>
      <c r="AO154" s="17" t="s">
        <v>1455</v>
      </c>
      <c r="AP154" s="17">
        <f t="shared" si="48"/>
        <v>0.35601042464877714</v>
      </c>
      <c r="AR154" s="1" t="s">
        <v>139</v>
      </c>
      <c r="AS154" s="17">
        <f t="shared" si="49"/>
        <v>0.35601042464877714</v>
      </c>
      <c r="AT154" s="17">
        <f t="shared" si="50"/>
        <v>627</v>
      </c>
    </row>
    <row r="155" spans="6:46" x14ac:dyDescent="0.3">
      <c r="F155" s="1">
        <v>153</v>
      </c>
      <c r="G155" s="1" t="s">
        <v>140</v>
      </c>
      <c r="H155" s="1">
        <v>1</v>
      </c>
      <c r="I155" s="1">
        <v>49</v>
      </c>
      <c r="J155" s="1">
        <v>1</v>
      </c>
      <c r="K155" s="1">
        <v>3</v>
      </c>
      <c r="M155" s="1" t="s">
        <v>140</v>
      </c>
      <c r="N155" s="1">
        <f t="shared" si="34"/>
        <v>0.14285714285714285</v>
      </c>
      <c r="O155" s="1">
        <f t="shared" si="35"/>
        <v>0.46666666666666667</v>
      </c>
      <c r="P155" s="1">
        <f t="shared" si="36"/>
        <v>1</v>
      </c>
      <c r="Q155" s="1">
        <f t="shared" si="37"/>
        <v>1</v>
      </c>
      <c r="S155" s="1" t="s">
        <v>140</v>
      </c>
      <c r="T155" s="1">
        <f t="shared" si="38"/>
        <v>1.4291548761875762E-2</v>
      </c>
      <c r="U155" s="1">
        <f t="shared" si="39"/>
        <v>3.5544202143874222E-2</v>
      </c>
      <c r="V155" s="1">
        <f t="shared" si="40"/>
        <v>6.3148764190579729E-2</v>
      </c>
      <c r="W155" s="1">
        <f t="shared" si="41"/>
        <v>4.0360367639778717E-2</v>
      </c>
      <c r="Y155" s="1" t="s">
        <v>140</v>
      </c>
      <c r="Z155" s="1">
        <f t="shared" si="42"/>
        <v>4.2874646285627283E-3</v>
      </c>
      <c r="AA155" s="1">
        <f t="shared" si="43"/>
        <v>7.1088404287748446E-3</v>
      </c>
      <c r="AB155" s="1">
        <f t="shared" si="44"/>
        <v>1.8944629257173919E-2</v>
      </c>
      <c r="AC155" s="1">
        <f t="shared" si="45"/>
        <v>8.0720735279557441E-3</v>
      </c>
      <c r="AK155" s="17" t="s">
        <v>744</v>
      </c>
      <c r="AL155" s="17">
        <f t="shared" si="46"/>
        <v>3.0942943448014276E-2</v>
      </c>
      <c r="AM155" s="17">
        <f t="shared" si="47"/>
        <v>7.9174129567774528E-3</v>
      </c>
      <c r="AO155" s="17" t="s">
        <v>1456</v>
      </c>
      <c r="AP155" s="17">
        <f t="shared" si="48"/>
        <v>0.26378877083451491</v>
      </c>
      <c r="AR155" s="1" t="s">
        <v>140</v>
      </c>
      <c r="AS155" s="17">
        <f t="shared" si="49"/>
        <v>0.26378877083451491</v>
      </c>
      <c r="AT155" s="17">
        <f t="shared" si="50"/>
        <v>656</v>
      </c>
    </row>
    <row r="156" spans="6:46" x14ac:dyDescent="0.3">
      <c r="F156" s="1">
        <v>154</v>
      </c>
      <c r="G156" s="1" t="s">
        <v>141</v>
      </c>
      <c r="H156" s="1">
        <v>2</v>
      </c>
      <c r="I156" s="1">
        <v>71</v>
      </c>
      <c r="J156" s="1">
        <v>2</v>
      </c>
      <c r="K156" s="1">
        <v>2</v>
      </c>
      <c r="M156" s="1" t="s">
        <v>141</v>
      </c>
      <c r="N156" s="1">
        <f t="shared" si="34"/>
        <v>0.2857142857142857</v>
      </c>
      <c r="O156" s="1">
        <f t="shared" si="35"/>
        <v>0.67619047619047623</v>
      </c>
      <c r="P156" s="1">
        <f t="shared" si="36"/>
        <v>0.5</v>
      </c>
      <c r="Q156" s="1">
        <f t="shared" si="37"/>
        <v>0.66666666666666663</v>
      </c>
      <c r="S156" s="1" t="s">
        <v>141</v>
      </c>
      <c r="T156" s="1">
        <f t="shared" si="38"/>
        <v>2.8583097523751523E-2</v>
      </c>
      <c r="U156" s="1">
        <f t="shared" si="39"/>
        <v>5.150282351459326E-2</v>
      </c>
      <c r="V156" s="1">
        <f t="shared" si="40"/>
        <v>3.1574382095289864E-2</v>
      </c>
      <c r="W156" s="1">
        <f t="shared" si="41"/>
        <v>2.6906911759852478E-2</v>
      </c>
      <c r="Y156" s="1" t="s">
        <v>141</v>
      </c>
      <c r="Z156" s="1">
        <f t="shared" si="42"/>
        <v>8.5749292571254566E-3</v>
      </c>
      <c r="AA156" s="1">
        <f t="shared" si="43"/>
        <v>1.0300564702918652E-2</v>
      </c>
      <c r="AB156" s="1">
        <f t="shared" si="44"/>
        <v>9.4723146285869593E-3</v>
      </c>
      <c r="AC156" s="1">
        <f t="shared" si="45"/>
        <v>5.3813823519704958E-3</v>
      </c>
      <c r="AK156" s="17" t="s">
        <v>745</v>
      </c>
      <c r="AL156" s="17">
        <f t="shared" si="46"/>
        <v>2.2878608620941019E-2</v>
      </c>
      <c r="AM156" s="17">
        <f t="shared" si="47"/>
        <v>1.4867063847107041E-2</v>
      </c>
      <c r="AO156" s="17" t="s">
        <v>1457</v>
      </c>
      <c r="AP156" s="17">
        <f t="shared" si="48"/>
        <v>0.66469083999663514</v>
      </c>
      <c r="AR156" s="1" t="s">
        <v>141</v>
      </c>
      <c r="AS156" s="17">
        <f t="shared" si="49"/>
        <v>0.66469083999663514</v>
      </c>
      <c r="AT156" s="17">
        <f t="shared" si="50"/>
        <v>373</v>
      </c>
    </row>
    <row r="157" spans="6:46" x14ac:dyDescent="0.3">
      <c r="F157" s="1">
        <v>155</v>
      </c>
      <c r="G157" s="1" t="s">
        <v>142</v>
      </c>
      <c r="H157" s="1">
        <v>2</v>
      </c>
      <c r="I157" s="1">
        <v>53</v>
      </c>
      <c r="J157" s="1">
        <v>2</v>
      </c>
      <c r="K157" s="1">
        <v>2</v>
      </c>
      <c r="M157" s="1" t="s">
        <v>142</v>
      </c>
      <c r="N157" s="1">
        <f t="shared" si="34"/>
        <v>0.2857142857142857</v>
      </c>
      <c r="O157" s="1">
        <f t="shared" si="35"/>
        <v>0.50476190476190474</v>
      </c>
      <c r="P157" s="1">
        <f t="shared" si="36"/>
        <v>0.5</v>
      </c>
      <c r="Q157" s="1">
        <f t="shared" si="37"/>
        <v>0.66666666666666663</v>
      </c>
      <c r="S157" s="1" t="s">
        <v>142</v>
      </c>
      <c r="T157" s="1">
        <f t="shared" si="38"/>
        <v>2.8583097523751523E-2</v>
      </c>
      <c r="U157" s="1">
        <f t="shared" si="39"/>
        <v>3.844576966582313E-2</v>
      </c>
      <c r="V157" s="1">
        <f t="shared" si="40"/>
        <v>3.1574382095289864E-2</v>
      </c>
      <c r="W157" s="1">
        <f t="shared" si="41"/>
        <v>2.6906911759852478E-2</v>
      </c>
      <c r="Y157" s="1" t="s">
        <v>142</v>
      </c>
      <c r="Z157" s="1">
        <f t="shared" si="42"/>
        <v>8.5749292571254566E-3</v>
      </c>
      <c r="AA157" s="1">
        <f t="shared" si="43"/>
        <v>7.6891539331646261E-3</v>
      </c>
      <c r="AB157" s="1">
        <f t="shared" si="44"/>
        <v>9.4723146285869593E-3</v>
      </c>
      <c r="AC157" s="1">
        <f t="shared" si="45"/>
        <v>5.3813823519704958E-3</v>
      </c>
      <c r="AK157" s="17" t="s">
        <v>746</v>
      </c>
      <c r="AL157" s="17">
        <f t="shared" si="46"/>
        <v>2.3579919985804366E-2</v>
      </c>
      <c r="AM157" s="17">
        <f t="shared" si="47"/>
        <v>1.3810171929777472E-2</v>
      </c>
      <c r="AO157" s="17" t="s">
        <v>1458</v>
      </c>
      <c r="AP157" s="17">
        <f t="shared" si="48"/>
        <v>0.59948526913500555</v>
      </c>
      <c r="AR157" s="1" t="s">
        <v>142</v>
      </c>
      <c r="AS157" s="17">
        <f t="shared" si="49"/>
        <v>0.59948526913500555</v>
      </c>
      <c r="AT157" s="17">
        <f t="shared" si="50"/>
        <v>434</v>
      </c>
    </row>
    <row r="158" spans="6:46" x14ac:dyDescent="0.3">
      <c r="F158" s="1">
        <v>156</v>
      </c>
      <c r="G158" s="1" t="s">
        <v>143</v>
      </c>
      <c r="H158" s="1">
        <v>1</v>
      </c>
      <c r="I158" s="1">
        <v>40</v>
      </c>
      <c r="J158" s="1">
        <v>1</v>
      </c>
      <c r="K158" s="1">
        <v>2</v>
      </c>
      <c r="M158" s="1" t="s">
        <v>143</v>
      </c>
      <c r="N158" s="1">
        <f t="shared" si="34"/>
        <v>0.14285714285714285</v>
      </c>
      <c r="O158" s="1">
        <f t="shared" si="35"/>
        <v>0.38095238095238093</v>
      </c>
      <c r="P158" s="1">
        <f t="shared" si="36"/>
        <v>1</v>
      </c>
      <c r="Q158" s="1">
        <f t="shared" si="37"/>
        <v>0.66666666666666663</v>
      </c>
      <c r="S158" s="1" t="s">
        <v>143</v>
      </c>
      <c r="T158" s="1">
        <f t="shared" si="38"/>
        <v>1.4291548761875762E-2</v>
      </c>
      <c r="U158" s="1">
        <f t="shared" si="39"/>
        <v>2.9015675219489157E-2</v>
      </c>
      <c r="V158" s="1">
        <f t="shared" si="40"/>
        <v>6.3148764190579729E-2</v>
      </c>
      <c r="W158" s="1">
        <f t="shared" si="41"/>
        <v>2.6906911759852478E-2</v>
      </c>
      <c r="Y158" s="1" t="s">
        <v>143</v>
      </c>
      <c r="Z158" s="1">
        <f t="shared" si="42"/>
        <v>4.2874646285627283E-3</v>
      </c>
      <c r="AA158" s="1">
        <f t="shared" si="43"/>
        <v>5.8031350438978316E-3</v>
      </c>
      <c r="AB158" s="1">
        <f t="shared" si="44"/>
        <v>1.8944629257173919E-2</v>
      </c>
      <c r="AC158" s="1">
        <f t="shared" si="45"/>
        <v>5.3813823519704958E-3</v>
      </c>
      <c r="AK158" s="17" t="s">
        <v>747</v>
      </c>
      <c r="AL158" s="17">
        <f t="shared" si="46"/>
        <v>3.1426526245775112E-2</v>
      </c>
      <c r="AM158" s="17">
        <f t="shared" si="47"/>
        <v>5.6957561529693938E-3</v>
      </c>
      <c r="AO158" s="17" t="s">
        <v>1459</v>
      </c>
      <c r="AP158" s="17">
        <f t="shared" si="48"/>
        <v>0.18693615505754491</v>
      </c>
      <c r="AR158" s="1" t="s">
        <v>143</v>
      </c>
      <c r="AS158" s="17">
        <f t="shared" si="49"/>
        <v>0.18693615505754491</v>
      </c>
      <c r="AT158" s="17">
        <f t="shared" si="50"/>
        <v>690</v>
      </c>
    </row>
    <row r="159" spans="6:46" x14ac:dyDescent="0.3">
      <c r="F159" s="1">
        <v>157</v>
      </c>
      <c r="G159" s="1" t="s">
        <v>144</v>
      </c>
      <c r="H159" s="1">
        <v>1</v>
      </c>
      <c r="I159" s="1">
        <v>46</v>
      </c>
      <c r="J159" s="1">
        <v>1</v>
      </c>
      <c r="K159" s="1">
        <v>2</v>
      </c>
      <c r="M159" s="1" t="s">
        <v>144</v>
      </c>
      <c r="N159" s="1">
        <f t="shared" si="34"/>
        <v>0.14285714285714285</v>
      </c>
      <c r="O159" s="1">
        <f t="shared" si="35"/>
        <v>0.43809523809523809</v>
      </c>
      <c r="P159" s="1">
        <f t="shared" si="36"/>
        <v>1</v>
      </c>
      <c r="Q159" s="1">
        <f t="shared" si="37"/>
        <v>0.66666666666666663</v>
      </c>
      <c r="S159" s="1" t="s">
        <v>144</v>
      </c>
      <c r="T159" s="1">
        <f t="shared" si="38"/>
        <v>1.4291548761875762E-2</v>
      </c>
      <c r="U159" s="1">
        <f t="shared" si="39"/>
        <v>3.336802650241253E-2</v>
      </c>
      <c r="V159" s="1">
        <f t="shared" si="40"/>
        <v>6.3148764190579729E-2</v>
      </c>
      <c r="W159" s="1">
        <f t="shared" si="41"/>
        <v>2.6906911759852478E-2</v>
      </c>
      <c r="Y159" s="1" t="s">
        <v>144</v>
      </c>
      <c r="Z159" s="1">
        <f t="shared" si="42"/>
        <v>4.2874646285627283E-3</v>
      </c>
      <c r="AA159" s="1">
        <f t="shared" si="43"/>
        <v>6.6736053004825061E-3</v>
      </c>
      <c r="AB159" s="1">
        <f t="shared" si="44"/>
        <v>1.8944629257173919E-2</v>
      </c>
      <c r="AC159" s="1">
        <f t="shared" si="45"/>
        <v>5.3813823519704958E-3</v>
      </c>
      <c r="AK159" s="17" t="s">
        <v>748</v>
      </c>
      <c r="AL159" s="17">
        <f t="shared" si="46"/>
        <v>3.1176385885463929E-2</v>
      </c>
      <c r="AM159" s="17">
        <f t="shared" si="47"/>
        <v>6.1437502738375394E-3</v>
      </c>
      <c r="AO159" s="17" t="s">
        <v>1460</v>
      </c>
      <c r="AP159" s="17">
        <f t="shared" si="48"/>
        <v>0.20320797370270133</v>
      </c>
      <c r="AR159" s="1" t="s">
        <v>144</v>
      </c>
      <c r="AS159" s="17">
        <f t="shared" si="49"/>
        <v>0.20320797370270133</v>
      </c>
      <c r="AT159" s="17">
        <f t="shared" si="50"/>
        <v>684</v>
      </c>
    </row>
    <row r="160" spans="6:46" x14ac:dyDescent="0.3">
      <c r="F160" s="1">
        <v>158</v>
      </c>
      <c r="G160" s="1" t="s">
        <v>145</v>
      </c>
      <c r="H160" s="1">
        <v>2</v>
      </c>
      <c r="I160" s="1">
        <v>50</v>
      </c>
      <c r="J160" s="1">
        <v>2</v>
      </c>
      <c r="K160" s="1">
        <v>3</v>
      </c>
      <c r="M160" s="1" t="s">
        <v>145</v>
      </c>
      <c r="N160" s="1">
        <f t="shared" si="34"/>
        <v>0.2857142857142857</v>
      </c>
      <c r="O160" s="1">
        <f t="shared" si="35"/>
        <v>0.47619047619047616</v>
      </c>
      <c r="P160" s="1">
        <f t="shared" si="36"/>
        <v>0.5</v>
      </c>
      <c r="Q160" s="1">
        <f t="shared" si="37"/>
        <v>1</v>
      </c>
      <c r="S160" s="1" t="s">
        <v>145</v>
      </c>
      <c r="T160" s="1">
        <f t="shared" si="38"/>
        <v>2.8583097523751523E-2</v>
      </c>
      <c r="U160" s="1">
        <f t="shared" si="39"/>
        <v>3.6269594024361446E-2</v>
      </c>
      <c r="V160" s="1">
        <f t="shared" si="40"/>
        <v>3.1574382095289864E-2</v>
      </c>
      <c r="W160" s="1">
        <f t="shared" si="41"/>
        <v>4.0360367639778717E-2</v>
      </c>
      <c r="Y160" s="1" t="s">
        <v>145</v>
      </c>
      <c r="Z160" s="1">
        <f t="shared" si="42"/>
        <v>8.5749292571254566E-3</v>
      </c>
      <c r="AA160" s="1">
        <f t="shared" si="43"/>
        <v>7.2539188048722893E-3</v>
      </c>
      <c r="AB160" s="1">
        <f t="shared" si="44"/>
        <v>9.4723146285869593E-3</v>
      </c>
      <c r="AC160" s="1">
        <f t="shared" si="45"/>
        <v>8.0720735279557441E-3</v>
      </c>
      <c r="AK160" s="17" t="s">
        <v>749</v>
      </c>
      <c r="AL160" s="17">
        <f t="shared" si="46"/>
        <v>2.356966547355234E-2</v>
      </c>
      <c r="AM160" s="17">
        <f t="shared" si="47"/>
        <v>1.4446967038490416E-2</v>
      </c>
      <c r="AO160" s="17" t="s">
        <v>1461</v>
      </c>
      <c r="AP160" s="17">
        <f t="shared" si="48"/>
        <v>0.62739444627621843</v>
      </c>
      <c r="AR160" s="1" t="s">
        <v>145</v>
      </c>
      <c r="AS160" s="17">
        <f t="shared" si="49"/>
        <v>0.62739444627621843</v>
      </c>
      <c r="AT160" s="17">
        <f t="shared" si="50"/>
        <v>402</v>
      </c>
    </row>
    <row r="161" spans="6:46" x14ac:dyDescent="0.3">
      <c r="F161" s="1">
        <v>159</v>
      </c>
      <c r="G161" s="1" t="s">
        <v>146</v>
      </c>
      <c r="H161" s="1">
        <v>2</v>
      </c>
      <c r="I161" s="1">
        <v>46</v>
      </c>
      <c r="J161" s="1">
        <v>2</v>
      </c>
      <c r="K161" s="1">
        <v>2</v>
      </c>
      <c r="M161" s="1" t="s">
        <v>146</v>
      </c>
      <c r="N161" s="1">
        <f t="shared" si="34"/>
        <v>0.2857142857142857</v>
      </c>
      <c r="O161" s="1">
        <f t="shared" si="35"/>
        <v>0.43809523809523809</v>
      </c>
      <c r="P161" s="1">
        <f t="shared" si="36"/>
        <v>0.5</v>
      </c>
      <c r="Q161" s="1">
        <f t="shared" si="37"/>
        <v>0.66666666666666663</v>
      </c>
      <c r="S161" s="1" t="s">
        <v>146</v>
      </c>
      <c r="T161" s="1">
        <f t="shared" si="38"/>
        <v>2.8583097523751523E-2</v>
      </c>
      <c r="U161" s="1">
        <f t="shared" si="39"/>
        <v>3.336802650241253E-2</v>
      </c>
      <c r="V161" s="1">
        <f t="shared" si="40"/>
        <v>3.1574382095289864E-2</v>
      </c>
      <c r="W161" s="1">
        <f t="shared" si="41"/>
        <v>2.6906911759852478E-2</v>
      </c>
      <c r="Y161" s="1" t="s">
        <v>146</v>
      </c>
      <c r="Z161" s="1">
        <f t="shared" si="42"/>
        <v>8.5749292571254566E-3</v>
      </c>
      <c r="AA161" s="1">
        <f t="shared" si="43"/>
        <v>6.6736053004825061E-3</v>
      </c>
      <c r="AB161" s="1">
        <f t="shared" si="44"/>
        <v>9.4723146285869593E-3</v>
      </c>
      <c r="AC161" s="1">
        <f t="shared" si="45"/>
        <v>5.3813823519704958E-3</v>
      </c>
      <c r="AK161" s="17" t="s">
        <v>750</v>
      </c>
      <c r="AL161" s="17">
        <f t="shared" si="46"/>
        <v>2.3924186857570293E-2</v>
      </c>
      <c r="AM161" s="17">
        <f t="shared" si="47"/>
        <v>1.3513603171388116E-2</v>
      </c>
      <c r="AO161" s="17" t="s">
        <v>1462</v>
      </c>
      <c r="AP161" s="17">
        <f t="shared" si="48"/>
        <v>0.57836469933777801</v>
      </c>
      <c r="AR161" s="1" t="s">
        <v>146</v>
      </c>
      <c r="AS161" s="17">
        <f t="shared" si="49"/>
        <v>0.57836469933777801</v>
      </c>
      <c r="AT161" s="17">
        <f t="shared" si="50"/>
        <v>476</v>
      </c>
    </row>
    <row r="162" spans="6:46" x14ac:dyDescent="0.3">
      <c r="F162" s="1">
        <v>160</v>
      </c>
      <c r="G162" s="1" t="s">
        <v>146</v>
      </c>
      <c r="H162" s="1">
        <v>3</v>
      </c>
      <c r="I162" s="1">
        <v>47</v>
      </c>
      <c r="J162" s="1">
        <v>2</v>
      </c>
      <c r="K162" s="1">
        <v>3</v>
      </c>
      <c r="M162" s="1" t="s">
        <v>146</v>
      </c>
      <c r="N162" s="1">
        <f t="shared" si="34"/>
        <v>0.42857142857142855</v>
      </c>
      <c r="O162" s="1">
        <f t="shared" si="35"/>
        <v>0.44761904761904764</v>
      </c>
      <c r="P162" s="1">
        <f t="shared" si="36"/>
        <v>0.5</v>
      </c>
      <c r="Q162" s="1">
        <f t="shared" si="37"/>
        <v>1</v>
      </c>
      <c r="S162" s="1" t="s">
        <v>146</v>
      </c>
      <c r="T162" s="1">
        <f t="shared" si="38"/>
        <v>4.2874646285627281E-2</v>
      </c>
      <c r="U162" s="1">
        <f t="shared" si="39"/>
        <v>3.4093418382899761E-2</v>
      </c>
      <c r="V162" s="1">
        <f t="shared" si="40"/>
        <v>3.1574382095289864E-2</v>
      </c>
      <c r="W162" s="1">
        <f t="shared" si="41"/>
        <v>4.0360367639778717E-2</v>
      </c>
      <c r="Y162" s="1" t="s">
        <v>146</v>
      </c>
      <c r="Z162" s="1">
        <f t="shared" si="42"/>
        <v>1.2862393885688184E-2</v>
      </c>
      <c r="AA162" s="1">
        <f t="shared" si="43"/>
        <v>6.8186836765799525E-3</v>
      </c>
      <c r="AB162" s="1">
        <f t="shared" si="44"/>
        <v>9.4723146285869593E-3</v>
      </c>
      <c r="AC162" s="1">
        <f t="shared" si="45"/>
        <v>8.0720735279557441E-3</v>
      </c>
      <c r="AK162" s="17" t="s">
        <v>751</v>
      </c>
      <c r="AL162" s="17">
        <f t="shared" si="46"/>
        <v>1.9930457503557965E-2</v>
      </c>
      <c r="AM162" s="17">
        <f t="shared" si="47"/>
        <v>1.7241810560917049E-2</v>
      </c>
      <c r="AO162" s="17" t="s">
        <v>1463</v>
      </c>
      <c r="AP162" s="17">
        <f t="shared" si="48"/>
        <v>0.88234039436608347</v>
      </c>
      <c r="AR162" s="1" t="s">
        <v>146</v>
      </c>
      <c r="AS162" s="17">
        <f t="shared" si="49"/>
        <v>0.88234039436608347</v>
      </c>
      <c r="AT162" s="17">
        <f t="shared" si="50"/>
        <v>199</v>
      </c>
    </row>
    <row r="163" spans="6:46" x14ac:dyDescent="0.3">
      <c r="F163" s="1">
        <v>161</v>
      </c>
      <c r="G163" s="1" t="s">
        <v>147</v>
      </c>
      <c r="H163" s="1">
        <v>3</v>
      </c>
      <c r="I163" s="1">
        <v>45</v>
      </c>
      <c r="J163" s="1">
        <v>3</v>
      </c>
      <c r="K163" s="1">
        <v>3</v>
      </c>
      <c r="M163" s="1" t="s">
        <v>147</v>
      </c>
      <c r="N163" s="1">
        <f t="shared" si="34"/>
        <v>0.42857142857142855</v>
      </c>
      <c r="O163" s="1">
        <f t="shared" si="35"/>
        <v>0.42857142857142855</v>
      </c>
      <c r="P163" s="1">
        <f t="shared" si="36"/>
        <v>0.33333333333333331</v>
      </c>
      <c r="Q163" s="1">
        <f t="shared" si="37"/>
        <v>1</v>
      </c>
      <c r="S163" s="1" t="s">
        <v>147</v>
      </c>
      <c r="T163" s="1">
        <f t="shared" si="38"/>
        <v>4.2874646285627281E-2</v>
      </c>
      <c r="U163" s="1">
        <f t="shared" si="39"/>
        <v>3.26426346219253E-2</v>
      </c>
      <c r="V163" s="1">
        <f t="shared" si="40"/>
        <v>2.1049588063526574E-2</v>
      </c>
      <c r="W163" s="1">
        <f t="shared" si="41"/>
        <v>4.0360367639778717E-2</v>
      </c>
      <c r="Y163" s="1" t="s">
        <v>147</v>
      </c>
      <c r="Z163" s="1">
        <f t="shared" si="42"/>
        <v>1.2862393885688184E-2</v>
      </c>
      <c r="AA163" s="1">
        <f t="shared" si="43"/>
        <v>6.5285269243850605E-3</v>
      </c>
      <c r="AB163" s="1">
        <f t="shared" si="44"/>
        <v>6.314876419057972E-3</v>
      </c>
      <c r="AC163" s="1">
        <f t="shared" si="45"/>
        <v>8.0720735279557441E-3</v>
      </c>
      <c r="AK163" s="17" t="s">
        <v>752</v>
      </c>
      <c r="AL163" s="17">
        <f t="shared" si="46"/>
        <v>1.9397678213867748E-2</v>
      </c>
      <c r="AM163" s="17">
        <f t="shared" si="47"/>
        <v>1.9106160293665575E-2</v>
      </c>
      <c r="AO163" s="17" t="s">
        <v>1464</v>
      </c>
      <c r="AP163" s="17">
        <f t="shared" si="48"/>
        <v>1.0040776647702292</v>
      </c>
      <c r="AR163" s="1" t="s">
        <v>147</v>
      </c>
      <c r="AS163" s="17">
        <f t="shared" si="49"/>
        <v>1.0040776647702292</v>
      </c>
      <c r="AT163" s="17">
        <f t="shared" si="50"/>
        <v>136</v>
      </c>
    </row>
    <row r="164" spans="6:46" x14ac:dyDescent="0.3">
      <c r="F164" s="1">
        <v>162</v>
      </c>
      <c r="G164" s="1" t="s">
        <v>148</v>
      </c>
      <c r="H164" s="1">
        <v>4</v>
      </c>
      <c r="I164" s="1">
        <v>46</v>
      </c>
      <c r="J164" s="1">
        <v>5</v>
      </c>
      <c r="K164" s="1">
        <v>3</v>
      </c>
      <c r="M164" s="1" t="s">
        <v>148</v>
      </c>
      <c r="N164" s="1">
        <f t="shared" si="34"/>
        <v>0.5714285714285714</v>
      </c>
      <c r="O164" s="1">
        <f t="shared" si="35"/>
        <v>0.43809523809523809</v>
      </c>
      <c r="P164" s="1">
        <f t="shared" si="36"/>
        <v>0.2</v>
      </c>
      <c r="Q164" s="1">
        <f t="shared" si="37"/>
        <v>1</v>
      </c>
      <c r="S164" s="1" t="s">
        <v>148</v>
      </c>
      <c r="T164" s="1">
        <f t="shared" si="38"/>
        <v>5.7166195047503046E-2</v>
      </c>
      <c r="U164" s="1">
        <f t="shared" si="39"/>
        <v>3.336802650241253E-2</v>
      </c>
      <c r="V164" s="1">
        <f t="shared" si="40"/>
        <v>1.2629752838115946E-2</v>
      </c>
      <c r="W164" s="1">
        <f t="shared" si="41"/>
        <v>4.0360367639778717E-2</v>
      </c>
      <c r="Y164" s="1" t="s">
        <v>148</v>
      </c>
      <c r="Z164" s="1">
        <f t="shared" si="42"/>
        <v>1.7149858514250913E-2</v>
      </c>
      <c r="AA164" s="1">
        <f t="shared" si="43"/>
        <v>6.6736053004825061E-3</v>
      </c>
      <c r="AB164" s="1">
        <f t="shared" si="44"/>
        <v>3.7889258514347836E-3</v>
      </c>
      <c r="AC164" s="1">
        <f t="shared" si="45"/>
        <v>8.0720735279557441E-3</v>
      </c>
      <c r="AK164" s="17" t="s">
        <v>753</v>
      </c>
      <c r="AL164" s="17">
        <f t="shared" si="46"/>
        <v>1.5450189084290529E-2</v>
      </c>
      <c r="AM164" s="17">
        <f t="shared" si="47"/>
        <v>2.3767535932048871E-2</v>
      </c>
      <c r="AO164" s="17" t="s">
        <v>1465</v>
      </c>
      <c r="AP164" s="17">
        <f t="shared" si="48"/>
        <v>1.5621005493587434</v>
      </c>
      <c r="AR164" s="1" t="s">
        <v>148</v>
      </c>
      <c r="AS164" s="17">
        <f t="shared" si="49"/>
        <v>1.5621005493587434</v>
      </c>
      <c r="AT164" s="17">
        <f t="shared" si="50"/>
        <v>35</v>
      </c>
    </row>
    <row r="165" spans="6:46" x14ac:dyDescent="0.3">
      <c r="F165" s="1">
        <v>163</v>
      </c>
      <c r="G165" s="1" t="s">
        <v>148</v>
      </c>
      <c r="H165" s="1">
        <v>4</v>
      </c>
      <c r="I165" s="1">
        <v>53</v>
      </c>
      <c r="J165" s="1">
        <v>2</v>
      </c>
      <c r="K165" s="1">
        <v>3</v>
      </c>
      <c r="M165" s="1" t="s">
        <v>148</v>
      </c>
      <c r="N165" s="1">
        <f t="shared" si="34"/>
        <v>0.5714285714285714</v>
      </c>
      <c r="O165" s="1">
        <f t="shared" si="35"/>
        <v>0.50476190476190474</v>
      </c>
      <c r="P165" s="1">
        <f t="shared" si="36"/>
        <v>0.5</v>
      </c>
      <c r="Q165" s="1">
        <f t="shared" si="37"/>
        <v>1</v>
      </c>
      <c r="S165" s="1" t="s">
        <v>148</v>
      </c>
      <c r="T165" s="1">
        <f t="shared" si="38"/>
        <v>5.7166195047503046E-2</v>
      </c>
      <c r="U165" s="1">
        <f t="shared" si="39"/>
        <v>3.844576966582313E-2</v>
      </c>
      <c r="V165" s="1">
        <f t="shared" si="40"/>
        <v>3.1574382095289864E-2</v>
      </c>
      <c r="W165" s="1">
        <f t="shared" si="41"/>
        <v>4.0360367639778717E-2</v>
      </c>
      <c r="Y165" s="1" t="s">
        <v>148</v>
      </c>
      <c r="Z165" s="1">
        <f t="shared" si="42"/>
        <v>1.7149858514250913E-2</v>
      </c>
      <c r="AA165" s="1">
        <f t="shared" si="43"/>
        <v>7.6891539331646261E-3</v>
      </c>
      <c r="AB165" s="1">
        <f t="shared" si="44"/>
        <v>9.4723146285869593E-3</v>
      </c>
      <c r="AC165" s="1">
        <f t="shared" si="45"/>
        <v>8.0720735279557441E-3</v>
      </c>
      <c r="AK165" s="17" t="s">
        <v>754</v>
      </c>
      <c r="AL165" s="17">
        <f t="shared" si="46"/>
        <v>1.5957918425458462E-2</v>
      </c>
      <c r="AM165" s="17">
        <f t="shared" si="47"/>
        <v>2.0809337832754474E-2</v>
      </c>
      <c r="AO165" s="17" t="s">
        <v>1466</v>
      </c>
      <c r="AP165" s="17">
        <f t="shared" si="48"/>
        <v>1.3248226356796906</v>
      </c>
      <c r="AR165" s="1" t="s">
        <v>148</v>
      </c>
      <c r="AS165" s="17">
        <f t="shared" si="49"/>
        <v>1.3248226356796906</v>
      </c>
      <c r="AT165" s="17">
        <f t="shared" si="50"/>
        <v>57</v>
      </c>
    </row>
    <row r="166" spans="6:46" x14ac:dyDescent="0.3">
      <c r="F166" s="1">
        <v>164</v>
      </c>
      <c r="G166" s="1" t="s">
        <v>149</v>
      </c>
      <c r="H166" s="1">
        <v>2</v>
      </c>
      <c r="I166" s="1">
        <v>42</v>
      </c>
      <c r="J166" s="1">
        <v>1</v>
      </c>
      <c r="K166" s="1">
        <v>2</v>
      </c>
      <c r="M166" s="1" t="s">
        <v>149</v>
      </c>
      <c r="N166" s="1">
        <f t="shared" si="34"/>
        <v>0.2857142857142857</v>
      </c>
      <c r="O166" s="1">
        <f t="shared" si="35"/>
        <v>0.4</v>
      </c>
      <c r="P166" s="1">
        <f t="shared" si="36"/>
        <v>1</v>
      </c>
      <c r="Q166" s="1">
        <f t="shared" si="37"/>
        <v>0.66666666666666663</v>
      </c>
      <c r="S166" s="1" t="s">
        <v>149</v>
      </c>
      <c r="T166" s="1">
        <f t="shared" si="38"/>
        <v>2.8583097523751523E-2</v>
      </c>
      <c r="U166" s="1">
        <f t="shared" si="39"/>
        <v>3.0466458980463618E-2</v>
      </c>
      <c r="V166" s="1">
        <f t="shared" si="40"/>
        <v>6.3148764190579729E-2</v>
      </c>
      <c r="W166" s="1">
        <f t="shared" si="41"/>
        <v>2.6906911759852478E-2</v>
      </c>
      <c r="Y166" s="1" t="s">
        <v>149</v>
      </c>
      <c r="Z166" s="1">
        <f t="shared" si="42"/>
        <v>8.5749292571254566E-3</v>
      </c>
      <c r="AA166" s="1">
        <f t="shared" si="43"/>
        <v>6.0932917960927237E-3</v>
      </c>
      <c r="AB166" s="1">
        <f t="shared" si="44"/>
        <v>1.8944629257173919E-2</v>
      </c>
      <c r="AC166" s="1">
        <f t="shared" si="45"/>
        <v>5.3813823519704958E-3</v>
      </c>
      <c r="AK166" s="17" t="s">
        <v>755</v>
      </c>
      <c r="AL166" s="17">
        <f t="shared" si="46"/>
        <v>2.7929061017324154E-2</v>
      </c>
      <c r="AM166" s="17">
        <f t="shared" si="47"/>
        <v>9.4439570548398716E-3</v>
      </c>
      <c r="AO166" s="17" t="s">
        <v>1467</v>
      </c>
      <c r="AP166" s="17">
        <f t="shared" si="48"/>
        <v>0.34758482935204554</v>
      </c>
      <c r="AR166" s="1" t="s">
        <v>149</v>
      </c>
      <c r="AS166" s="17">
        <f t="shared" si="49"/>
        <v>0.34758482935204554</v>
      </c>
      <c r="AT166" s="17">
        <f t="shared" si="50"/>
        <v>630</v>
      </c>
    </row>
    <row r="167" spans="6:46" x14ac:dyDescent="0.3">
      <c r="F167" s="1">
        <v>165</v>
      </c>
      <c r="G167" s="1" t="s">
        <v>150</v>
      </c>
      <c r="H167" s="1">
        <v>3</v>
      </c>
      <c r="I167" s="1">
        <v>57</v>
      </c>
      <c r="J167" s="1">
        <v>2</v>
      </c>
      <c r="K167" s="1">
        <v>3</v>
      </c>
      <c r="M167" s="1" t="s">
        <v>150</v>
      </c>
      <c r="N167" s="1">
        <f t="shared" si="34"/>
        <v>0.42857142857142855</v>
      </c>
      <c r="O167" s="1">
        <f t="shared" si="35"/>
        <v>0.54285714285714282</v>
      </c>
      <c r="P167" s="1">
        <f t="shared" si="36"/>
        <v>0.5</v>
      </c>
      <c r="Q167" s="1">
        <f t="shared" si="37"/>
        <v>1</v>
      </c>
      <c r="S167" s="1" t="s">
        <v>150</v>
      </c>
      <c r="T167" s="1">
        <f t="shared" si="38"/>
        <v>4.2874646285627281E-2</v>
      </c>
      <c r="U167" s="1">
        <f t="shared" si="39"/>
        <v>4.1347337187772046E-2</v>
      </c>
      <c r="V167" s="1">
        <f t="shared" si="40"/>
        <v>3.1574382095289864E-2</v>
      </c>
      <c r="W167" s="1">
        <f t="shared" si="41"/>
        <v>4.0360367639778717E-2</v>
      </c>
      <c r="Y167" s="1" t="s">
        <v>150</v>
      </c>
      <c r="Z167" s="1">
        <f t="shared" si="42"/>
        <v>1.2862393885688184E-2</v>
      </c>
      <c r="AA167" s="1">
        <f t="shared" si="43"/>
        <v>8.2694674375544102E-3</v>
      </c>
      <c r="AB167" s="1">
        <f t="shared" si="44"/>
        <v>9.4723146285869593E-3</v>
      </c>
      <c r="AC167" s="1">
        <f t="shared" si="45"/>
        <v>8.0720735279557441E-3</v>
      </c>
      <c r="AK167" s="17" t="s">
        <v>756</v>
      </c>
      <c r="AL167" s="17">
        <f t="shared" si="46"/>
        <v>1.9362658313810985E-2</v>
      </c>
      <c r="AM167" s="17">
        <f t="shared" si="47"/>
        <v>1.7604223145177234E-2</v>
      </c>
      <c r="AO167" s="17" t="s">
        <v>1468</v>
      </c>
      <c r="AP167" s="17">
        <f t="shared" si="48"/>
        <v>0.92678843018251889</v>
      </c>
      <c r="AR167" s="1" t="s">
        <v>150</v>
      </c>
      <c r="AS167" s="17">
        <f t="shared" si="49"/>
        <v>0.92678843018251889</v>
      </c>
      <c r="AT167" s="17">
        <f t="shared" si="50"/>
        <v>167</v>
      </c>
    </row>
    <row r="168" spans="6:46" x14ac:dyDescent="0.3">
      <c r="F168" s="1">
        <v>166</v>
      </c>
      <c r="G168" s="1" t="s">
        <v>151</v>
      </c>
      <c r="H168" s="1">
        <v>0</v>
      </c>
      <c r="I168" s="1">
        <v>31</v>
      </c>
      <c r="J168" s="1">
        <v>5</v>
      </c>
      <c r="K168" s="1">
        <v>2</v>
      </c>
      <c r="M168" s="1" t="s">
        <v>151</v>
      </c>
      <c r="N168" s="1">
        <f t="shared" si="34"/>
        <v>0</v>
      </c>
      <c r="O168" s="1">
        <f t="shared" si="35"/>
        <v>0.29523809523809524</v>
      </c>
      <c r="P168" s="1">
        <f t="shared" si="36"/>
        <v>0.2</v>
      </c>
      <c r="Q168" s="1">
        <f t="shared" si="37"/>
        <v>0.66666666666666663</v>
      </c>
      <c r="S168" s="1" t="s">
        <v>151</v>
      </c>
      <c r="T168" s="1">
        <f t="shared" si="38"/>
        <v>0</v>
      </c>
      <c r="U168" s="1">
        <f t="shared" si="39"/>
        <v>2.2487148295104099E-2</v>
      </c>
      <c r="V168" s="1">
        <f t="shared" si="40"/>
        <v>1.2629752838115946E-2</v>
      </c>
      <c r="W168" s="1">
        <f t="shared" si="41"/>
        <v>2.6906911759852478E-2</v>
      </c>
      <c r="Y168" s="1" t="s">
        <v>151</v>
      </c>
      <c r="Z168" s="1">
        <f t="shared" si="42"/>
        <v>0</v>
      </c>
      <c r="AA168" s="1">
        <f t="shared" si="43"/>
        <v>4.4974296590208204E-3</v>
      </c>
      <c r="AB168" s="1">
        <f t="shared" si="44"/>
        <v>3.7889258514347836E-3</v>
      </c>
      <c r="AC168" s="1">
        <f t="shared" si="45"/>
        <v>5.3813823519704958E-3</v>
      </c>
      <c r="AK168" s="17" t="s">
        <v>757</v>
      </c>
      <c r="AL168" s="17">
        <f t="shared" si="46"/>
        <v>3.1988005738682816E-2</v>
      </c>
      <c r="AM168" s="17">
        <f t="shared" si="47"/>
        <v>1.5447978226271376E-2</v>
      </c>
      <c r="AO168" s="17" t="s">
        <v>1469</v>
      </c>
      <c r="AP168" s="17">
        <f t="shared" si="48"/>
        <v>0.49837831006594185</v>
      </c>
      <c r="AR168" s="1" t="s">
        <v>151</v>
      </c>
      <c r="AS168" s="17">
        <f t="shared" si="49"/>
        <v>0.49837831006594185</v>
      </c>
      <c r="AT168" s="17">
        <f t="shared" si="50"/>
        <v>538</v>
      </c>
    </row>
    <row r="169" spans="6:46" x14ac:dyDescent="0.3">
      <c r="F169" s="1">
        <v>167</v>
      </c>
      <c r="G169" s="1" t="s">
        <v>152</v>
      </c>
      <c r="H169" s="1">
        <v>3</v>
      </c>
      <c r="I169" s="1">
        <v>41</v>
      </c>
      <c r="J169" s="1">
        <v>4</v>
      </c>
      <c r="K169" s="1">
        <v>3</v>
      </c>
      <c r="M169" s="1" t="s">
        <v>152</v>
      </c>
      <c r="N169" s="1">
        <f t="shared" si="34"/>
        <v>0.42857142857142855</v>
      </c>
      <c r="O169" s="1">
        <f t="shared" si="35"/>
        <v>0.39047619047619048</v>
      </c>
      <c r="P169" s="1">
        <f t="shared" si="36"/>
        <v>0.25</v>
      </c>
      <c r="Q169" s="1">
        <f t="shared" si="37"/>
        <v>1</v>
      </c>
      <c r="S169" s="1" t="s">
        <v>152</v>
      </c>
      <c r="T169" s="1">
        <f t="shared" si="38"/>
        <v>4.2874646285627281E-2</v>
      </c>
      <c r="U169" s="1">
        <f t="shared" si="39"/>
        <v>2.9741067099976388E-2</v>
      </c>
      <c r="V169" s="1">
        <f t="shared" si="40"/>
        <v>1.5787191047644932E-2</v>
      </c>
      <c r="W169" s="1">
        <f t="shared" si="41"/>
        <v>4.0360367639778717E-2</v>
      </c>
      <c r="Y169" s="1" t="s">
        <v>152</v>
      </c>
      <c r="Z169" s="1">
        <f t="shared" si="42"/>
        <v>1.2862393885688184E-2</v>
      </c>
      <c r="AA169" s="1">
        <f t="shared" si="43"/>
        <v>5.9482134199952781E-3</v>
      </c>
      <c r="AB169" s="1">
        <f t="shared" si="44"/>
        <v>4.7361573142934797E-3</v>
      </c>
      <c r="AC169" s="1">
        <f t="shared" si="45"/>
        <v>8.0720735279557441E-3</v>
      </c>
      <c r="AK169" s="17" t="s">
        <v>758</v>
      </c>
      <c r="AL169" s="17">
        <f t="shared" si="46"/>
        <v>1.9525020305433863E-2</v>
      </c>
      <c r="AM169" s="17">
        <f t="shared" si="47"/>
        <v>2.0096749982310719E-2</v>
      </c>
      <c r="AO169" s="17" t="s">
        <v>1470</v>
      </c>
      <c r="AP169" s="17">
        <f t="shared" si="48"/>
        <v>1.0493786492035753</v>
      </c>
      <c r="AR169" s="1" t="s">
        <v>152</v>
      </c>
      <c r="AS169" s="17">
        <f t="shared" si="49"/>
        <v>1.0493786492035753</v>
      </c>
      <c r="AT169" s="17">
        <f t="shared" si="50"/>
        <v>122</v>
      </c>
    </row>
    <row r="170" spans="6:46" x14ac:dyDescent="0.3">
      <c r="F170" s="1">
        <v>168</v>
      </c>
      <c r="G170" s="1" t="s">
        <v>153</v>
      </c>
      <c r="H170" s="1">
        <v>3</v>
      </c>
      <c r="I170" s="1">
        <v>34</v>
      </c>
      <c r="J170" s="1">
        <v>5</v>
      </c>
      <c r="K170" s="1">
        <v>3</v>
      </c>
      <c r="M170" s="1" t="s">
        <v>153</v>
      </c>
      <c r="N170" s="1">
        <f t="shared" si="34"/>
        <v>0.42857142857142855</v>
      </c>
      <c r="O170" s="1">
        <f t="shared" si="35"/>
        <v>0.32380952380952382</v>
      </c>
      <c r="P170" s="1">
        <f t="shared" si="36"/>
        <v>0.2</v>
      </c>
      <c r="Q170" s="1">
        <f t="shared" si="37"/>
        <v>1</v>
      </c>
      <c r="S170" s="1" t="s">
        <v>153</v>
      </c>
      <c r="T170" s="1">
        <f t="shared" si="38"/>
        <v>4.2874646285627281E-2</v>
      </c>
      <c r="U170" s="1">
        <f t="shared" si="39"/>
        <v>2.4663323936565784E-2</v>
      </c>
      <c r="V170" s="1">
        <f t="shared" si="40"/>
        <v>1.2629752838115946E-2</v>
      </c>
      <c r="W170" s="1">
        <f t="shared" si="41"/>
        <v>4.0360367639778717E-2</v>
      </c>
      <c r="Y170" s="1" t="s">
        <v>153</v>
      </c>
      <c r="Z170" s="1">
        <f t="shared" si="42"/>
        <v>1.2862393885688184E-2</v>
      </c>
      <c r="AA170" s="1">
        <f t="shared" si="43"/>
        <v>4.9326647873131572E-3</v>
      </c>
      <c r="AB170" s="1">
        <f t="shared" si="44"/>
        <v>3.7889258514347836E-3</v>
      </c>
      <c r="AC170" s="1">
        <f t="shared" si="45"/>
        <v>8.0720735279557441E-3</v>
      </c>
      <c r="AK170" s="17" t="s">
        <v>759</v>
      </c>
      <c r="AL170" s="17">
        <f t="shared" si="46"/>
        <v>2.0005481255341954E-2</v>
      </c>
      <c r="AM170" s="17">
        <f t="shared" si="47"/>
        <v>2.0667043138335377E-2</v>
      </c>
      <c r="AO170" s="17" t="s">
        <v>1471</v>
      </c>
      <c r="AP170" s="17">
        <f t="shared" si="48"/>
        <v>1.0537360742978217</v>
      </c>
      <c r="AR170" s="1" t="s">
        <v>153</v>
      </c>
      <c r="AS170" s="17">
        <f t="shared" si="49"/>
        <v>1.0537360742978217</v>
      </c>
      <c r="AT170" s="17">
        <f t="shared" si="50"/>
        <v>120</v>
      </c>
    </row>
    <row r="171" spans="6:46" x14ac:dyDescent="0.3">
      <c r="F171" s="1">
        <v>169</v>
      </c>
      <c r="G171" s="1" t="s">
        <v>154</v>
      </c>
      <c r="H171" s="1">
        <v>3</v>
      </c>
      <c r="I171" s="1">
        <v>39</v>
      </c>
      <c r="J171" s="1">
        <v>2</v>
      </c>
      <c r="K171" s="1">
        <v>3</v>
      </c>
      <c r="M171" s="1" t="s">
        <v>154</v>
      </c>
      <c r="N171" s="1">
        <f t="shared" si="34"/>
        <v>0.42857142857142855</v>
      </c>
      <c r="O171" s="1">
        <f t="shared" si="35"/>
        <v>0.37142857142857144</v>
      </c>
      <c r="P171" s="1">
        <f t="shared" si="36"/>
        <v>0.5</v>
      </c>
      <c r="Q171" s="1">
        <f t="shared" si="37"/>
        <v>1</v>
      </c>
      <c r="S171" s="1" t="s">
        <v>154</v>
      </c>
      <c r="T171" s="1">
        <f t="shared" si="38"/>
        <v>4.2874646285627281E-2</v>
      </c>
      <c r="U171" s="1">
        <f t="shared" si="39"/>
        <v>2.829028333900193E-2</v>
      </c>
      <c r="V171" s="1">
        <f t="shared" si="40"/>
        <v>3.1574382095289864E-2</v>
      </c>
      <c r="W171" s="1">
        <f t="shared" si="41"/>
        <v>4.0360367639778717E-2</v>
      </c>
      <c r="Y171" s="1" t="s">
        <v>154</v>
      </c>
      <c r="Z171" s="1">
        <f t="shared" si="42"/>
        <v>1.2862393885688184E-2</v>
      </c>
      <c r="AA171" s="1">
        <f t="shared" si="43"/>
        <v>5.658056667800386E-3</v>
      </c>
      <c r="AB171" s="1">
        <f t="shared" si="44"/>
        <v>9.4723146285869593E-3</v>
      </c>
      <c r="AC171" s="1">
        <f t="shared" si="45"/>
        <v>8.0720735279557441E-3</v>
      </c>
      <c r="AK171" s="17" t="s">
        <v>760</v>
      </c>
      <c r="AL171" s="17">
        <f t="shared" si="46"/>
        <v>2.0447554612483942E-2</v>
      </c>
      <c r="AM171" s="17">
        <f t="shared" si="47"/>
        <v>1.7035492138110675E-2</v>
      </c>
      <c r="AO171" s="17" t="s">
        <v>1472</v>
      </c>
      <c r="AP171" s="17">
        <f t="shared" si="48"/>
        <v>0.85016651738598625</v>
      </c>
      <c r="AR171" s="1" t="s">
        <v>154</v>
      </c>
      <c r="AS171" s="17">
        <f t="shared" si="49"/>
        <v>0.85016651738598625</v>
      </c>
      <c r="AT171" s="17">
        <f t="shared" si="50"/>
        <v>257</v>
      </c>
    </row>
    <row r="172" spans="6:46" x14ac:dyDescent="0.3">
      <c r="F172" s="1">
        <v>170</v>
      </c>
      <c r="G172" s="1" t="s">
        <v>154</v>
      </c>
      <c r="H172" s="1">
        <v>2</v>
      </c>
      <c r="I172" s="1">
        <v>46</v>
      </c>
      <c r="J172" s="1">
        <v>2</v>
      </c>
      <c r="K172" s="1">
        <v>3</v>
      </c>
      <c r="M172" s="1" t="s">
        <v>154</v>
      </c>
      <c r="N172" s="1">
        <f t="shared" si="34"/>
        <v>0.2857142857142857</v>
      </c>
      <c r="O172" s="1">
        <f t="shared" si="35"/>
        <v>0.43809523809523809</v>
      </c>
      <c r="P172" s="1">
        <f t="shared" si="36"/>
        <v>0.5</v>
      </c>
      <c r="Q172" s="1">
        <f t="shared" si="37"/>
        <v>1</v>
      </c>
      <c r="S172" s="1" t="s">
        <v>154</v>
      </c>
      <c r="T172" s="1">
        <f t="shared" si="38"/>
        <v>2.8583097523751523E-2</v>
      </c>
      <c r="U172" s="1">
        <f t="shared" si="39"/>
        <v>3.336802650241253E-2</v>
      </c>
      <c r="V172" s="1">
        <f t="shared" si="40"/>
        <v>3.1574382095289864E-2</v>
      </c>
      <c r="W172" s="1">
        <f t="shared" si="41"/>
        <v>4.0360367639778717E-2</v>
      </c>
      <c r="Y172" s="1" t="s">
        <v>154</v>
      </c>
      <c r="Z172" s="1">
        <f t="shared" si="42"/>
        <v>8.5749292571254566E-3</v>
      </c>
      <c r="AA172" s="1">
        <f t="shared" si="43"/>
        <v>6.6736053004825061E-3</v>
      </c>
      <c r="AB172" s="1">
        <f t="shared" si="44"/>
        <v>9.4723146285869593E-3</v>
      </c>
      <c r="AC172" s="1">
        <f t="shared" si="45"/>
        <v>8.0720735279557441E-3</v>
      </c>
      <c r="AK172" s="17" t="s">
        <v>761</v>
      </c>
      <c r="AL172" s="17">
        <f t="shared" si="46"/>
        <v>2.3772397813250017E-2</v>
      </c>
      <c r="AM172" s="17">
        <f t="shared" si="47"/>
        <v>1.4294646819258095E-2</v>
      </c>
      <c r="AO172" s="17" t="s">
        <v>1473</v>
      </c>
      <c r="AP172" s="17">
        <f t="shared" si="48"/>
        <v>0.61560743535465312</v>
      </c>
      <c r="AR172" s="1" t="s">
        <v>154</v>
      </c>
      <c r="AS172" s="17">
        <f t="shared" si="49"/>
        <v>0.61560743535465312</v>
      </c>
      <c r="AT172" s="17">
        <f t="shared" si="50"/>
        <v>418</v>
      </c>
    </row>
    <row r="173" spans="6:46" x14ac:dyDescent="0.3">
      <c r="F173" s="1">
        <v>171</v>
      </c>
      <c r="G173" s="1" t="s">
        <v>155</v>
      </c>
      <c r="H173" s="1">
        <v>2</v>
      </c>
      <c r="I173" s="1">
        <v>33</v>
      </c>
      <c r="J173" s="1">
        <v>1</v>
      </c>
      <c r="K173" s="1">
        <v>3</v>
      </c>
      <c r="M173" s="1" t="s">
        <v>155</v>
      </c>
      <c r="N173" s="1">
        <f t="shared" si="34"/>
        <v>0.2857142857142857</v>
      </c>
      <c r="O173" s="1">
        <f t="shared" si="35"/>
        <v>0.31428571428571428</v>
      </c>
      <c r="P173" s="1">
        <f t="shared" si="36"/>
        <v>1</v>
      </c>
      <c r="Q173" s="1">
        <f t="shared" si="37"/>
        <v>1</v>
      </c>
      <c r="S173" s="1" t="s">
        <v>155</v>
      </c>
      <c r="T173" s="1">
        <f t="shared" si="38"/>
        <v>2.8583097523751523E-2</v>
      </c>
      <c r="U173" s="1">
        <f t="shared" si="39"/>
        <v>2.3937932056078554E-2</v>
      </c>
      <c r="V173" s="1">
        <f t="shared" si="40"/>
        <v>6.3148764190579729E-2</v>
      </c>
      <c r="W173" s="1">
        <f t="shared" si="41"/>
        <v>4.0360367639778717E-2</v>
      </c>
      <c r="Y173" s="1" t="s">
        <v>155</v>
      </c>
      <c r="Z173" s="1">
        <f t="shared" si="42"/>
        <v>8.5749292571254566E-3</v>
      </c>
      <c r="AA173" s="1">
        <f t="shared" si="43"/>
        <v>4.7875864112157107E-3</v>
      </c>
      <c r="AB173" s="1">
        <f t="shared" si="44"/>
        <v>1.8944629257173919E-2</v>
      </c>
      <c r="AC173" s="1">
        <f t="shared" si="45"/>
        <v>8.0720735279557441E-3</v>
      </c>
      <c r="AK173" s="17" t="s">
        <v>762</v>
      </c>
      <c r="AL173" s="17">
        <f t="shared" si="46"/>
        <v>2.8255364598361549E-2</v>
      </c>
      <c r="AM173" s="17">
        <f t="shared" si="47"/>
        <v>1.0248681073355017E-2</v>
      </c>
      <c r="AO173" s="17" t="s">
        <v>1474</v>
      </c>
      <c r="AP173" s="17">
        <f t="shared" si="48"/>
        <v>0.37296497297175474</v>
      </c>
      <c r="AR173" s="1" t="s">
        <v>155</v>
      </c>
      <c r="AS173" s="17">
        <f t="shared" si="49"/>
        <v>0.37296497297175474</v>
      </c>
      <c r="AT173" s="17">
        <f t="shared" si="50"/>
        <v>616</v>
      </c>
    </row>
    <row r="174" spans="6:46" x14ac:dyDescent="0.3">
      <c r="F174" s="1">
        <v>172</v>
      </c>
      <c r="G174" s="1" t="s">
        <v>156</v>
      </c>
      <c r="H174" s="1">
        <v>2</v>
      </c>
      <c r="I174" s="1">
        <v>37</v>
      </c>
      <c r="J174" s="1">
        <v>1</v>
      </c>
      <c r="K174" s="1">
        <v>3</v>
      </c>
      <c r="M174" s="1" t="s">
        <v>156</v>
      </c>
      <c r="N174" s="1">
        <f t="shared" si="34"/>
        <v>0.2857142857142857</v>
      </c>
      <c r="O174" s="1">
        <f t="shared" si="35"/>
        <v>0.35238095238095241</v>
      </c>
      <c r="P174" s="1">
        <f t="shared" si="36"/>
        <v>1</v>
      </c>
      <c r="Q174" s="1">
        <f t="shared" si="37"/>
        <v>1</v>
      </c>
      <c r="S174" s="1" t="s">
        <v>156</v>
      </c>
      <c r="T174" s="1">
        <f t="shared" si="38"/>
        <v>2.8583097523751523E-2</v>
      </c>
      <c r="U174" s="1">
        <f t="shared" si="39"/>
        <v>2.6839499578027472E-2</v>
      </c>
      <c r="V174" s="1">
        <f t="shared" si="40"/>
        <v>6.3148764190579729E-2</v>
      </c>
      <c r="W174" s="1">
        <f t="shared" si="41"/>
        <v>4.0360367639778717E-2</v>
      </c>
      <c r="Y174" s="1" t="s">
        <v>156</v>
      </c>
      <c r="Z174" s="1">
        <f t="shared" si="42"/>
        <v>8.5749292571254566E-3</v>
      </c>
      <c r="AA174" s="1">
        <f t="shared" si="43"/>
        <v>5.3678999156054948E-3</v>
      </c>
      <c r="AB174" s="1">
        <f t="shared" si="44"/>
        <v>1.8944629257173919E-2</v>
      </c>
      <c r="AC174" s="1">
        <f t="shared" si="45"/>
        <v>8.0720735279557441E-3</v>
      </c>
      <c r="AK174" s="17" t="s">
        <v>763</v>
      </c>
      <c r="AL174" s="17">
        <f t="shared" si="46"/>
        <v>2.8046013921199976E-2</v>
      </c>
      <c r="AM174" s="17">
        <f t="shared" si="47"/>
        <v>1.0354922897119844E-2</v>
      </c>
      <c r="AO174" s="17" t="s">
        <v>1475</v>
      </c>
      <c r="AP174" s="17">
        <f t="shared" si="48"/>
        <v>0.37956685177277949</v>
      </c>
      <c r="AR174" s="1" t="s">
        <v>156</v>
      </c>
      <c r="AS174" s="17">
        <f t="shared" si="49"/>
        <v>0.37956685177277949</v>
      </c>
      <c r="AT174" s="17">
        <f t="shared" si="50"/>
        <v>613</v>
      </c>
    </row>
    <row r="175" spans="6:46" x14ac:dyDescent="0.3">
      <c r="F175" s="1">
        <v>173</v>
      </c>
      <c r="G175" s="1" t="s">
        <v>157</v>
      </c>
      <c r="H175" s="1">
        <v>2</v>
      </c>
      <c r="I175" s="1">
        <v>41</v>
      </c>
      <c r="J175" s="1">
        <v>2</v>
      </c>
      <c r="K175" s="1">
        <v>3</v>
      </c>
      <c r="M175" s="1" t="s">
        <v>157</v>
      </c>
      <c r="N175" s="1">
        <f t="shared" si="34"/>
        <v>0.2857142857142857</v>
      </c>
      <c r="O175" s="1">
        <f t="shared" si="35"/>
        <v>0.39047619047619048</v>
      </c>
      <c r="P175" s="1">
        <f t="shared" si="36"/>
        <v>0.5</v>
      </c>
      <c r="Q175" s="1">
        <f t="shared" si="37"/>
        <v>1</v>
      </c>
      <c r="S175" s="1" t="s">
        <v>157</v>
      </c>
      <c r="T175" s="1">
        <f t="shared" si="38"/>
        <v>2.8583097523751523E-2</v>
      </c>
      <c r="U175" s="1">
        <f t="shared" si="39"/>
        <v>2.9741067099976388E-2</v>
      </c>
      <c r="V175" s="1">
        <f t="shared" si="40"/>
        <v>3.1574382095289864E-2</v>
      </c>
      <c r="W175" s="1">
        <f t="shared" si="41"/>
        <v>4.0360367639778717E-2</v>
      </c>
      <c r="Y175" s="1" t="s">
        <v>157</v>
      </c>
      <c r="Z175" s="1">
        <f t="shared" si="42"/>
        <v>8.5749292571254566E-3</v>
      </c>
      <c r="AA175" s="1">
        <f t="shared" si="43"/>
        <v>5.9482134199952781E-3</v>
      </c>
      <c r="AB175" s="1">
        <f t="shared" si="44"/>
        <v>9.4723146285869593E-3</v>
      </c>
      <c r="AC175" s="1">
        <f t="shared" si="45"/>
        <v>8.0720735279557441E-3</v>
      </c>
      <c r="AK175" s="17" t="s">
        <v>764</v>
      </c>
      <c r="AL175" s="17">
        <f t="shared" si="46"/>
        <v>2.4043112422193251E-2</v>
      </c>
      <c r="AM175" s="17">
        <f t="shared" si="47"/>
        <v>1.4135475394090753E-2</v>
      </c>
      <c r="AO175" s="17" t="s">
        <v>1476</v>
      </c>
      <c r="AP175" s="17">
        <f t="shared" si="48"/>
        <v>0.6020575025374173</v>
      </c>
      <c r="AR175" s="1" t="s">
        <v>157</v>
      </c>
      <c r="AS175" s="17">
        <f t="shared" si="49"/>
        <v>0.6020575025374173</v>
      </c>
      <c r="AT175" s="17">
        <f t="shared" si="50"/>
        <v>428</v>
      </c>
    </row>
    <row r="176" spans="6:46" x14ac:dyDescent="0.3">
      <c r="F176" s="1">
        <v>174</v>
      </c>
      <c r="G176" s="1" t="s">
        <v>157</v>
      </c>
      <c r="H176" s="1">
        <v>4</v>
      </c>
      <c r="I176" s="1">
        <v>52</v>
      </c>
      <c r="J176" s="1">
        <v>2</v>
      </c>
      <c r="K176" s="1">
        <v>3</v>
      </c>
      <c r="M176" s="1" t="s">
        <v>157</v>
      </c>
      <c r="N176" s="1">
        <f t="shared" si="34"/>
        <v>0.5714285714285714</v>
      </c>
      <c r="O176" s="1">
        <f t="shared" si="35"/>
        <v>0.49523809523809526</v>
      </c>
      <c r="P176" s="1">
        <f t="shared" si="36"/>
        <v>0.5</v>
      </c>
      <c r="Q176" s="1">
        <f t="shared" si="37"/>
        <v>1</v>
      </c>
      <c r="S176" s="1" t="s">
        <v>157</v>
      </c>
      <c r="T176" s="1">
        <f t="shared" si="38"/>
        <v>5.7166195047503046E-2</v>
      </c>
      <c r="U176" s="1">
        <f t="shared" si="39"/>
        <v>3.7720377785335907E-2</v>
      </c>
      <c r="V176" s="1">
        <f t="shared" si="40"/>
        <v>3.1574382095289864E-2</v>
      </c>
      <c r="W176" s="1">
        <f t="shared" si="41"/>
        <v>4.0360367639778717E-2</v>
      </c>
      <c r="Y176" s="1" t="s">
        <v>157</v>
      </c>
      <c r="Z176" s="1">
        <f t="shared" si="42"/>
        <v>1.7149858514250913E-2</v>
      </c>
      <c r="AA176" s="1">
        <f t="shared" si="43"/>
        <v>7.5440755570671814E-3</v>
      </c>
      <c r="AB176" s="1">
        <f t="shared" si="44"/>
        <v>9.4723146285869593E-3</v>
      </c>
      <c r="AC176" s="1">
        <f t="shared" si="45"/>
        <v>8.0720735279557441E-3</v>
      </c>
      <c r="AK176" s="17" t="s">
        <v>765</v>
      </c>
      <c r="AL176" s="17">
        <f t="shared" si="46"/>
        <v>1.6027013841347651E-2</v>
      </c>
      <c r="AM176" s="17">
        <f t="shared" si="47"/>
        <v>2.0778465515764902E-2</v>
      </c>
      <c r="AO176" s="17" t="s">
        <v>1477</v>
      </c>
      <c r="AP176" s="17">
        <f t="shared" si="48"/>
        <v>1.3172436536944332</v>
      </c>
      <c r="AR176" s="1" t="s">
        <v>157</v>
      </c>
      <c r="AS176" s="17">
        <f t="shared" si="49"/>
        <v>1.3172436536944332</v>
      </c>
      <c r="AT176" s="17">
        <f t="shared" si="50"/>
        <v>58</v>
      </c>
    </row>
    <row r="177" spans="6:46" x14ac:dyDescent="0.3">
      <c r="F177" s="1">
        <v>175</v>
      </c>
      <c r="G177" s="1" t="s">
        <v>158</v>
      </c>
      <c r="H177" s="1">
        <v>4</v>
      </c>
      <c r="I177" s="1">
        <v>66</v>
      </c>
      <c r="J177" s="1">
        <v>4</v>
      </c>
      <c r="K177" s="1">
        <v>3</v>
      </c>
      <c r="M177" s="1" t="s">
        <v>158</v>
      </c>
      <c r="N177" s="1">
        <f t="shared" si="34"/>
        <v>0.5714285714285714</v>
      </c>
      <c r="O177" s="1">
        <f t="shared" si="35"/>
        <v>0.62857142857142856</v>
      </c>
      <c r="P177" s="1">
        <f t="shared" si="36"/>
        <v>0.25</v>
      </c>
      <c r="Q177" s="1">
        <f t="shared" si="37"/>
        <v>1</v>
      </c>
      <c r="S177" s="1" t="s">
        <v>158</v>
      </c>
      <c r="T177" s="1">
        <f t="shared" si="38"/>
        <v>5.7166195047503046E-2</v>
      </c>
      <c r="U177" s="1">
        <f t="shared" si="39"/>
        <v>4.7875864112157107E-2</v>
      </c>
      <c r="V177" s="1">
        <f t="shared" si="40"/>
        <v>1.5787191047644932E-2</v>
      </c>
      <c r="W177" s="1">
        <f t="shared" si="41"/>
        <v>4.0360367639778717E-2</v>
      </c>
      <c r="Y177" s="1" t="s">
        <v>158</v>
      </c>
      <c r="Z177" s="1">
        <f t="shared" si="42"/>
        <v>1.7149858514250913E-2</v>
      </c>
      <c r="AA177" s="1">
        <f t="shared" si="43"/>
        <v>9.5751728224314214E-3</v>
      </c>
      <c r="AB177" s="1">
        <f t="shared" si="44"/>
        <v>4.7361573142934797E-3</v>
      </c>
      <c r="AC177" s="1">
        <f t="shared" si="45"/>
        <v>8.0720735279557441E-3</v>
      </c>
      <c r="AK177" s="17" t="s">
        <v>766</v>
      </c>
      <c r="AL177" s="17">
        <f t="shared" si="46"/>
        <v>1.4083750536375552E-2</v>
      </c>
      <c r="AM177" s="17">
        <f t="shared" si="47"/>
        <v>2.378457511491807E-2</v>
      </c>
      <c r="AO177" s="17" t="s">
        <v>1478</v>
      </c>
      <c r="AP177" s="17">
        <f t="shared" si="48"/>
        <v>1.7125801167206289</v>
      </c>
      <c r="AR177" s="1" t="s">
        <v>158</v>
      </c>
      <c r="AS177" s="17">
        <f t="shared" si="49"/>
        <v>1.7125801167206289</v>
      </c>
      <c r="AT177" s="17">
        <f t="shared" si="50"/>
        <v>26</v>
      </c>
    </row>
    <row r="178" spans="6:46" x14ac:dyDescent="0.3">
      <c r="F178" s="1">
        <v>176</v>
      </c>
      <c r="G178" s="1" t="s">
        <v>159</v>
      </c>
      <c r="H178" s="1">
        <v>4</v>
      </c>
      <c r="I178" s="1">
        <v>55</v>
      </c>
      <c r="J178" s="1">
        <v>2</v>
      </c>
      <c r="K178" s="1">
        <v>3</v>
      </c>
      <c r="M178" s="1" t="s">
        <v>159</v>
      </c>
      <c r="N178" s="1">
        <f t="shared" si="34"/>
        <v>0.5714285714285714</v>
      </c>
      <c r="O178" s="1">
        <f t="shared" si="35"/>
        <v>0.52380952380952384</v>
      </c>
      <c r="P178" s="1">
        <f t="shared" si="36"/>
        <v>0.5</v>
      </c>
      <c r="Q178" s="1">
        <f t="shared" si="37"/>
        <v>1</v>
      </c>
      <c r="S178" s="1" t="s">
        <v>159</v>
      </c>
      <c r="T178" s="1">
        <f t="shared" si="38"/>
        <v>5.7166195047503046E-2</v>
      </c>
      <c r="U178" s="1">
        <f t="shared" si="39"/>
        <v>3.9896553426797592E-2</v>
      </c>
      <c r="V178" s="1">
        <f t="shared" si="40"/>
        <v>3.1574382095289864E-2</v>
      </c>
      <c r="W178" s="1">
        <f t="shared" si="41"/>
        <v>4.0360367639778717E-2</v>
      </c>
      <c r="Y178" s="1" t="s">
        <v>159</v>
      </c>
      <c r="Z178" s="1">
        <f t="shared" si="42"/>
        <v>1.7149858514250913E-2</v>
      </c>
      <c r="AA178" s="1">
        <f t="shared" si="43"/>
        <v>7.979310685359519E-3</v>
      </c>
      <c r="AB178" s="1">
        <f t="shared" si="44"/>
        <v>9.4723146285869593E-3</v>
      </c>
      <c r="AC178" s="1">
        <f t="shared" si="45"/>
        <v>8.0720735279557441E-3</v>
      </c>
      <c r="AK178" s="17" t="s">
        <v>767</v>
      </c>
      <c r="AL178" s="17">
        <f t="shared" si="46"/>
        <v>1.5822813355738225E-2</v>
      </c>
      <c r="AM178" s="17">
        <f t="shared" si="47"/>
        <v>2.0873970660722982E-2</v>
      </c>
      <c r="AO178" s="17" t="s">
        <v>1479</v>
      </c>
      <c r="AP178" s="17">
        <f t="shared" si="48"/>
        <v>1.3401065364138247</v>
      </c>
      <c r="AR178" s="1" t="s">
        <v>159</v>
      </c>
      <c r="AS178" s="17">
        <f t="shared" si="49"/>
        <v>1.3401065364138247</v>
      </c>
      <c r="AT178" s="17">
        <f t="shared" si="50"/>
        <v>54</v>
      </c>
    </row>
    <row r="179" spans="6:46" x14ac:dyDescent="0.3">
      <c r="F179" s="1">
        <v>177</v>
      </c>
      <c r="G179" s="1" t="s">
        <v>160</v>
      </c>
      <c r="H179" s="1">
        <v>3</v>
      </c>
      <c r="I179" s="1">
        <v>38</v>
      </c>
      <c r="J179" s="1">
        <v>4</v>
      </c>
      <c r="K179" s="1">
        <v>3</v>
      </c>
      <c r="M179" s="1" t="s">
        <v>160</v>
      </c>
      <c r="N179" s="1">
        <f t="shared" si="34"/>
        <v>0.42857142857142855</v>
      </c>
      <c r="O179" s="1">
        <f t="shared" si="35"/>
        <v>0.3619047619047619</v>
      </c>
      <c r="P179" s="1">
        <f t="shared" si="36"/>
        <v>0.25</v>
      </c>
      <c r="Q179" s="1">
        <f t="shared" si="37"/>
        <v>1</v>
      </c>
      <c r="S179" s="1" t="s">
        <v>160</v>
      </c>
      <c r="T179" s="1">
        <f t="shared" si="38"/>
        <v>4.2874646285627281E-2</v>
      </c>
      <c r="U179" s="1">
        <f t="shared" si="39"/>
        <v>2.75648914585147E-2</v>
      </c>
      <c r="V179" s="1">
        <f t="shared" si="40"/>
        <v>1.5787191047644932E-2</v>
      </c>
      <c r="W179" s="1">
        <f t="shared" si="41"/>
        <v>4.0360367639778717E-2</v>
      </c>
      <c r="Y179" s="1" t="s">
        <v>160</v>
      </c>
      <c r="Z179" s="1">
        <f t="shared" si="42"/>
        <v>1.2862393885688184E-2</v>
      </c>
      <c r="AA179" s="1">
        <f t="shared" si="43"/>
        <v>5.5129782917029404E-3</v>
      </c>
      <c r="AB179" s="1">
        <f t="shared" si="44"/>
        <v>4.7361573142934797E-3</v>
      </c>
      <c r="AC179" s="1">
        <f t="shared" si="45"/>
        <v>8.0720735279557441E-3</v>
      </c>
      <c r="AK179" s="17" t="s">
        <v>768</v>
      </c>
      <c r="AL179" s="17">
        <f t="shared" si="46"/>
        <v>1.9735708192653134E-2</v>
      </c>
      <c r="AM179" s="17">
        <f t="shared" si="47"/>
        <v>2.0041690239456934E-2</v>
      </c>
      <c r="AO179" s="17" t="s">
        <v>1480</v>
      </c>
      <c r="AP179" s="17">
        <f t="shared" si="48"/>
        <v>1.0355456713389397</v>
      </c>
      <c r="AR179" s="1" t="s">
        <v>160</v>
      </c>
      <c r="AS179" s="17">
        <f t="shared" si="49"/>
        <v>1.0355456713389397</v>
      </c>
      <c r="AT179" s="17">
        <f t="shared" si="50"/>
        <v>126</v>
      </c>
    </row>
    <row r="180" spans="6:46" x14ac:dyDescent="0.3">
      <c r="F180" s="1">
        <v>178</v>
      </c>
      <c r="G180" s="1" t="s">
        <v>160</v>
      </c>
      <c r="H180" s="1">
        <v>3</v>
      </c>
      <c r="I180" s="1">
        <v>41</v>
      </c>
      <c r="J180" s="1">
        <v>2</v>
      </c>
      <c r="K180" s="1">
        <v>3</v>
      </c>
      <c r="M180" s="1" t="s">
        <v>160</v>
      </c>
      <c r="N180" s="1">
        <f t="shared" si="34"/>
        <v>0.42857142857142855</v>
      </c>
      <c r="O180" s="1">
        <f t="shared" si="35"/>
        <v>0.39047619047619048</v>
      </c>
      <c r="P180" s="1">
        <f t="shared" si="36"/>
        <v>0.5</v>
      </c>
      <c r="Q180" s="1">
        <f t="shared" si="37"/>
        <v>1</v>
      </c>
      <c r="S180" s="1" t="s">
        <v>160</v>
      </c>
      <c r="T180" s="1">
        <f t="shared" si="38"/>
        <v>4.2874646285627281E-2</v>
      </c>
      <c r="U180" s="1">
        <f t="shared" si="39"/>
        <v>2.9741067099976388E-2</v>
      </c>
      <c r="V180" s="1">
        <f t="shared" si="40"/>
        <v>3.1574382095289864E-2</v>
      </c>
      <c r="W180" s="1">
        <f t="shared" si="41"/>
        <v>4.0360367639778717E-2</v>
      </c>
      <c r="Y180" s="1" t="s">
        <v>160</v>
      </c>
      <c r="Z180" s="1">
        <f t="shared" si="42"/>
        <v>1.2862393885688184E-2</v>
      </c>
      <c r="AA180" s="1">
        <f t="shared" si="43"/>
        <v>5.9482134199952781E-3</v>
      </c>
      <c r="AB180" s="1">
        <f t="shared" si="44"/>
        <v>9.4723146285869593E-3</v>
      </c>
      <c r="AC180" s="1">
        <f t="shared" si="45"/>
        <v>8.0720735279557441E-3</v>
      </c>
      <c r="AK180" s="17" t="s">
        <v>769</v>
      </c>
      <c r="AL180" s="17">
        <f t="shared" si="46"/>
        <v>2.0313298069876161E-2</v>
      </c>
      <c r="AM180" s="17">
        <f t="shared" si="47"/>
        <v>1.7079913036161156E-2</v>
      </c>
      <c r="AO180" s="17" t="s">
        <v>1481</v>
      </c>
      <c r="AP180" s="17">
        <f t="shared" si="48"/>
        <v>0.85790413455881043</v>
      </c>
      <c r="AR180" s="1" t="s">
        <v>160</v>
      </c>
      <c r="AS180" s="17">
        <f t="shared" si="49"/>
        <v>0.85790413455881043</v>
      </c>
      <c r="AT180" s="17">
        <f t="shared" si="50"/>
        <v>239</v>
      </c>
    </row>
    <row r="181" spans="6:46" x14ac:dyDescent="0.3">
      <c r="F181" s="1">
        <v>179</v>
      </c>
      <c r="G181" s="1" t="s">
        <v>160</v>
      </c>
      <c r="H181" s="1">
        <v>3</v>
      </c>
      <c r="I181" s="1">
        <v>51</v>
      </c>
      <c r="J181" s="1">
        <v>2</v>
      </c>
      <c r="K181" s="1">
        <v>3</v>
      </c>
      <c r="M181" s="1" t="s">
        <v>160</v>
      </c>
      <c r="N181" s="1">
        <f t="shared" si="34"/>
        <v>0.42857142857142855</v>
      </c>
      <c r="O181" s="1">
        <f t="shared" si="35"/>
        <v>0.48571428571428571</v>
      </c>
      <c r="P181" s="1">
        <f t="shared" si="36"/>
        <v>0.5</v>
      </c>
      <c r="Q181" s="1">
        <f t="shared" si="37"/>
        <v>1</v>
      </c>
      <c r="S181" s="1" t="s">
        <v>160</v>
      </c>
      <c r="T181" s="1">
        <f t="shared" si="38"/>
        <v>4.2874646285627281E-2</v>
      </c>
      <c r="U181" s="1">
        <f t="shared" si="39"/>
        <v>3.6994985904848676E-2</v>
      </c>
      <c r="V181" s="1">
        <f t="shared" si="40"/>
        <v>3.1574382095289864E-2</v>
      </c>
      <c r="W181" s="1">
        <f t="shared" si="41"/>
        <v>4.0360367639778717E-2</v>
      </c>
      <c r="Y181" s="1" t="s">
        <v>160</v>
      </c>
      <c r="Z181" s="1">
        <f t="shared" si="42"/>
        <v>1.2862393885688184E-2</v>
      </c>
      <c r="AA181" s="1">
        <f t="shared" si="43"/>
        <v>7.3989971809697358E-3</v>
      </c>
      <c r="AB181" s="1">
        <f t="shared" si="44"/>
        <v>9.4723146285869593E-3</v>
      </c>
      <c r="AC181" s="1">
        <f t="shared" si="45"/>
        <v>8.0720735279557441E-3</v>
      </c>
      <c r="AK181" s="17" t="s">
        <v>770</v>
      </c>
      <c r="AL181" s="17">
        <f t="shared" si="46"/>
        <v>1.9692479552523845E-2</v>
      </c>
      <c r="AM181" s="17">
        <f t="shared" si="47"/>
        <v>1.7373150037461319E-2</v>
      </c>
      <c r="AO181" s="17" t="s">
        <v>1482</v>
      </c>
      <c r="AP181" s="17">
        <f t="shared" si="48"/>
        <v>0.89959572597684967</v>
      </c>
      <c r="AR181" s="1" t="s">
        <v>160</v>
      </c>
      <c r="AS181" s="17">
        <f t="shared" si="49"/>
        <v>0.89959572597684967</v>
      </c>
      <c r="AT181" s="17">
        <f t="shared" si="50"/>
        <v>179</v>
      </c>
    </row>
    <row r="182" spans="6:46" x14ac:dyDescent="0.3">
      <c r="F182" s="1">
        <v>180</v>
      </c>
      <c r="G182" s="1" t="s">
        <v>160</v>
      </c>
      <c r="H182" s="1">
        <v>3</v>
      </c>
      <c r="I182" s="1">
        <v>41</v>
      </c>
      <c r="J182" s="1">
        <v>1</v>
      </c>
      <c r="K182" s="1">
        <v>3</v>
      </c>
      <c r="M182" s="1" t="s">
        <v>160</v>
      </c>
      <c r="N182" s="1">
        <f t="shared" si="34"/>
        <v>0.42857142857142855</v>
      </c>
      <c r="O182" s="1">
        <f t="shared" si="35"/>
        <v>0.39047619047619048</v>
      </c>
      <c r="P182" s="1">
        <f t="shared" si="36"/>
        <v>1</v>
      </c>
      <c r="Q182" s="1">
        <f t="shared" si="37"/>
        <v>1</v>
      </c>
      <c r="S182" s="1" t="s">
        <v>160</v>
      </c>
      <c r="T182" s="1">
        <f t="shared" si="38"/>
        <v>4.2874646285627281E-2</v>
      </c>
      <c r="U182" s="1">
        <f t="shared" si="39"/>
        <v>2.9741067099976388E-2</v>
      </c>
      <c r="V182" s="1">
        <f t="shared" si="40"/>
        <v>6.3148764190579729E-2</v>
      </c>
      <c r="W182" s="1">
        <f t="shared" si="41"/>
        <v>4.0360367639778717E-2</v>
      </c>
      <c r="Y182" s="1" t="s">
        <v>160</v>
      </c>
      <c r="Z182" s="1">
        <f t="shared" si="42"/>
        <v>1.2862393885688184E-2</v>
      </c>
      <c r="AA182" s="1">
        <f t="shared" si="43"/>
        <v>5.9482134199952781E-3</v>
      </c>
      <c r="AB182" s="1">
        <f t="shared" si="44"/>
        <v>1.8944629257173919E-2</v>
      </c>
      <c r="AC182" s="1">
        <f t="shared" si="45"/>
        <v>8.0720735279557441E-3</v>
      </c>
      <c r="AK182" s="17" t="s">
        <v>771</v>
      </c>
      <c r="AL182" s="17">
        <f t="shared" si="46"/>
        <v>2.4698674381555541E-2</v>
      </c>
      <c r="AM182" s="17">
        <f t="shared" si="47"/>
        <v>1.4212624138416004E-2</v>
      </c>
      <c r="AO182" s="17" t="s">
        <v>1483</v>
      </c>
      <c r="AP182" s="17">
        <f t="shared" si="48"/>
        <v>0.58965339147893758</v>
      </c>
      <c r="AR182" s="1" t="s">
        <v>160</v>
      </c>
      <c r="AS182" s="17">
        <f t="shared" si="49"/>
        <v>0.58965339147893758</v>
      </c>
      <c r="AT182" s="17">
        <f t="shared" si="50"/>
        <v>454</v>
      </c>
    </row>
    <row r="183" spans="6:46" x14ac:dyDescent="0.3">
      <c r="F183" s="1">
        <v>181</v>
      </c>
      <c r="G183" s="1" t="s">
        <v>161</v>
      </c>
      <c r="H183" s="1">
        <v>2</v>
      </c>
      <c r="I183" s="1">
        <v>26</v>
      </c>
      <c r="J183" s="1">
        <v>2</v>
      </c>
      <c r="K183" s="1">
        <v>3</v>
      </c>
      <c r="M183" s="1" t="s">
        <v>161</v>
      </c>
      <c r="N183" s="1">
        <f t="shared" si="34"/>
        <v>0.2857142857142857</v>
      </c>
      <c r="O183" s="1">
        <f t="shared" si="35"/>
        <v>0.24761904761904763</v>
      </c>
      <c r="P183" s="1">
        <f t="shared" si="36"/>
        <v>0.5</v>
      </c>
      <c r="Q183" s="1">
        <f t="shared" si="37"/>
        <v>1</v>
      </c>
      <c r="S183" s="1" t="s">
        <v>161</v>
      </c>
      <c r="T183" s="1">
        <f t="shared" si="38"/>
        <v>2.8583097523751523E-2</v>
      </c>
      <c r="U183" s="1">
        <f t="shared" si="39"/>
        <v>1.8860188892667953E-2</v>
      </c>
      <c r="V183" s="1">
        <f t="shared" si="40"/>
        <v>3.1574382095289864E-2</v>
      </c>
      <c r="W183" s="1">
        <f t="shared" si="41"/>
        <v>4.0360367639778717E-2</v>
      </c>
      <c r="Y183" s="1" t="s">
        <v>161</v>
      </c>
      <c r="Z183" s="1">
        <f t="shared" si="42"/>
        <v>8.5749292571254566E-3</v>
      </c>
      <c r="AA183" s="1">
        <f t="shared" si="43"/>
        <v>3.7720377785335907E-3</v>
      </c>
      <c r="AB183" s="1">
        <f t="shared" si="44"/>
        <v>9.4723146285869593E-3</v>
      </c>
      <c r="AC183" s="1">
        <f t="shared" si="45"/>
        <v>8.0720735279557441E-3</v>
      </c>
      <c r="AK183" s="17" t="s">
        <v>772</v>
      </c>
      <c r="AL183" s="17">
        <f t="shared" si="46"/>
        <v>2.4964347517489268E-2</v>
      </c>
      <c r="AM183" s="17">
        <f t="shared" si="47"/>
        <v>1.3876245744765595E-2</v>
      </c>
      <c r="AO183" s="17" t="s">
        <v>1484</v>
      </c>
      <c r="AP183" s="17">
        <f t="shared" si="48"/>
        <v>0.56971876215919692</v>
      </c>
      <c r="AR183" s="1" t="s">
        <v>161</v>
      </c>
      <c r="AS183" s="17">
        <f t="shared" si="49"/>
        <v>0.56971876215919692</v>
      </c>
      <c r="AT183" s="17">
        <f t="shared" si="50"/>
        <v>492</v>
      </c>
    </row>
    <row r="184" spans="6:46" x14ac:dyDescent="0.3">
      <c r="F184" s="1">
        <v>182</v>
      </c>
      <c r="G184" s="1" t="s">
        <v>162</v>
      </c>
      <c r="H184" s="1">
        <v>4</v>
      </c>
      <c r="I184" s="1">
        <v>34</v>
      </c>
      <c r="J184" s="1">
        <v>2</v>
      </c>
      <c r="K184" s="1">
        <v>3</v>
      </c>
      <c r="M184" s="1" t="s">
        <v>162</v>
      </c>
      <c r="N184" s="1">
        <f t="shared" si="34"/>
        <v>0.5714285714285714</v>
      </c>
      <c r="O184" s="1">
        <f t="shared" si="35"/>
        <v>0.32380952380952382</v>
      </c>
      <c r="P184" s="1">
        <f t="shared" si="36"/>
        <v>0.5</v>
      </c>
      <c r="Q184" s="1">
        <f t="shared" si="37"/>
        <v>1</v>
      </c>
      <c r="S184" s="1" t="s">
        <v>162</v>
      </c>
      <c r="T184" s="1">
        <f t="shared" si="38"/>
        <v>5.7166195047503046E-2</v>
      </c>
      <c r="U184" s="1">
        <f t="shared" si="39"/>
        <v>2.4663323936565784E-2</v>
      </c>
      <c r="V184" s="1">
        <f t="shared" si="40"/>
        <v>3.1574382095289864E-2</v>
      </c>
      <c r="W184" s="1">
        <f t="shared" si="41"/>
        <v>4.0360367639778717E-2</v>
      </c>
      <c r="Y184" s="1" t="s">
        <v>162</v>
      </c>
      <c r="Z184" s="1">
        <f t="shared" si="42"/>
        <v>1.7149858514250913E-2</v>
      </c>
      <c r="AA184" s="1">
        <f t="shared" si="43"/>
        <v>4.9326647873131572E-3</v>
      </c>
      <c r="AB184" s="1">
        <f t="shared" si="44"/>
        <v>9.4723146285869593E-3</v>
      </c>
      <c r="AC184" s="1">
        <f t="shared" si="45"/>
        <v>8.0720735279557441E-3</v>
      </c>
      <c r="AK184" s="17" t="s">
        <v>773</v>
      </c>
      <c r="AL184" s="17">
        <f t="shared" si="46"/>
        <v>1.7431113494606756E-2</v>
      </c>
      <c r="AM184" s="17">
        <f t="shared" si="47"/>
        <v>2.0391972473752039E-2</v>
      </c>
      <c r="AO184" s="17" t="s">
        <v>1485</v>
      </c>
      <c r="AP184" s="17">
        <f t="shared" si="48"/>
        <v>1.1902525485098947</v>
      </c>
      <c r="AR184" s="1" t="s">
        <v>162</v>
      </c>
      <c r="AS184" s="17">
        <f t="shared" si="49"/>
        <v>1.1902525485098947</v>
      </c>
      <c r="AT184" s="17">
        <f t="shared" si="50"/>
        <v>89</v>
      </c>
    </row>
    <row r="185" spans="6:46" x14ac:dyDescent="0.3">
      <c r="F185" s="1">
        <v>183</v>
      </c>
      <c r="G185" s="1" t="s">
        <v>163</v>
      </c>
      <c r="H185" s="1">
        <v>1</v>
      </c>
      <c r="I185" s="1">
        <v>56</v>
      </c>
      <c r="J185" s="1">
        <v>1</v>
      </c>
      <c r="K185" s="1">
        <v>2</v>
      </c>
      <c r="M185" s="1" t="s">
        <v>163</v>
      </c>
      <c r="N185" s="1">
        <f t="shared" si="34"/>
        <v>0.14285714285714285</v>
      </c>
      <c r="O185" s="1">
        <f t="shared" si="35"/>
        <v>0.53333333333333333</v>
      </c>
      <c r="P185" s="1">
        <f t="shared" si="36"/>
        <v>1</v>
      </c>
      <c r="Q185" s="1">
        <f t="shared" si="37"/>
        <v>0.66666666666666663</v>
      </c>
      <c r="S185" s="1" t="s">
        <v>163</v>
      </c>
      <c r="T185" s="1">
        <f t="shared" si="38"/>
        <v>1.4291548761875762E-2</v>
      </c>
      <c r="U185" s="1">
        <f t="shared" si="39"/>
        <v>4.0621945307284822E-2</v>
      </c>
      <c r="V185" s="1">
        <f t="shared" si="40"/>
        <v>6.3148764190579729E-2</v>
      </c>
      <c r="W185" s="1">
        <f t="shared" si="41"/>
        <v>2.6906911759852478E-2</v>
      </c>
      <c r="Y185" s="1" t="s">
        <v>163</v>
      </c>
      <c r="Z185" s="1">
        <f t="shared" si="42"/>
        <v>4.2874646285627283E-3</v>
      </c>
      <c r="AA185" s="1">
        <f t="shared" si="43"/>
        <v>8.1243890614569655E-3</v>
      </c>
      <c r="AB185" s="1">
        <f t="shared" si="44"/>
        <v>1.8944629257173919E-2</v>
      </c>
      <c r="AC185" s="1">
        <f t="shared" si="45"/>
        <v>5.3813823519704958E-3</v>
      </c>
      <c r="AK185" s="17" t="s">
        <v>774</v>
      </c>
      <c r="AL185" s="17">
        <f t="shared" si="46"/>
        <v>3.0809665412844016E-2</v>
      </c>
      <c r="AM185" s="17">
        <f t="shared" si="47"/>
        <v>7.0677686613032659E-3</v>
      </c>
      <c r="AO185" s="17" t="s">
        <v>1486</v>
      </c>
      <c r="AP185" s="17">
        <f t="shared" si="48"/>
        <v>0.23646878832823012</v>
      </c>
      <c r="AR185" s="1" t="s">
        <v>163</v>
      </c>
      <c r="AS185" s="17">
        <f t="shared" si="49"/>
        <v>0.23646878832823012</v>
      </c>
      <c r="AT185" s="17">
        <f t="shared" si="50"/>
        <v>667</v>
      </c>
    </row>
    <row r="186" spans="6:46" x14ac:dyDescent="0.3">
      <c r="F186" s="1">
        <v>184</v>
      </c>
      <c r="G186" s="1" t="s">
        <v>164</v>
      </c>
      <c r="H186" s="1">
        <v>1</v>
      </c>
      <c r="I186" s="1">
        <v>82</v>
      </c>
      <c r="J186" s="1">
        <v>2</v>
      </c>
      <c r="K186" s="1">
        <v>3</v>
      </c>
      <c r="M186" s="1" t="s">
        <v>164</v>
      </c>
      <c r="N186" s="1">
        <f t="shared" si="34"/>
        <v>0.14285714285714285</v>
      </c>
      <c r="O186" s="1">
        <f t="shared" si="35"/>
        <v>0.78095238095238095</v>
      </c>
      <c r="P186" s="1">
        <f t="shared" si="36"/>
        <v>0.5</v>
      </c>
      <c r="Q186" s="1">
        <f t="shared" si="37"/>
        <v>1</v>
      </c>
      <c r="S186" s="1" t="s">
        <v>164</v>
      </c>
      <c r="T186" s="1">
        <f t="shared" si="38"/>
        <v>1.4291548761875762E-2</v>
      </c>
      <c r="U186" s="1">
        <f t="shared" si="39"/>
        <v>5.9482134199952776E-2</v>
      </c>
      <c r="V186" s="1">
        <f t="shared" si="40"/>
        <v>3.1574382095289864E-2</v>
      </c>
      <c r="W186" s="1">
        <f t="shared" si="41"/>
        <v>4.0360367639778717E-2</v>
      </c>
      <c r="Y186" s="1" t="s">
        <v>164</v>
      </c>
      <c r="Z186" s="1">
        <f t="shared" si="42"/>
        <v>4.2874646285627283E-3</v>
      </c>
      <c r="AA186" s="1">
        <f t="shared" si="43"/>
        <v>1.1896426839990556E-2</v>
      </c>
      <c r="AB186" s="1">
        <f t="shared" si="44"/>
        <v>9.4723146285869593E-3</v>
      </c>
      <c r="AC186" s="1">
        <f t="shared" si="45"/>
        <v>8.0720735279557441E-3</v>
      </c>
      <c r="AK186" s="17" t="s">
        <v>775</v>
      </c>
      <c r="AL186" s="17">
        <f t="shared" si="46"/>
        <v>2.6555599518769513E-2</v>
      </c>
      <c r="AM186" s="17">
        <f t="shared" si="47"/>
        <v>1.4588975979899258E-2</v>
      </c>
      <c r="AO186" s="17" t="s">
        <v>1487</v>
      </c>
      <c r="AP186" s="17">
        <f t="shared" si="48"/>
        <v>0.56396373099485431</v>
      </c>
      <c r="AR186" s="1" t="s">
        <v>164</v>
      </c>
      <c r="AS186" s="17">
        <f t="shared" si="49"/>
        <v>0.56396373099485431</v>
      </c>
      <c r="AT186" s="17">
        <f t="shared" si="50"/>
        <v>505</v>
      </c>
    </row>
    <row r="187" spans="6:46" x14ac:dyDescent="0.3">
      <c r="F187" s="1">
        <v>185</v>
      </c>
      <c r="G187" s="1" t="s">
        <v>165</v>
      </c>
      <c r="H187" s="1">
        <v>0</v>
      </c>
      <c r="I187" s="1">
        <v>51</v>
      </c>
      <c r="J187" s="1">
        <v>1</v>
      </c>
      <c r="K187" s="1">
        <v>1</v>
      </c>
      <c r="M187" s="1" t="s">
        <v>165</v>
      </c>
      <c r="N187" s="1">
        <f t="shared" si="34"/>
        <v>0</v>
      </c>
      <c r="O187" s="1">
        <f t="shared" si="35"/>
        <v>0.48571428571428571</v>
      </c>
      <c r="P187" s="1">
        <f t="shared" si="36"/>
        <v>1</v>
      </c>
      <c r="Q187" s="1">
        <f t="shared" si="37"/>
        <v>0.33333333333333331</v>
      </c>
      <c r="S187" s="1" t="s">
        <v>165</v>
      </c>
      <c r="T187" s="1">
        <f t="shared" si="38"/>
        <v>0</v>
      </c>
      <c r="U187" s="1">
        <f t="shared" si="39"/>
        <v>3.6994985904848676E-2</v>
      </c>
      <c r="V187" s="1">
        <f t="shared" si="40"/>
        <v>6.3148764190579729E-2</v>
      </c>
      <c r="W187" s="1">
        <f t="shared" si="41"/>
        <v>1.3453455879926239E-2</v>
      </c>
      <c r="Y187" s="1" t="s">
        <v>165</v>
      </c>
      <c r="Z187" s="1">
        <f t="shared" si="42"/>
        <v>0</v>
      </c>
      <c r="AA187" s="1">
        <f t="shared" si="43"/>
        <v>7.3989971809697358E-3</v>
      </c>
      <c r="AB187" s="1">
        <f t="shared" si="44"/>
        <v>1.8944629257173919E-2</v>
      </c>
      <c r="AC187" s="1">
        <f t="shared" si="45"/>
        <v>2.6906911759852479E-3</v>
      </c>
      <c r="AK187" s="17" t="s">
        <v>776</v>
      </c>
      <c r="AL187" s="17">
        <f t="shared" si="46"/>
        <v>3.4939449219098577E-2</v>
      </c>
      <c r="AM187" s="17">
        <f t="shared" si="47"/>
        <v>4.2072729068259283E-3</v>
      </c>
      <c r="AO187" s="17" t="s">
        <v>1488</v>
      </c>
      <c r="AP187" s="17">
        <f t="shared" si="48"/>
        <v>0.1246233928188179</v>
      </c>
      <c r="AR187" s="1" t="s">
        <v>165</v>
      </c>
      <c r="AS187" s="17">
        <f t="shared" si="49"/>
        <v>0.1246233928188179</v>
      </c>
      <c r="AT187" s="17">
        <f t="shared" si="50"/>
        <v>703</v>
      </c>
    </row>
    <row r="188" spans="6:46" x14ac:dyDescent="0.3">
      <c r="F188" s="1">
        <v>186</v>
      </c>
      <c r="G188" s="1" t="s">
        <v>166</v>
      </c>
      <c r="H188" s="1">
        <v>2</v>
      </c>
      <c r="I188" s="1">
        <v>38</v>
      </c>
      <c r="J188" s="1">
        <v>5</v>
      </c>
      <c r="K188" s="1">
        <v>3</v>
      </c>
      <c r="M188" s="1" t="s">
        <v>166</v>
      </c>
      <c r="N188" s="1">
        <f t="shared" si="34"/>
        <v>0.2857142857142857</v>
      </c>
      <c r="O188" s="1">
        <f t="shared" si="35"/>
        <v>0.3619047619047619</v>
      </c>
      <c r="P188" s="1">
        <f t="shared" si="36"/>
        <v>0.2</v>
      </c>
      <c r="Q188" s="1">
        <f t="shared" si="37"/>
        <v>1</v>
      </c>
      <c r="S188" s="1" t="s">
        <v>166</v>
      </c>
      <c r="T188" s="1">
        <f t="shared" si="38"/>
        <v>2.8583097523751523E-2</v>
      </c>
      <c r="U188" s="1">
        <f t="shared" si="39"/>
        <v>2.75648914585147E-2</v>
      </c>
      <c r="V188" s="1">
        <f t="shared" si="40"/>
        <v>1.2629752838115946E-2</v>
      </c>
      <c r="W188" s="1">
        <f t="shared" si="41"/>
        <v>4.0360367639778717E-2</v>
      </c>
      <c r="Y188" s="1" t="s">
        <v>166</v>
      </c>
      <c r="Z188" s="1">
        <f t="shared" si="42"/>
        <v>8.5749292571254566E-3</v>
      </c>
      <c r="AA188" s="1">
        <f t="shared" si="43"/>
        <v>5.5129782917029404E-3</v>
      </c>
      <c r="AB188" s="1">
        <f t="shared" si="44"/>
        <v>3.7889258514347836E-3</v>
      </c>
      <c r="AC188" s="1">
        <f t="shared" si="45"/>
        <v>8.0720735279557441E-3</v>
      </c>
      <c r="AK188" s="17" t="s">
        <v>777</v>
      </c>
      <c r="AL188" s="17">
        <f t="shared" si="46"/>
        <v>2.3538099050091438E-2</v>
      </c>
      <c r="AM188" s="17">
        <f t="shared" si="47"/>
        <v>1.8373139462802019E-2</v>
      </c>
      <c r="AO188" s="17" t="s">
        <v>1489</v>
      </c>
      <c r="AP188" s="17">
        <f t="shared" si="48"/>
        <v>0.79894337258579695</v>
      </c>
      <c r="AR188" s="1" t="s">
        <v>166</v>
      </c>
      <c r="AS188" s="17">
        <f t="shared" si="49"/>
        <v>0.79894337258579695</v>
      </c>
      <c r="AT188" s="17">
        <f t="shared" si="50"/>
        <v>309</v>
      </c>
    </row>
    <row r="189" spans="6:46" x14ac:dyDescent="0.3">
      <c r="F189" s="1">
        <v>187</v>
      </c>
      <c r="G189" s="1" t="s">
        <v>167</v>
      </c>
      <c r="H189" s="1">
        <v>1</v>
      </c>
      <c r="I189" s="1">
        <v>31</v>
      </c>
      <c r="J189" s="1">
        <v>5</v>
      </c>
      <c r="K189" s="1">
        <v>3</v>
      </c>
      <c r="M189" s="1" t="s">
        <v>167</v>
      </c>
      <c r="N189" s="1">
        <f t="shared" si="34"/>
        <v>0.14285714285714285</v>
      </c>
      <c r="O189" s="1">
        <f t="shared" si="35"/>
        <v>0.29523809523809524</v>
      </c>
      <c r="P189" s="1">
        <f t="shared" si="36"/>
        <v>0.2</v>
      </c>
      <c r="Q189" s="1">
        <f t="shared" si="37"/>
        <v>1</v>
      </c>
      <c r="S189" s="1" t="s">
        <v>167</v>
      </c>
      <c r="T189" s="1">
        <f t="shared" si="38"/>
        <v>1.4291548761875762E-2</v>
      </c>
      <c r="U189" s="1">
        <f t="shared" si="39"/>
        <v>2.2487148295104099E-2</v>
      </c>
      <c r="V189" s="1">
        <f t="shared" si="40"/>
        <v>1.2629752838115946E-2</v>
      </c>
      <c r="W189" s="1">
        <f t="shared" si="41"/>
        <v>4.0360367639778717E-2</v>
      </c>
      <c r="Y189" s="1" t="s">
        <v>167</v>
      </c>
      <c r="Z189" s="1">
        <f t="shared" si="42"/>
        <v>4.2874646285627283E-3</v>
      </c>
      <c r="AA189" s="1">
        <f t="shared" si="43"/>
        <v>4.4974296590208204E-3</v>
      </c>
      <c r="AB189" s="1">
        <f t="shared" si="44"/>
        <v>3.7889258514347836E-3</v>
      </c>
      <c r="AC189" s="1">
        <f t="shared" si="45"/>
        <v>8.0720735279557441E-3</v>
      </c>
      <c r="AK189" s="17" t="s">
        <v>778</v>
      </c>
      <c r="AL189" s="17">
        <f t="shared" si="46"/>
        <v>2.7875116213178112E-2</v>
      </c>
      <c r="AM189" s="17">
        <f t="shared" si="47"/>
        <v>1.669556351951337E-2</v>
      </c>
      <c r="AO189" s="17" t="s">
        <v>1490</v>
      </c>
      <c r="AP189" s="17">
        <f t="shared" si="48"/>
        <v>0.61563704924578466</v>
      </c>
      <c r="AR189" s="1" t="s">
        <v>167</v>
      </c>
      <c r="AS189" s="17">
        <f t="shared" si="49"/>
        <v>0.61563704924578466</v>
      </c>
      <c r="AT189" s="17">
        <f t="shared" si="50"/>
        <v>417</v>
      </c>
    </row>
    <row r="190" spans="6:46" x14ac:dyDescent="0.3">
      <c r="F190" s="1">
        <v>188</v>
      </c>
      <c r="G190" s="1" t="s">
        <v>168</v>
      </c>
      <c r="H190" s="1">
        <v>1</v>
      </c>
      <c r="I190" s="1">
        <v>67</v>
      </c>
      <c r="J190" s="1">
        <v>1</v>
      </c>
      <c r="K190" s="1">
        <v>3</v>
      </c>
      <c r="M190" s="1" t="s">
        <v>168</v>
      </c>
      <c r="N190" s="1">
        <f t="shared" si="34"/>
        <v>0.14285714285714285</v>
      </c>
      <c r="O190" s="1">
        <f t="shared" si="35"/>
        <v>0.63809523809523805</v>
      </c>
      <c r="P190" s="1">
        <f t="shared" si="36"/>
        <v>1</v>
      </c>
      <c r="Q190" s="1">
        <f t="shared" si="37"/>
        <v>1</v>
      </c>
      <c r="S190" s="1" t="s">
        <v>168</v>
      </c>
      <c r="T190" s="1">
        <f t="shared" si="38"/>
        <v>1.4291548761875762E-2</v>
      </c>
      <c r="U190" s="1">
        <f t="shared" si="39"/>
        <v>4.8601255992644338E-2</v>
      </c>
      <c r="V190" s="1">
        <f t="shared" si="40"/>
        <v>6.3148764190579729E-2</v>
      </c>
      <c r="W190" s="1">
        <f t="shared" si="41"/>
        <v>4.0360367639778717E-2</v>
      </c>
      <c r="Y190" s="1" t="s">
        <v>168</v>
      </c>
      <c r="Z190" s="1">
        <f t="shared" si="42"/>
        <v>4.2874646285627283E-3</v>
      </c>
      <c r="AA190" s="1">
        <f t="shared" si="43"/>
        <v>9.7202511985288679E-3</v>
      </c>
      <c r="AB190" s="1">
        <f t="shared" si="44"/>
        <v>1.8944629257173919E-2</v>
      </c>
      <c r="AC190" s="1">
        <f t="shared" si="45"/>
        <v>8.0720735279557441E-3</v>
      </c>
      <c r="AK190" s="17" t="s">
        <v>779</v>
      </c>
      <c r="AL190" s="17">
        <f t="shared" si="46"/>
        <v>3.0362031902523848E-2</v>
      </c>
      <c r="AM190" s="17">
        <f t="shared" si="47"/>
        <v>9.4848981418725158E-3</v>
      </c>
      <c r="AO190" s="17" t="s">
        <v>1491</v>
      </c>
      <c r="AP190" s="17">
        <f t="shared" si="48"/>
        <v>0.32187829039978932</v>
      </c>
      <c r="AR190" s="1" t="s">
        <v>168</v>
      </c>
      <c r="AS190" s="17">
        <f t="shared" si="49"/>
        <v>0.32187829039978932</v>
      </c>
      <c r="AT190" s="17">
        <f t="shared" si="50"/>
        <v>640</v>
      </c>
    </row>
    <row r="191" spans="6:46" x14ac:dyDescent="0.3">
      <c r="F191" s="1">
        <v>189</v>
      </c>
      <c r="G191" s="1" t="s">
        <v>169</v>
      </c>
      <c r="H191" s="1">
        <v>1</v>
      </c>
      <c r="I191" s="1">
        <v>67</v>
      </c>
      <c r="J191" s="1">
        <v>2</v>
      </c>
      <c r="K191" s="1">
        <v>3</v>
      </c>
      <c r="M191" s="1" t="s">
        <v>169</v>
      </c>
      <c r="N191" s="1">
        <f t="shared" si="34"/>
        <v>0.14285714285714285</v>
      </c>
      <c r="O191" s="1">
        <f t="shared" si="35"/>
        <v>0.63809523809523805</v>
      </c>
      <c r="P191" s="1">
        <f t="shared" si="36"/>
        <v>0.5</v>
      </c>
      <c r="Q191" s="1">
        <f t="shared" si="37"/>
        <v>1</v>
      </c>
      <c r="S191" s="1" t="s">
        <v>169</v>
      </c>
      <c r="T191" s="1">
        <f t="shared" si="38"/>
        <v>1.4291548761875762E-2</v>
      </c>
      <c r="U191" s="1">
        <f t="shared" si="39"/>
        <v>4.8601255992644338E-2</v>
      </c>
      <c r="V191" s="1">
        <f t="shared" si="40"/>
        <v>3.1574382095289864E-2</v>
      </c>
      <c r="W191" s="1">
        <f t="shared" si="41"/>
        <v>4.0360367639778717E-2</v>
      </c>
      <c r="Y191" s="1" t="s">
        <v>169</v>
      </c>
      <c r="Z191" s="1">
        <f t="shared" si="42"/>
        <v>4.2874646285627283E-3</v>
      </c>
      <c r="AA191" s="1">
        <f t="shared" si="43"/>
        <v>9.7202511985288679E-3</v>
      </c>
      <c r="AB191" s="1">
        <f t="shared" si="44"/>
        <v>9.4723146285869593E-3</v>
      </c>
      <c r="AC191" s="1">
        <f t="shared" si="45"/>
        <v>8.0720735279557441E-3</v>
      </c>
      <c r="AK191" s="17" t="s">
        <v>780</v>
      </c>
      <c r="AL191" s="17">
        <f t="shared" si="46"/>
        <v>2.6915767563259318E-2</v>
      </c>
      <c r="AM191" s="17">
        <f t="shared" si="47"/>
        <v>1.3404776655529893E-2</v>
      </c>
      <c r="AO191" s="17" t="s">
        <v>1492</v>
      </c>
      <c r="AP191" s="17">
        <f t="shared" si="48"/>
        <v>0.51143169058339943</v>
      </c>
      <c r="AR191" s="1" t="s">
        <v>169</v>
      </c>
      <c r="AS191" s="17">
        <f t="shared" si="49"/>
        <v>0.51143169058339943</v>
      </c>
      <c r="AT191" s="17">
        <f t="shared" si="50"/>
        <v>524</v>
      </c>
    </row>
    <row r="192" spans="6:46" x14ac:dyDescent="0.3">
      <c r="F192" s="1">
        <v>190</v>
      </c>
      <c r="G192" s="1" t="s">
        <v>170</v>
      </c>
      <c r="H192" s="1">
        <v>0</v>
      </c>
      <c r="I192" s="1">
        <v>54</v>
      </c>
      <c r="J192" s="1">
        <v>4</v>
      </c>
      <c r="K192" s="1">
        <v>2</v>
      </c>
      <c r="M192" s="1" t="s">
        <v>170</v>
      </c>
      <c r="N192" s="1">
        <f t="shared" si="34"/>
        <v>0</v>
      </c>
      <c r="O192" s="1">
        <f t="shared" si="35"/>
        <v>0.51428571428571423</v>
      </c>
      <c r="P192" s="1">
        <f t="shared" si="36"/>
        <v>0.25</v>
      </c>
      <c r="Q192" s="1">
        <f t="shared" si="37"/>
        <v>0.66666666666666663</v>
      </c>
      <c r="S192" s="1" t="s">
        <v>170</v>
      </c>
      <c r="T192" s="1">
        <f t="shared" si="38"/>
        <v>0</v>
      </c>
      <c r="U192" s="1">
        <f t="shared" si="39"/>
        <v>3.9171161546310361E-2</v>
      </c>
      <c r="V192" s="1">
        <f t="shared" si="40"/>
        <v>1.5787191047644932E-2</v>
      </c>
      <c r="W192" s="1">
        <f t="shared" si="41"/>
        <v>2.6906911759852478E-2</v>
      </c>
      <c r="Y192" s="1" t="s">
        <v>170</v>
      </c>
      <c r="Z192" s="1">
        <f t="shared" si="42"/>
        <v>0</v>
      </c>
      <c r="AA192" s="1">
        <f t="shared" si="43"/>
        <v>7.8342323092620725E-3</v>
      </c>
      <c r="AB192" s="1">
        <f t="shared" si="44"/>
        <v>4.7361573142934797E-3</v>
      </c>
      <c r="AC192" s="1">
        <f t="shared" si="45"/>
        <v>5.3813823519704958E-3</v>
      </c>
      <c r="AK192" s="17" t="s">
        <v>781</v>
      </c>
      <c r="AL192" s="17">
        <f t="shared" si="46"/>
        <v>3.104218935336879E-2</v>
      </c>
      <c r="AM192" s="17">
        <f t="shared" si="47"/>
        <v>1.5187935172770627E-2</v>
      </c>
      <c r="AO192" s="17" t="s">
        <v>1493</v>
      </c>
      <c r="AP192" s="17">
        <f t="shared" si="48"/>
        <v>0.50445546072899849</v>
      </c>
      <c r="AR192" s="1" t="s">
        <v>170</v>
      </c>
      <c r="AS192" s="17">
        <f t="shared" si="49"/>
        <v>0.50445546072899849</v>
      </c>
      <c r="AT192" s="17">
        <f t="shared" si="50"/>
        <v>534</v>
      </c>
    </row>
    <row r="193" spans="6:46" x14ac:dyDescent="0.3">
      <c r="F193" s="1">
        <v>191</v>
      </c>
      <c r="G193" s="1" t="s">
        <v>5</v>
      </c>
      <c r="H193" s="1">
        <v>2</v>
      </c>
      <c r="I193" s="1">
        <v>76</v>
      </c>
      <c r="J193" s="1">
        <v>2</v>
      </c>
      <c r="K193" s="1">
        <v>3</v>
      </c>
      <c r="M193" s="1" t="s">
        <v>5</v>
      </c>
      <c r="N193" s="1">
        <f t="shared" si="34"/>
        <v>0.2857142857142857</v>
      </c>
      <c r="O193" s="1">
        <f t="shared" si="35"/>
        <v>0.72380952380952379</v>
      </c>
      <c r="P193" s="1">
        <f t="shared" si="36"/>
        <v>0.5</v>
      </c>
      <c r="Q193" s="1">
        <f t="shared" si="37"/>
        <v>1</v>
      </c>
      <c r="S193" s="1" t="s">
        <v>5</v>
      </c>
      <c r="T193" s="1">
        <f t="shared" si="38"/>
        <v>2.8583097523751523E-2</v>
      </c>
      <c r="U193" s="1">
        <f t="shared" si="39"/>
        <v>5.5129782917029399E-2</v>
      </c>
      <c r="V193" s="1">
        <f t="shared" si="40"/>
        <v>3.1574382095289864E-2</v>
      </c>
      <c r="W193" s="1">
        <f t="shared" si="41"/>
        <v>4.0360367639778717E-2</v>
      </c>
      <c r="Y193" s="1" t="s">
        <v>5</v>
      </c>
      <c r="Z193" s="1">
        <f t="shared" si="42"/>
        <v>8.5749292571254566E-3</v>
      </c>
      <c r="AA193" s="1">
        <f t="shared" si="43"/>
        <v>1.1025956583405881E-2</v>
      </c>
      <c r="AB193" s="1">
        <f t="shared" si="44"/>
        <v>9.4723146285869593E-3</v>
      </c>
      <c r="AC193" s="1">
        <f t="shared" si="45"/>
        <v>8.0720735279557441E-3</v>
      </c>
      <c r="AK193" s="17" t="s">
        <v>782</v>
      </c>
      <c r="AL193" s="17">
        <f t="shared" si="46"/>
        <v>2.257345513726652E-2</v>
      </c>
      <c r="AM193" s="17">
        <f t="shared" si="47"/>
        <v>1.592446633583788E-2</v>
      </c>
      <c r="AO193" s="17" t="s">
        <v>1494</v>
      </c>
      <c r="AP193" s="17">
        <f t="shared" si="48"/>
        <v>0.72137545906172218</v>
      </c>
      <c r="AR193" s="1" t="s">
        <v>5</v>
      </c>
      <c r="AS193" s="17">
        <f t="shared" si="49"/>
        <v>0.72137545906172218</v>
      </c>
      <c r="AT193" s="17">
        <f t="shared" si="50"/>
        <v>329</v>
      </c>
    </row>
    <row r="194" spans="6:46" x14ac:dyDescent="0.3">
      <c r="F194" s="1">
        <v>192</v>
      </c>
      <c r="G194" s="1" t="s">
        <v>171</v>
      </c>
      <c r="H194" s="1">
        <v>3</v>
      </c>
      <c r="I194" s="1">
        <v>35</v>
      </c>
      <c r="J194" s="1">
        <v>2</v>
      </c>
      <c r="K194" s="1">
        <v>3</v>
      </c>
      <c r="M194" s="1" t="s">
        <v>171</v>
      </c>
      <c r="N194" s="1">
        <f t="shared" si="34"/>
        <v>0.42857142857142855</v>
      </c>
      <c r="O194" s="1">
        <f t="shared" si="35"/>
        <v>0.33333333333333331</v>
      </c>
      <c r="P194" s="1">
        <f t="shared" si="36"/>
        <v>0.5</v>
      </c>
      <c r="Q194" s="1">
        <f t="shared" si="37"/>
        <v>1</v>
      </c>
      <c r="S194" s="1" t="s">
        <v>171</v>
      </c>
      <c r="T194" s="1">
        <f t="shared" si="38"/>
        <v>4.2874646285627281E-2</v>
      </c>
      <c r="U194" s="1">
        <f t="shared" si="39"/>
        <v>2.5388715817053011E-2</v>
      </c>
      <c r="V194" s="1">
        <f t="shared" si="40"/>
        <v>3.1574382095289864E-2</v>
      </c>
      <c r="W194" s="1">
        <f t="shared" si="41"/>
        <v>4.0360367639778717E-2</v>
      </c>
      <c r="Y194" s="1" t="s">
        <v>171</v>
      </c>
      <c r="Z194" s="1">
        <f t="shared" si="42"/>
        <v>1.2862393885688184E-2</v>
      </c>
      <c r="AA194" s="1">
        <f t="shared" si="43"/>
        <v>5.0777431634106028E-3</v>
      </c>
      <c r="AB194" s="1">
        <f t="shared" si="44"/>
        <v>9.4723146285869593E-3</v>
      </c>
      <c r="AC194" s="1">
        <f t="shared" si="45"/>
        <v>8.0720735279557441E-3</v>
      </c>
      <c r="AK194" s="17" t="s">
        <v>783</v>
      </c>
      <c r="AL194" s="17">
        <f t="shared" si="46"/>
        <v>2.0725647338149331E-2</v>
      </c>
      <c r="AM194" s="17">
        <f t="shared" si="47"/>
        <v>1.6961198783172784E-2</v>
      </c>
      <c r="AO194" s="17" t="s">
        <v>1495</v>
      </c>
      <c r="AP194" s="17">
        <f t="shared" si="48"/>
        <v>0.83532882351606141</v>
      </c>
      <c r="AR194" s="1" t="s">
        <v>171</v>
      </c>
      <c r="AS194" s="17">
        <f t="shared" si="49"/>
        <v>0.83532882351606141</v>
      </c>
      <c r="AT194" s="17">
        <f t="shared" si="50"/>
        <v>283</v>
      </c>
    </row>
    <row r="195" spans="6:46" x14ac:dyDescent="0.3">
      <c r="F195" s="1">
        <v>193</v>
      </c>
      <c r="G195" s="1" t="s">
        <v>172</v>
      </c>
      <c r="H195" s="1">
        <v>2</v>
      </c>
      <c r="I195" s="1">
        <v>60</v>
      </c>
      <c r="J195" s="1">
        <v>5</v>
      </c>
      <c r="K195" s="1">
        <v>3</v>
      </c>
      <c r="M195" s="1" t="s">
        <v>172</v>
      </c>
      <c r="N195" s="1">
        <f t="shared" si="34"/>
        <v>0.2857142857142857</v>
      </c>
      <c r="O195" s="1">
        <f t="shared" si="35"/>
        <v>0.5714285714285714</v>
      </c>
      <c r="P195" s="1">
        <f t="shared" si="36"/>
        <v>0.2</v>
      </c>
      <c r="Q195" s="1">
        <f t="shared" si="37"/>
        <v>1</v>
      </c>
      <c r="S195" s="1" t="s">
        <v>172</v>
      </c>
      <c r="T195" s="1">
        <f t="shared" si="38"/>
        <v>2.8583097523751523E-2</v>
      </c>
      <c r="U195" s="1">
        <f t="shared" si="39"/>
        <v>4.3523512829233738E-2</v>
      </c>
      <c r="V195" s="1">
        <f t="shared" si="40"/>
        <v>1.2629752838115946E-2</v>
      </c>
      <c r="W195" s="1">
        <f t="shared" si="41"/>
        <v>4.0360367639778717E-2</v>
      </c>
      <c r="Y195" s="1" t="s">
        <v>172</v>
      </c>
      <c r="Z195" s="1">
        <f t="shared" si="42"/>
        <v>8.5749292571254566E-3</v>
      </c>
      <c r="AA195" s="1">
        <f t="shared" si="43"/>
        <v>8.7047025658467479E-3</v>
      </c>
      <c r="AB195" s="1">
        <f t="shared" si="44"/>
        <v>3.7889258514347836E-3</v>
      </c>
      <c r="AC195" s="1">
        <f t="shared" si="45"/>
        <v>8.0720735279557441E-3</v>
      </c>
      <c r="AK195" s="17" t="s">
        <v>784</v>
      </c>
      <c r="AL195" s="17">
        <f t="shared" si="46"/>
        <v>2.240938391236658E-2</v>
      </c>
      <c r="AM195" s="17">
        <f t="shared" si="47"/>
        <v>1.9041453808738614E-2</v>
      </c>
      <c r="AO195" s="17" t="s">
        <v>1496</v>
      </c>
      <c r="AP195" s="17">
        <f t="shared" si="48"/>
        <v>0.86875039195721759</v>
      </c>
      <c r="AR195" s="1" t="s">
        <v>172</v>
      </c>
      <c r="AS195" s="17">
        <f t="shared" si="49"/>
        <v>0.86875039195721759</v>
      </c>
      <c r="AT195" s="17">
        <f t="shared" si="50"/>
        <v>221</v>
      </c>
    </row>
    <row r="196" spans="6:46" x14ac:dyDescent="0.3">
      <c r="F196" s="1">
        <v>194</v>
      </c>
      <c r="G196" s="1" t="s">
        <v>173</v>
      </c>
      <c r="H196" s="1">
        <v>6</v>
      </c>
      <c r="I196" s="1">
        <v>82</v>
      </c>
      <c r="J196" s="1">
        <v>1</v>
      </c>
      <c r="K196" s="1">
        <v>3</v>
      </c>
      <c r="M196" s="1" t="s">
        <v>173</v>
      </c>
      <c r="N196" s="1">
        <f t="shared" ref="N196:N259" si="51">H196/MAX($H$3:$H$712)</f>
        <v>0.8571428571428571</v>
      </c>
      <c r="O196" s="1">
        <f t="shared" ref="O196:O259" si="52">I196/MAX($I$3:$I$712)</f>
        <v>0.78095238095238095</v>
      </c>
      <c r="P196" s="1">
        <f t="shared" ref="P196:P259" si="53">MIN($J$3:$J$712)/J196</f>
        <v>1</v>
      </c>
      <c r="Q196" s="1">
        <f t="shared" ref="Q196:Q259" si="54">K196/MAX($K$3:$K$712)</f>
        <v>1</v>
      </c>
      <c r="S196" s="1" t="s">
        <v>173</v>
      </c>
      <c r="T196" s="1">
        <f t="shared" ref="T196:T259" si="55">N196/SQRT(SUMSQ($N$3:$N$712))</f>
        <v>8.5749292571254562E-2</v>
      </c>
      <c r="U196" s="1">
        <f t="shared" ref="U196:U259" si="56">O196/SQRT(SUMSQ($O$3:$O$712))</f>
        <v>5.9482134199952776E-2</v>
      </c>
      <c r="V196" s="1">
        <f t="shared" ref="V196:V259" si="57">P196/SQRT(SUMSQ($P$3:$P$712))</f>
        <v>6.3148764190579729E-2</v>
      </c>
      <c r="W196" s="1">
        <f t="shared" ref="W196:W259" si="58">Q196/SQRT(SUMSQ($Q$3:$Q$712))</f>
        <v>4.0360367639778717E-2</v>
      </c>
      <c r="Y196" s="1" t="s">
        <v>173</v>
      </c>
      <c r="Z196" s="1">
        <f t="shared" ref="Z196:Z259" si="59">T196*$D$3</f>
        <v>2.5724787771376368E-2</v>
      </c>
      <c r="AA196" s="1">
        <f t="shared" ref="AA196:AA259" si="60">U196*$D$4</f>
        <v>1.1896426839990556E-2</v>
      </c>
      <c r="AB196" s="1">
        <f t="shared" ref="AB196:AB259" si="61">V196*$D$5</f>
        <v>1.8944629257173919E-2</v>
      </c>
      <c r="AC196" s="1">
        <f t="shared" ref="AC196:AC259" si="62">W196*$D$6</f>
        <v>8.0720735279557441E-3</v>
      </c>
      <c r="AK196" s="17" t="s">
        <v>785</v>
      </c>
      <c r="AL196" s="17">
        <f t="shared" ref="AL196:AL259" si="63">SQRT( ($AF$3-Z196)^2 + ($AG$3-AA196)^2 + ($AH$3-AB196)^2 + ($AI$3-AC196)^2 )</f>
        <v>1.610006057723282E-2</v>
      </c>
      <c r="AM196" s="17">
        <f t="shared" ref="AM196:AM259" si="64">SQRT( (Z196-$AF$4)^2 + (AA196-$AG$4)^2 + (AB196-$AH$4)^2 + (AC196-$AI$4)^2 )</f>
        <v>2.7685661065979868E-2</v>
      </c>
      <c r="AO196" s="17" t="s">
        <v>1497</v>
      </c>
      <c r="AP196" s="17">
        <f t="shared" ref="AP196:AP259" si="65">AM196/AL196+AM196</f>
        <v>1.7472854683567864</v>
      </c>
      <c r="AR196" s="1" t="s">
        <v>173</v>
      </c>
      <c r="AS196" s="17">
        <f t="shared" ref="AS196:AS259" si="66">AP196</f>
        <v>1.7472854683567864</v>
      </c>
      <c r="AT196" s="17">
        <f t="shared" ref="AT196:AT259" si="67">RANK(AS196,$AS$3:$AS$712,0)</f>
        <v>23</v>
      </c>
    </row>
    <row r="197" spans="6:46" x14ac:dyDescent="0.3">
      <c r="F197" s="1">
        <v>195</v>
      </c>
      <c r="G197" s="1" t="s">
        <v>174</v>
      </c>
      <c r="H197" s="1">
        <v>0</v>
      </c>
      <c r="I197" s="1">
        <v>71</v>
      </c>
      <c r="J197" s="1">
        <v>2</v>
      </c>
      <c r="K197" s="1">
        <v>2</v>
      </c>
      <c r="M197" s="1" t="s">
        <v>174</v>
      </c>
      <c r="N197" s="1">
        <f t="shared" si="51"/>
        <v>0</v>
      </c>
      <c r="O197" s="1">
        <f t="shared" si="52"/>
        <v>0.67619047619047623</v>
      </c>
      <c r="P197" s="1">
        <f t="shared" si="53"/>
        <v>0.5</v>
      </c>
      <c r="Q197" s="1">
        <f t="shared" si="54"/>
        <v>0.66666666666666663</v>
      </c>
      <c r="S197" s="1" t="s">
        <v>174</v>
      </c>
      <c r="T197" s="1">
        <f t="shared" si="55"/>
        <v>0</v>
      </c>
      <c r="U197" s="1">
        <f t="shared" si="56"/>
        <v>5.150282351459326E-2</v>
      </c>
      <c r="V197" s="1">
        <f t="shared" si="57"/>
        <v>3.1574382095289864E-2</v>
      </c>
      <c r="W197" s="1">
        <f t="shared" si="58"/>
        <v>2.6906911759852478E-2</v>
      </c>
      <c r="Y197" s="1" t="s">
        <v>174</v>
      </c>
      <c r="Z197" s="1">
        <f t="shared" si="59"/>
        <v>0</v>
      </c>
      <c r="AA197" s="1">
        <f t="shared" si="60"/>
        <v>1.0300564702918652E-2</v>
      </c>
      <c r="AB197" s="1">
        <f t="shared" si="61"/>
        <v>9.4723146285869593E-3</v>
      </c>
      <c r="AC197" s="1">
        <f t="shared" si="62"/>
        <v>5.3813823519704958E-3</v>
      </c>
      <c r="AK197" s="17" t="s">
        <v>786</v>
      </c>
      <c r="AL197" s="17">
        <f t="shared" si="63"/>
        <v>3.1058126199409286E-2</v>
      </c>
      <c r="AM197" s="17">
        <f t="shared" si="64"/>
        <v>1.214496503367758E-2</v>
      </c>
      <c r="AO197" s="17" t="s">
        <v>1498</v>
      </c>
      <c r="AP197" s="17">
        <f t="shared" si="65"/>
        <v>0.40318481578644361</v>
      </c>
      <c r="AR197" s="1" t="s">
        <v>174</v>
      </c>
      <c r="AS197" s="17">
        <f t="shared" si="66"/>
        <v>0.40318481578644361</v>
      </c>
      <c r="AT197" s="17">
        <f t="shared" si="67"/>
        <v>595</v>
      </c>
    </row>
    <row r="198" spans="6:46" x14ac:dyDescent="0.3">
      <c r="F198" s="1">
        <v>196</v>
      </c>
      <c r="G198" s="1" t="s">
        <v>175</v>
      </c>
      <c r="H198" s="1">
        <v>3</v>
      </c>
      <c r="I198" s="1">
        <v>35</v>
      </c>
      <c r="J198" s="1">
        <v>2</v>
      </c>
      <c r="K198" s="1">
        <v>3</v>
      </c>
      <c r="M198" s="1" t="s">
        <v>175</v>
      </c>
      <c r="N198" s="1">
        <f t="shared" si="51"/>
        <v>0.42857142857142855</v>
      </c>
      <c r="O198" s="1">
        <f t="shared" si="52"/>
        <v>0.33333333333333331</v>
      </c>
      <c r="P198" s="1">
        <f t="shared" si="53"/>
        <v>0.5</v>
      </c>
      <c r="Q198" s="1">
        <f t="shared" si="54"/>
        <v>1</v>
      </c>
      <c r="S198" s="1" t="s">
        <v>175</v>
      </c>
      <c r="T198" s="1">
        <f t="shared" si="55"/>
        <v>4.2874646285627281E-2</v>
      </c>
      <c r="U198" s="1">
        <f t="shared" si="56"/>
        <v>2.5388715817053011E-2</v>
      </c>
      <c r="V198" s="1">
        <f t="shared" si="57"/>
        <v>3.1574382095289864E-2</v>
      </c>
      <c r="W198" s="1">
        <f t="shared" si="58"/>
        <v>4.0360367639778717E-2</v>
      </c>
      <c r="Y198" s="1" t="s">
        <v>175</v>
      </c>
      <c r="Z198" s="1">
        <f t="shared" si="59"/>
        <v>1.2862393885688184E-2</v>
      </c>
      <c r="AA198" s="1">
        <f t="shared" si="60"/>
        <v>5.0777431634106028E-3</v>
      </c>
      <c r="AB198" s="1">
        <f t="shared" si="61"/>
        <v>9.4723146285869593E-3</v>
      </c>
      <c r="AC198" s="1">
        <f t="shared" si="62"/>
        <v>8.0720735279557441E-3</v>
      </c>
      <c r="AK198" s="17" t="s">
        <v>787</v>
      </c>
      <c r="AL198" s="17">
        <f t="shared" si="63"/>
        <v>2.0725647338149331E-2</v>
      </c>
      <c r="AM198" s="17">
        <f t="shared" si="64"/>
        <v>1.6961198783172784E-2</v>
      </c>
      <c r="AO198" s="17" t="s">
        <v>1499</v>
      </c>
      <c r="AP198" s="17">
        <f t="shared" si="65"/>
        <v>0.83532882351606141</v>
      </c>
      <c r="AR198" s="1" t="s">
        <v>175</v>
      </c>
      <c r="AS198" s="17">
        <f t="shared" si="66"/>
        <v>0.83532882351606141</v>
      </c>
      <c r="AT198" s="17">
        <f t="shared" si="67"/>
        <v>283</v>
      </c>
    </row>
    <row r="199" spans="6:46" x14ac:dyDescent="0.3">
      <c r="F199" s="1">
        <v>197</v>
      </c>
      <c r="G199" s="1" t="s">
        <v>176</v>
      </c>
      <c r="H199" s="1">
        <v>3</v>
      </c>
      <c r="I199" s="1">
        <v>48</v>
      </c>
      <c r="J199" s="1">
        <v>2</v>
      </c>
      <c r="K199" s="1">
        <v>3</v>
      </c>
      <c r="M199" s="1" t="s">
        <v>176</v>
      </c>
      <c r="N199" s="1">
        <f t="shared" si="51"/>
        <v>0.42857142857142855</v>
      </c>
      <c r="O199" s="1">
        <f t="shared" si="52"/>
        <v>0.45714285714285713</v>
      </c>
      <c r="P199" s="1">
        <f t="shared" si="53"/>
        <v>0.5</v>
      </c>
      <c r="Q199" s="1">
        <f t="shared" si="54"/>
        <v>1</v>
      </c>
      <c r="S199" s="1" t="s">
        <v>176</v>
      </c>
      <c r="T199" s="1">
        <f t="shared" si="55"/>
        <v>4.2874646285627281E-2</v>
      </c>
      <c r="U199" s="1">
        <f t="shared" si="56"/>
        <v>3.4818810263386991E-2</v>
      </c>
      <c r="V199" s="1">
        <f t="shared" si="57"/>
        <v>3.1574382095289864E-2</v>
      </c>
      <c r="W199" s="1">
        <f t="shared" si="58"/>
        <v>4.0360367639778717E-2</v>
      </c>
      <c r="Y199" s="1" t="s">
        <v>176</v>
      </c>
      <c r="Z199" s="1">
        <f t="shared" si="59"/>
        <v>1.2862393885688184E-2</v>
      </c>
      <c r="AA199" s="1">
        <f t="shared" si="60"/>
        <v>6.963762052677399E-3</v>
      </c>
      <c r="AB199" s="1">
        <f t="shared" si="61"/>
        <v>9.4723146285869593E-3</v>
      </c>
      <c r="AC199" s="1">
        <f t="shared" si="62"/>
        <v>8.0720735279557441E-3</v>
      </c>
      <c r="AK199" s="17" t="s">
        <v>788</v>
      </c>
      <c r="AL199" s="17">
        <f t="shared" si="63"/>
        <v>1.9869641334253032E-2</v>
      </c>
      <c r="AM199" s="17">
        <f t="shared" si="64"/>
        <v>1.727291133290261E-2</v>
      </c>
      <c r="AO199" s="17" t="s">
        <v>1500</v>
      </c>
      <c r="AP199" s="17">
        <f t="shared" si="65"/>
        <v>0.88658459352849661</v>
      </c>
      <c r="AR199" s="1" t="s">
        <v>176</v>
      </c>
      <c r="AS199" s="17">
        <f t="shared" si="66"/>
        <v>0.88658459352849661</v>
      </c>
      <c r="AT199" s="17">
        <f t="shared" si="67"/>
        <v>191</v>
      </c>
    </row>
    <row r="200" spans="6:46" x14ac:dyDescent="0.3">
      <c r="F200" s="1">
        <v>198</v>
      </c>
      <c r="G200" s="1" t="s">
        <v>177</v>
      </c>
      <c r="H200" s="1">
        <v>2</v>
      </c>
      <c r="I200" s="1">
        <v>38</v>
      </c>
      <c r="J200" s="1">
        <v>2</v>
      </c>
      <c r="K200" s="1">
        <v>3</v>
      </c>
      <c r="M200" s="1" t="s">
        <v>177</v>
      </c>
      <c r="N200" s="1">
        <f t="shared" si="51"/>
        <v>0.2857142857142857</v>
      </c>
      <c r="O200" s="1">
        <f t="shared" si="52"/>
        <v>0.3619047619047619</v>
      </c>
      <c r="P200" s="1">
        <f t="shared" si="53"/>
        <v>0.5</v>
      </c>
      <c r="Q200" s="1">
        <f t="shared" si="54"/>
        <v>1</v>
      </c>
      <c r="S200" s="1" t="s">
        <v>177</v>
      </c>
      <c r="T200" s="1">
        <f t="shared" si="55"/>
        <v>2.8583097523751523E-2</v>
      </c>
      <c r="U200" s="1">
        <f t="shared" si="56"/>
        <v>2.75648914585147E-2</v>
      </c>
      <c r="V200" s="1">
        <f t="shared" si="57"/>
        <v>3.1574382095289864E-2</v>
      </c>
      <c r="W200" s="1">
        <f t="shared" si="58"/>
        <v>4.0360367639778717E-2</v>
      </c>
      <c r="Y200" s="1" t="s">
        <v>177</v>
      </c>
      <c r="Z200" s="1">
        <f t="shared" si="59"/>
        <v>8.5749292571254566E-3</v>
      </c>
      <c r="AA200" s="1">
        <f t="shared" si="60"/>
        <v>5.5129782917029404E-3</v>
      </c>
      <c r="AB200" s="1">
        <f t="shared" si="61"/>
        <v>9.4723146285869593E-3</v>
      </c>
      <c r="AC200" s="1">
        <f t="shared" si="62"/>
        <v>8.0720735279557441E-3</v>
      </c>
      <c r="AK200" s="17" t="s">
        <v>789</v>
      </c>
      <c r="AL200" s="17">
        <f t="shared" si="63"/>
        <v>2.4214520744466009E-2</v>
      </c>
      <c r="AM200" s="17">
        <f t="shared" si="64"/>
        <v>1.40570854881011E-2</v>
      </c>
      <c r="AO200" s="17" t="s">
        <v>1501</v>
      </c>
      <c r="AP200" s="17">
        <f t="shared" si="65"/>
        <v>0.59458005500892919</v>
      </c>
      <c r="AR200" s="1" t="s">
        <v>177</v>
      </c>
      <c r="AS200" s="17">
        <f t="shared" si="66"/>
        <v>0.59458005500892919</v>
      </c>
      <c r="AT200" s="17">
        <f t="shared" si="67"/>
        <v>443</v>
      </c>
    </row>
    <row r="201" spans="6:46" x14ac:dyDescent="0.3">
      <c r="F201" s="1">
        <v>199</v>
      </c>
      <c r="G201" s="1" t="s">
        <v>178</v>
      </c>
      <c r="H201" s="1">
        <v>3</v>
      </c>
      <c r="I201" s="1">
        <v>45</v>
      </c>
      <c r="J201" s="1">
        <v>5</v>
      </c>
      <c r="K201" s="1">
        <v>3</v>
      </c>
      <c r="M201" s="1" t="s">
        <v>178</v>
      </c>
      <c r="N201" s="1">
        <f t="shared" si="51"/>
        <v>0.42857142857142855</v>
      </c>
      <c r="O201" s="1">
        <f t="shared" si="52"/>
        <v>0.42857142857142855</v>
      </c>
      <c r="P201" s="1">
        <f t="shared" si="53"/>
        <v>0.2</v>
      </c>
      <c r="Q201" s="1">
        <f t="shared" si="54"/>
        <v>1</v>
      </c>
      <c r="S201" s="1" t="s">
        <v>178</v>
      </c>
      <c r="T201" s="1">
        <f t="shared" si="55"/>
        <v>4.2874646285627281E-2</v>
      </c>
      <c r="U201" s="1">
        <f t="shared" si="56"/>
        <v>3.26426346219253E-2</v>
      </c>
      <c r="V201" s="1">
        <f t="shared" si="57"/>
        <v>1.2629752838115946E-2</v>
      </c>
      <c r="W201" s="1">
        <f t="shared" si="58"/>
        <v>4.0360367639778717E-2</v>
      </c>
      <c r="Y201" s="1" t="s">
        <v>178</v>
      </c>
      <c r="Z201" s="1">
        <f t="shared" si="59"/>
        <v>1.2862393885688184E-2</v>
      </c>
      <c r="AA201" s="1">
        <f t="shared" si="60"/>
        <v>6.5285269243850605E-3</v>
      </c>
      <c r="AB201" s="1">
        <f t="shared" si="61"/>
        <v>3.7889258514347836E-3</v>
      </c>
      <c r="AC201" s="1">
        <f t="shared" si="62"/>
        <v>8.0720735279557441E-3</v>
      </c>
      <c r="AK201" s="17" t="s">
        <v>790</v>
      </c>
      <c r="AL201" s="17">
        <f t="shared" si="63"/>
        <v>1.9232511375758592E-2</v>
      </c>
      <c r="AM201" s="17">
        <f t="shared" si="64"/>
        <v>2.0862167915585334E-2</v>
      </c>
      <c r="AO201" s="17" t="s">
        <v>1502</v>
      </c>
      <c r="AP201" s="17">
        <f t="shared" si="65"/>
        <v>1.1055966317610519</v>
      </c>
      <c r="AR201" s="1" t="s">
        <v>178</v>
      </c>
      <c r="AS201" s="17">
        <f t="shared" si="66"/>
        <v>1.1055966317610519</v>
      </c>
      <c r="AT201" s="17">
        <f t="shared" si="67"/>
        <v>104</v>
      </c>
    </row>
    <row r="202" spans="6:46" x14ac:dyDescent="0.3">
      <c r="F202" s="1">
        <v>200</v>
      </c>
      <c r="G202" s="1" t="s">
        <v>179</v>
      </c>
      <c r="H202" s="1">
        <v>3</v>
      </c>
      <c r="I202" s="1">
        <v>55</v>
      </c>
      <c r="J202" s="1">
        <v>2</v>
      </c>
      <c r="K202" s="1">
        <v>3</v>
      </c>
      <c r="M202" s="1" t="s">
        <v>179</v>
      </c>
      <c r="N202" s="1">
        <f t="shared" si="51"/>
        <v>0.42857142857142855</v>
      </c>
      <c r="O202" s="1">
        <f t="shared" si="52"/>
        <v>0.52380952380952384</v>
      </c>
      <c r="P202" s="1">
        <f t="shared" si="53"/>
        <v>0.5</v>
      </c>
      <c r="Q202" s="1">
        <f t="shared" si="54"/>
        <v>1</v>
      </c>
      <c r="S202" s="1" t="s">
        <v>179</v>
      </c>
      <c r="T202" s="1">
        <f t="shared" si="55"/>
        <v>4.2874646285627281E-2</v>
      </c>
      <c r="U202" s="1">
        <f t="shared" si="56"/>
        <v>3.9896553426797592E-2</v>
      </c>
      <c r="V202" s="1">
        <f t="shared" si="57"/>
        <v>3.1574382095289864E-2</v>
      </c>
      <c r="W202" s="1">
        <f t="shared" si="58"/>
        <v>4.0360367639778717E-2</v>
      </c>
      <c r="Y202" s="1" t="s">
        <v>179</v>
      </c>
      <c r="Z202" s="1">
        <f t="shared" si="59"/>
        <v>1.2862393885688184E-2</v>
      </c>
      <c r="AA202" s="1">
        <f t="shared" si="60"/>
        <v>7.979310685359519E-3</v>
      </c>
      <c r="AB202" s="1">
        <f t="shared" si="61"/>
        <v>9.4723146285869593E-3</v>
      </c>
      <c r="AC202" s="1">
        <f t="shared" si="62"/>
        <v>8.0720735279557441E-3</v>
      </c>
      <c r="AK202" s="17" t="s">
        <v>791</v>
      </c>
      <c r="AL202" s="17">
        <f t="shared" si="63"/>
        <v>1.9468895527963669E-2</v>
      </c>
      <c r="AM202" s="17">
        <f t="shared" si="64"/>
        <v>1.7522733250166428E-2</v>
      </c>
      <c r="AO202" s="17" t="s">
        <v>1503</v>
      </c>
      <c r="AP202" s="17">
        <f t="shared" si="65"/>
        <v>0.91756008899015074</v>
      </c>
      <c r="AR202" s="1" t="s">
        <v>179</v>
      </c>
      <c r="AS202" s="17">
        <f t="shared" si="66"/>
        <v>0.91756008899015074</v>
      </c>
      <c r="AT202" s="17">
        <f t="shared" si="67"/>
        <v>172</v>
      </c>
    </row>
    <row r="203" spans="6:46" x14ac:dyDescent="0.3">
      <c r="F203" s="1">
        <v>201</v>
      </c>
      <c r="G203" s="1" t="s">
        <v>180</v>
      </c>
      <c r="H203" s="1">
        <v>2</v>
      </c>
      <c r="I203" s="1">
        <v>37</v>
      </c>
      <c r="J203" s="1">
        <v>2</v>
      </c>
      <c r="K203" s="1">
        <v>3</v>
      </c>
      <c r="M203" s="1" t="s">
        <v>180</v>
      </c>
      <c r="N203" s="1">
        <f t="shared" si="51"/>
        <v>0.2857142857142857</v>
      </c>
      <c r="O203" s="1">
        <f t="shared" si="52"/>
        <v>0.35238095238095241</v>
      </c>
      <c r="P203" s="1">
        <f t="shared" si="53"/>
        <v>0.5</v>
      </c>
      <c r="Q203" s="1">
        <f t="shared" si="54"/>
        <v>1</v>
      </c>
      <c r="S203" s="1" t="s">
        <v>180</v>
      </c>
      <c r="T203" s="1">
        <f t="shared" si="55"/>
        <v>2.8583097523751523E-2</v>
      </c>
      <c r="U203" s="1">
        <f t="shared" si="56"/>
        <v>2.6839499578027472E-2</v>
      </c>
      <c r="V203" s="1">
        <f t="shared" si="57"/>
        <v>3.1574382095289864E-2</v>
      </c>
      <c r="W203" s="1">
        <f t="shared" si="58"/>
        <v>4.0360367639778717E-2</v>
      </c>
      <c r="Y203" s="1" t="s">
        <v>180</v>
      </c>
      <c r="Z203" s="1">
        <f t="shared" si="59"/>
        <v>8.5749292571254566E-3</v>
      </c>
      <c r="AA203" s="1">
        <f t="shared" si="60"/>
        <v>5.3678999156054948E-3</v>
      </c>
      <c r="AB203" s="1">
        <f t="shared" si="61"/>
        <v>9.4723146285869593E-3</v>
      </c>
      <c r="AC203" s="1">
        <f t="shared" si="62"/>
        <v>8.0720735279557441E-3</v>
      </c>
      <c r="AK203" s="17" t="s">
        <v>792</v>
      </c>
      <c r="AL203" s="17">
        <f t="shared" si="63"/>
        <v>2.4273122154714038E-2</v>
      </c>
      <c r="AM203" s="17">
        <f t="shared" si="64"/>
        <v>1.4033858080664751E-2</v>
      </c>
      <c r="AO203" s="17" t="s">
        <v>1504</v>
      </c>
      <c r="AP203" s="17">
        <f t="shared" si="65"/>
        <v>0.5921983806012775</v>
      </c>
      <c r="AR203" s="1" t="s">
        <v>180</v>
      </c>
      <c r="AS203" s="17">
        <f t="shared" si="66"/>
        <v>0.5921983806012775</v>
      </c>
      <c r="AT203" s="17">
        <f t="shared" si="67"/>
        <v>448</v>
      </c>
    </row>
    <row r="204" spans="6:46" x14ac:dyDescent="0.3">
      <c r="F204" s="1">
        <v>202</v>
      </c>
      <c r="G204" s="1" t="s">
        <v>18</v>
      </c>
      <c r="H204" s="1">
        <v>4</v>
      </c>
      <c r="I204" s="1">
        <v>39</v>
      </c>
      <c r="J204" s="1">
        <v>2</v>
      </c>
      <c r="K204" s="1">
        <v>3</v>
      </c>
      <c r="M204" s="1" t="s">
        <v>18</v>
      </c>
      <c r="N204" s="1">
        <f t="shared" si="51"/>
        <v>0.5714285714285714</v>
      </c>
      <c r="O204" s="1">
        <f t="shared" si="52"/>
        <v>0.37142857142857144</v>
      </c>
      <c r="P204" s="1">
        <f t="shared" si="53"/>
        <v>0.5</v>
      </c>
      <c r="Q204" s="1">
        <f t="shared" si="54"/>
        <v>1</v>
      </c>
      <c r="S204" s="1" t="s">
        <v>18</v>
      </c>
      <c r="T204" s="1">
        <f t="shared" si="55"/>
        <v>5.7166195047503046E-2</v>
      </c>
      <c r="U204" s="1">
        <f t="shared" si="56"/>
        <v>2.829028333900193E-2</v>
      </c>
      <c r="V204" s="1">
        <f t="shared" si="57"/>
        <v>3.1574382095289864E-2</v>
      </c>
      <c r="W204" s="1">
        <f t="shared" si="58"/>
        <v>4.0360367639778717E-2</v>
      </c>
      <c r="Y204" s="1" t="s">
        <v>18</v>
      </c>
      <c r="Z204" s="1">
        <f t="shared" si="59"/>
        <v>1.7149858514250913E-2</v>
      </c>
      <c r="AA204" s="1">
        <f t="shared" si="60"/>
        <v>5.658056667800386E-3</v>
      </c>
      <c r="AB204" s="1">
        <f t="shared" si="61"/>
        <v>9.4723146285869593E-3</v>
      </c>
      <c r="AC204" s="1">
        <f t="shared" si="62"/>
        <v>8.0720735279557441E-3</v>
      </c>
      <c r="AK204" s="17" t="s">
        <v>793</v>
      </c>
      <c r="AL204" s="17">
        <f t="shared" si="63"/>
        <v>1.7012525357579265E-2</v>
      </c>
      <c r="AM204" s="17">
        <f t="shared" si="64"/>
        <v>2.0466667119388694E-2</v>
      </c>
      <c r="AO204" s="17" t="s">
        <v>1505</v>
      </c>
      <c r="AP204" s="17">
        <f t="shared" si="65"/>
        <v>1.2235018831856836</v>
      </c>
      <c r="AR204" s="1" t="s">
        <v>18</v>
      </c>
      <c r="AS204" s="17">
        <f t="shared" si="66"/>
        <v>1.2235018831856836</v>
      </c>
      <c r="AT204" s="17">
        <f t="shared" si="67"/>
        <v>81</v>
      </c>
    </row>
    <row r="205" spans="6:46" x14ac:dyDescent="0.3">
      <c r="F205" s="1">
        <v>203</v>
      </c>
      <c r="G205" s="1" t="s">
        <v>181</v>
      </c>
      <c r="H205" s="1">
        <v>6</v>
      </c>
      <c r="I205" s="1">
        <v>37</v>
      </c>
      <c r="J205" s="1">
        <v>5</v>
      </c>
      <c r="K205" s="1">
        <v>2</v>
      </c>
      <c r="M205" s="1" t="s">
        <v>181</v>
      </c>
      <c r="N205" s="1">
        <f t="shared" si="51"/>
        <v>0.8571428571428571</v>
      </c>
      <c r="O205" s="1">
        <f t="shared" si="52"/>
        <v>0.35238095238095241</v>
      </c>
      <c r="P205" s="1">
        <f t="shared" si="53"/>
        <v>0.2</v>
      </c>
      <c r="Q205" s="1">
        <f t="shared" si="54"/>
        <v>0.66666666666666663</v>
      </c>
      <c r="S205" s="1" t="s">
        <v>181</v>
      </c>
      <c r="T205" s="1">
        <f t="shared" si="55"/>
        <v>8.5749292571254562E-2</v>
      </c>
      <c r="U205" s="1">
        <f t="shared" si="56"/>
        <v>2.6839499578027472E-2</v>
      </c>
      <c r="V205" s="1">
        <f t="shared" si="57"/>
        <v>1.2629752838115946E-2</v>
      </c>
      <c r="W205" s="1">
        <f t="shared" si="58"/>
        <v>2.6906911759852478E-2</v>
      </c>
      <c r="Y205" s="1" t="s">
        <v>181</v>
      </c>
      <c r="Z205" s="1">
        <f t="shared" si="59"/>
        <v>2.5724787771376368E-2</v>
      </c>
      <c r="AA205" s="1">
        <f t="shared" si="60"/>
        <v>5.3678999156054948E-3</v>
      </c>
      <c r="AB205" s="1">
        <f t="shared" si="61"/>
        <v>3.7889258514347836E-3</v>
      </c>
      <c r="AC205" s="1">
        <f t="shared" si="62"/>
        <v>5.3813823519704958E-3</v>
      </c>
      <c r="AK205" s="17" t="s">
        <v>794</v>
      </c>
      <c r="AL205" s="17">
        <f t="shared" si="63"/>
        <v>1.1088142295339561E-2</v>
      </c>
      <c r="AM205" s="17">
        <f t="shared" si="64"/>
        <v>3.0057205642442946E-2</v>
      </c>
      <c r="AO205" s="17" t="s">
        <v>1506</v>
      </c>
      <c r="AP205" s="17">
        <f t="shared" si="65"/>
        <v>2.7408093624826595</v>
      </c>
      <c r="AR205" s="1" t="s">
        <v>181</v>
      </c>
      <c r="AS205" s="17">
        <f t="shared" si="66"/>
        <v>2.7408093624826595</v>
      </c>
      <c r="AT205" s="17">
        <f t="shared" si="67"/>
        <v>6</v>
      </c>
    </row>
    <row r="206" spans="6:46" x14ac:dyDescent="0.3">
      <c r="F206" s="1">
        <v>204</v>
      </c>
      <c r="G206" s="1" t="s">
        <v>181</v>
      </c>
      <c r="H206" s="1">
        <v>6</v>
      </c>
      <c r="I206" s="1">
        <v>41</v>
      </c>
      <c r="J206" s="1">
        <v>1</v>
      </c>
      <c r="K206" s="1">
        <v>3</v>
      </c>
      <c r="M206" s="1" t="s">
        <v>181</v>
      </c>
      <c r="N206" s="1">
        <f t="shared" si="51"/>
        <v>0.8571428571428571</v>
      </c>
      <c r="O206" s="1">
        <f t="shared" si="52"/>
        <v>0.39047619047619048</v>
      </c>
      <c r="P206" s="1">
        <f t="shared" si="53"/>
        <v>1</v>
      </c>
      <c r="Q206" s="1">
        <f t="shared" si="54"/>
        <v>1</v>
      </c>
      <c r="S206" s="1" t="s">
        <v>181</v>
      </c>
      <c r="T206" s="1">
        <f t="shared" si="55"/>
        <v>8.5749292571254562E-2</v>
      </c>
      <c r="U206" s="1">
        <f t="shared" si="56"/>
        <v>2.9741067099976388E-2</v>
      </c>
      <c r="V206" s="1">
        <f t="shared" si="57"/>
        <v>6.3148764190579729E-2</v>
      </c>
      <c r="W206" s="1">
        <f t="shared" si="58"/>
        <v>4.0360367639778717E-2</v>
      </c>
      <c r="Y206" s="1" t="s">
        <v>181</v>
      </c>
      <c r="Z206" s="1">
        <f t="shared" si="59"/>
        <v>2.5724787771376368E-2</v>
      </c>
      <c r="AA206" s="1">
        <f t="shared" si="60"/>
        <v>5.9482134199952781E-3</v>
      </c>
      <c r="AB206" s="1">
        <f t="shared" si="61"/>
        <v>1.8944629257173919E-2</v>
      </c>
      <c r="AC206" s="1">
        <f t="shared" si="62"/>
        <v>8.0720735279557441E-3</v>
      </c>
      <c r="AK206" s="17" t="s">
        <v>795</v>
      </c>
      <c r="AL206" s="17">
        <f t="shared" si="63"/>
        <v>1.8283577934541696E-2</v>
      </c>
      <c r="AM206" s="17">
        <f t="shared" si="64"/>
        <v>2.64257869194401E-2</v>
      </c>
      <c r="AO206" s="17" t="s">
        <v>1507</v>
      </c>
      <c r="AP206" s="17">
        <f t="shared" si="65"/>
        <v>1.4717548693369458</v>
      </c>
      <c r="AR206" s="1" t="s">
        <v>181</v>
      </c>
      <c r="AS206" s="17">
        <f t="shared" si="66"/>
        <v>1.4717548693369458</v>
      </c>
      <c r="AT206" s="17">
        <f t="shared" si="67"/>
        <v>45</v>
      </c>
    </row>
    <row r="207" spans="6:46" x14ac:dyDescent="0.3">
      <c r="F207" s="1">
        <v>205</v>
      </c>
      <c r="G207" s="1" t="s">
        <v>182</v>
      </c>
      <c r="H207" s="1">
        <v>2</v>
      </c>
      <c r="I207" s="1">
        <v>34</v>
      </c>
      <c r="J207" s="1">
        <v>2</v>
      </c>
      <c r="K207" s="1">
        <v>3</v>
      </c>
      <c r="M207" s="1" t="s">
        <v>182</v>
      </c>
      <c r="N207" s="1">
        <f t="shared" si="51"/>
        <v>0.2857142857142857</v>
      </c>
      <c r="O207" s="1">
        <f t="shared" si="52"/>
        <v>0.32380952380952382</v>
      </c>
      <c r="P207" s="1">
        <f t="shared" si="53"/>
        <v>0.5</v>
      </c>
      <c r="Q207" s="1">
        <f t="shared" si="54"/>
        <v>1</v>
      </c>
      <c r="S207" s="1" t="s">
        <v>182</v>
      </c>
      <c r="T207" s="1">
        <f t="shared" si="55"/>
        <v>2.8583097523751523E-2</v>
      </c>
      <c r="U207" s="1">
        <f t="shared" si="56"/>
        <v>2.4663323936565784E-2</v>
      </c>
      <c r="V207" s="1">
        <f t="shared" si="57"/>
        <v>3.1574382095289864E-2</v>
      </c>
      <c r="W207" s="1">
        <f t="shared" si="58"/>
        <v>4.0360367639778717E-2</v>
      </c>
      <c r="Y207" s="1" t="s">
        <v>182</v>
      </c>
      <c r="Z207" s="1">
        <f t="shared" si="59"/>
        <v>8.5749292571254566E-3</v>
      </c>
      <c r="AA207" s="1">
        <f t="shared" si="60"/>
        <v>4.9326647873131572E-3</v>
      </c>
      <c r="AB207" s="1">
        <f t="shared" si="61"/>
        <v>9.4723146285869593E-3</v>
      </c>
      <c r="AC207" s="1">
        <f t="shared" si="62"/>
        <v>8.0720735279557441E-3</v>
      </c>
      <c r="AK207" s="17" t="s">
        <v>796</v>
      </c>
      <c r="AL207" s="17">
        <f t="shared" si="63"/>
        <v>2.4453248551484653E-2</v>
      </c>
      <c r="AM207" s="17">
        <f t="shared" si="64"/>
        <v>1.3972984866382075E-2</v>
      </c>
      <c r="AO207" s="17" t="s">
        <v>1508</v>
      </c>
      <c r="AP207" s="17">
        <f t="shared" si="65"/>
        <v>0.58538928716106109</v>
      </c>
      <c r="AR207" s="1" t="s">
        <v>182</v>
      </c>
      <c r="AS207" s="17">
        <f t="shared" si="66"/>
        <v>0.58538928716106109</v>
      </c>
      <c r="AT207" s="17">
        <f t="shared" si="67"/>
        <v>460</v>
      </c>
    </row>
    <row r="208" spans="6:46" x14ac:dyDescent="0.3">
      <c r="F208" s="1">
        <v>206</v>
      </c>
      <c r="G208" s="1" t="s">
        <v>183</v>
      </c>
      <c r="H208" s="1">
        <v>2</v>
      </c>
      <c r="I208" s="1">
        <v>70</v>
      </c>
      <c r="J208" s="1">
        <v>2</v>
      </c>
      <c r="K208" s="1">
        <v>3</v>
      </c>
      <c r="M208" s="1" t="s">
        <v>183</v>
      </c>
      <c r="N208" s="1">
        <f t="shared" si="51"/>
        <v>0.2857142857142857</v>
      </c>
      <c r="O208" s="1">
        <f t="shared" si="52"/>
        <v>0.66666666666666663</v>
      </c>
      <c r="P208" s="1">
        <f t="shared" si="53"/>
        <v>0.5</v>
      </c>
      <c r="Q208" s="1">
        <f t="shared" si="54"/>
        <v>1</v>
      </c>
      <c r="S208" s="1" t="s">
        <v>183</v>
      </c>
      <c r="T208" s="1">
        <f t="shared" si="55"/>
        <v>2.8583097523751523E-2</v>
      </c>
      <c r="U208" s="1">
        <f t="shared" si="56"/>
        <v>5.0777431634106023E-2</v>
      </c>
      <c r="V208" s="1">
        <f t="shared" si="57"/>
        <v>3.1574382095289864E-2</v>
      </c>
      <c r="W208" s="1">
        <f t="shared" si="58"/>
        <v>4.0360367639778717E-2</v>
      </c>
      <c r="Y208" s="1" t="s">
        <v>183</v>
      </c>
      <c r="Z208" s="1">
        <f t="shared" si="59"/>
        <v>8.5749292571254566E-3</v>
      </c>
      <c r="AA208" s="1">
        <f t="shared" si="60"/>
        <v>1.0155486326821206E-2</v>
      </c>
      <c r="AB208" s="1">
        <f t="shared" si="61"/>
        <v>9.4723146285869593E-3</v>
      </c>
      <c r="AC208" s="1">
        <f t="shared" si="62"/>
        <v>8.0720735279557441E-3</v>
      </c>
      <c r="AK208" s="17" t="s">
        <v>797</v>
      </c>
      <c r="AL208" s="17">
        <f t="shared" si="63"/>
        <v>2.2751773714487313E-2</v>
      </c>
      <c r="AM208" s="17">
        <f t="shared" si="64"/>
        <v>1.5514748278075861E-2</v>
      </c>
      <c r="AO208" s="17" t="s">
        <v>1509</v>
      </c>
      <c r="AP208" s="17">
        <f t="shared" si="65"/>
        <v>0.69742853982553499</v>
      </c>
      <c r="AR208" s="1" t="s">
        <v>183</v>
      </c>
      <c r="AS208" s="17">
        <f t="shared" si="66"/>
        <v>0.69742853982553499</v>
      </c>
      <c r="AT208" s="17">
        <f t="shared" si="67"/>
        <v>345</v>
      </c>
    </row>
    <row r="209" spans="6:46" x14ac:dyDescent="0.3">
      <c r="F209" s="1">
        <v>207</v>
      </c>
      <c r="G209" s="1" t="s">
        <v>184</v>
      </c>
      <c r="H209" s="1">
        <v>2</v>
      </c>
      <c r="I209" s="1">
        <v>27</v>
      </c>
      <c r="J209" s="1">
        <v>2</v>
      </c>
      <c r="K209" s="1">
        <v>3</v>
      </c>
      <c r="M209" s="1" t="s">
        <v>184</v>
      </c>
      <c r="N209" s="1">
        <f t="shared" si="51"/>
        <v>0.2857142857142857</v>
      </c>
      <c r="O209" s="1">
        <f t="shared" si="52"/>
        <v>0.25714285714285712</v>
      </c>
      <c r="P209" s="1">
        <f t="shared" si="53"/>
        <v>0.5</v>
      </c>
      <c r="Q209" s="1">
        <f t="shared" si="54"/>
        <v>1</v>
      </c>
      <c r="S209" s="1" t="s">
        <v>184</v>
      </c>
      <c r="T209" s="1">
        <f t="shared" si="55"/>
        <v>2.8583097523751523E-2</v>
      </c>
      <c r="U209" s="1">
        <f t="shared" si="56"/>
        <v>1.9585580773155181E-2</v>
      </c>
      <c r="V209" s="1">
        <f t="shared" si="57"/>
        <v>3.1574382095289864E-2</v>
      </c>
      <c r="W209" s="1">
        <f t="shared" si="58"/>
        <v>4.0360367639778717E-2</v>
      </c>
      <c r="Y209" s="1" t="s">
        <v>184</v>
      </c>
      <c r="Z209" s="1">
        <f t="shared" si="59"/>
        <v>8.5749292571254566E-3</v>
      </c>
      <c r="AA209" s="1">
        <f t="shared" si="60"/>
        <v>3.9171161546310363E-3</v>
      </c>
      <c r="AB209" s="1">
        <f t="shared" si="61"/>
        <v>9.4723146285869593E-3</v>
      </c>
      <c r="AC209" s="1">
        <f t="shared" si="62"/>
        <v>8.0720735279557441E-3</v>
      </c>
      <c r="AK209" s="17" t="s">
        <v>798</v>
      </c>
      <c r="AL209" s="17">
        <f t="shared" si="63"/>
        <v>2.4898075277937335E-2</v>
      </c>
      <c r="AM209" s="17">
        <f t="shared" si="64"/>
        <v>1.3883069746494286E-2</v>
      </c>
      <c r="AO209" s="17" t="s">
        <v>1510</v>
      </c>
      <c r="AP209" s="17">
        <f t="shared" si="65"/>
        <v>0.57147917271901372</v>
      </c>
      <c r="AR209" s="1" t="s">
        <v>184</v>
      </c>
      <c r="AS209" s="17">
        <f t="shared" si="66"/>
        <v>0.57147917271901372</v>
      </c>
      <c r="AT209" s="17">
        <f t="shared" si="67"/>
        <v>488</v>
      </c>
    </row>
    <row r="210" spans="6:46" x14ac:dyDescent="0.3">
      <c r="F210" s="1">
        <v>208</v>
      </c>
      <c r="G210" s="1" t="s">
        <v>185</v>
      </c>
      <c r="H210" s="1">
        <v>2</v>
      </c>
      <c r="I210" s="1">
        <v>33</v>
      </c>
      <c r="J210" s="1">
        <v>1</v>
      </c>
      <c r="K210" s="1">
        <v>3</v>
      </c>
      <c r="M210" s="1" t="s">
        <v>185</v>
      </c>
      <c r="N210" s="1">
        <f t="shared" si="51"/>
        <v>0.2857142857142857</v>
      </c>
      <c r="O210" s="1">
        <f t="shared" si="52"/>
        <v>0.31428571428571428</v>
      </c>
      <c r="P210" s="1">
        <f t="shared" si="53"/>
        <v>1</v>
      </c>
      <c r="Q210" s="1">
        <f t="shared" si="54"/>
        <v>1</v>
      </c>
      <c r="S210" s="1" t="s">
        <v>185</v>
      </c>
      <c r="T210" s="1">
        <f t="shared" si="55"/>
        <v>2.8583097523751523E-2</v>
      </c>
      <c r="U210" s="1">
        <f t="shared" si="56"/>
        <v>2.3937932056078554E-2</v>
      </c>
      <c r="V210" s="1">
        <f t="shared" si="57"/>
        <v>6.3148764190579729E-2</v>
      </c>
      <c r="W210" s="1">
        <f t="shared" si="58"/>
        <v>4.0360367639778717E-2</v>
      </c>
      <c r="Y210" s="1" t="s">
        <v>185</v>
      </c>
      <c r="Z210" s="1">
        <f t="shared" si="59"/>
        <v>8.5749292571254566E-3</v>
      </c>
      <c r="AA210" s="1">
        <f t="shared" si="60"/>
        <v>4.7875864112157107E-3</v>
      </c>
      <c r="AB210" s="1">
        <f t="shared" si="61"/>
        <v>1.8944629257173919E-2</v>
      </c>
      <c r="AC210" s="1">
        <f t="shared" si="62"/>
        <v>8.0720735279557441E-3</v>
      </c>
      <c r="AK210" s="17" t="s">
        <v>799</v>
      </c>
      <c r="AL210" s="17">
        <f t="shared" si="63"/>
        <v>2.8255364598361549E-2</v>
      </c>
      <c r="AM210" s="17">
        <f t="shared" si="64"/>
        <v>1.0248681073355017E-2</v>
      </c>
      <c r="AO210" s="17" t="s">
        <v>1511</v>
      </c>
      <c r="AP210" s="17">
        <f t="shared" si="65"/>
        <v>0.37296497297175474</v>
      </c>
      <c r="AR210" s="1" t="s">
        <v>185</v>
      </c>
      <c r="AS210" s="17">
        <f t="shared" si="66"/>
        <v>0.37296497297175474</v>
      </c>
      <c r="AT210" s="17">
        <f t="shared" si="67"/>
        <v>616</v>
      </c>
    </row>
    <row r="211" spans="6:46" x14ac:dyDescent="0.3">
      <c r="F211" s="1">
        <v>209</v>
      </c>
      <c r="G211" s="1" t="s">
        <v>186</v>
      </c>
      <c r="H211" s="1">
        <v>5</v>
      </c>
      <c r="I211" s="1">
        <v>56</v>
      </c>
      <c r="J211" s="1">
        <v>4</v>
      </c>
      <c r="K211" s="1">
        <v>3</v>
      </c>
      <c r="M211" s="1" t="s">
        <v>186</v>
      </c>
      <c r="N211" s="1">
        <f t="shared" si="51"/>
        <v>0.7142857142857143</v>
      </c>
      <c r="O211" s="1">
        <f t="shared" si="52"/>
        <v>0.53333333333333333</v>
      </c>
      <c r="P211" s="1">
        <f t="shared" si="53"/>
        <v>0.25</v>
      </c>
      <c r="Q211" s="1">
        <f t="shared" si="54"/>
        <v>1</v>
      </c>
      <c r="S211" s="1" t="s">
        <v>186</v>
      </c>
      <c r="T211" s="1">
        <f t="shared" si="55"/>
        <v>7.1457743809378804E-2</v>
      </c>
      <c r="U211" s="1">
        <f t="shared" si="56"/>
        <v>4.0621945307284822E-2</v>
      </c>
      <c r="V211" s="1">
        <f t="shared" si="57"/>
        <v>1.5787191047644932E-2</v>
      </c>
      <c r="W211" s="1">
        <f t="shared" si="58"/>
        <v>4.0360367639778717E-2</v>
      </c>
      <c r="Y211" s="1" t="s">
        <v>186</v>
      </c>
      <c r="Z211" s="1">
        <f t="shared" si="59"/>
        <v>2.1437323142813641E-2</v>
      </c>
      <c r="AA211" s="1">
        <f t="shared" si="60"/>
        <v>8.1243890614569655E-3</v>
      </c>
      <c r="AB211" s="1">
        <f t="shared" si="61"/>
        <v>4.7361573142934797E-3</v>
      </c>
      <c r="AC211" s="1">
        <f t="shared" si="62"/>
        <v>8.0720735279557441E-3</v>
      </c>
      <c r="AK211" s="17" t="s">
        <v>800</v>
      </c>
      <c r="AL211" s="17">
        <f t="shared" si="63"/>
        <v>1.1178652488145396E-2</v>
      </c>
      <c r="AM211" s="17">
        <f t="shared" si="64"/>
        <v>2.6734433908409818E-2</v>
      </c>
      <c r="AO211" s="17" t="s">
        <v>1512</v>
      </c>
      <c r="AP211" s="17">
        <f t="shared" si="65"/>
        <v>2.4182958440838163</v>
      </c>
      <c r="AR211" s="1" t="s">
        <v>186</v>
      </c>
      <c r="AS211" s="17">
        <f t="shared" si="66"/>
        <v>2.4182958440838163</v>
      </c>
      <c r="AT211" s="17">
        <f t="shared" si="67"/>
        <v>10</v>
      </c>
    </row>
    <row r="212" spans="6:46" x14ac:dyDescent="0.3">
      <c r="F212" s="1">
        <v>210</v>
      </c>
      <c r="G212" s="1" t="s">
        <v>187</v>
      </c>
      <c r="H212" s="1">
        <v>5</v>
      </c>
      <c r="I212" s="1">
        <v>66</v>
      </c>
      <c r="J212" s="1">
        <v>2</v>
      </c>
      <c r="K212" s="1">
        <v>3</v>
      </c>
      <c r="M212" s="1" t="s">
        <v>187</v>
      </c>
      <c r="N212" s="1">
        <f t="shared" si="51"/>
        <v>0.7142857142857143</v>
      </c>
      <c r="O212" s="1">
        <f t="shared" si="52"/>
        <v>0.62857142857142856</v>
      </c>
      <c r="P212" s="1">
        <f t="shared" si="53"/>
        <v>0.5</v>
      </c>
      <c r="Q212" s="1">
        <f t="shared" si="54"/>
        <v>1</v>
      </c>
      <c r="S212" s="1" t="s">
        <v>187</v>
      </c>
      <c r="T212" s="1">
        <f t="shared" si="55"/>
        <v>7.1457743809378804E-2</v>
      </c>
      <c r="U212" s="1">
        <f t="shared" si="56"/>
        <v>4.7875864112157107E-2</v>
      </c>
      <c r="V212" s="1">
        <f t="shared" si="57"/>
        <v>3.1574382095289864E-2</v>
      </c>
      <c r="W212" s="1">
        <f t="shared" si="58"/>
        <v>4.0360367639778717E-2</v>
      </c>
      <c r="Y212" s="1" t="s">
        <v>187</v>
      </c>
      <c r="Z212" s="1">
        <f t="shared" si="59"/>
        <v>2.1437323142813641E-2</v>
      </c>
      <c r="AA212" s="1">
        <f t="shared" si="60"/>
        <v>9.5751728224314214E-3</v>
      </c>
      <c r="AB212" s="1">
        <f t="shared" si="61"/>
        <v>9.4723146285869593E-3</v>
      </c>
      <c r="AC212" s="1">
        <f t="shared" si="62"/>
        <v>8.0720735279557441E-3</v>
      </c>
      <c r="AK212" s="17" t="s">
        <v>801</v>
      </c>
      <c r="AL212" s="17">
        <f t="shared" si="63"/>
        <v>1.1740695252539599E-2</v>
      </c>
      <c r="AM212" s="17">
        <f t="shared" si="64"/>
        <v>2.4879534950217427E-2</v>
      </c>
      <c r="AO212" s="17" t="s">
        <v>1513</v>
      </c>
      <c r="AP212" s="17">
        <f t="shared" si="65"/>
        <v>2.1439648544363696</v>
      </c>
      <c r="AR212" s="1" t="s">
        <v>187</v>
      </c>
      <c r="AS212" s="17">
        <f t="shared" si="66"/>
        <v>2.1439648544363696</v>
      </c>
      <c r="AT212" s="17">
        <f t="shared" si="67"/>
        <v>12</v>
      </c>
    </row>
    <row r="213" spans="6:46" x14ac:dyDescent="0.3">
      <c r="F213" s="1">
        <v>211</v>
      </c>
      <c r="G213" s="1" t="s">
        <v>188</v>
      </c>
      <c r="H213" s="1">
        <v>4</v>
      </c>
      <c r="I213" s="1">
        <v>57</v>
      </c>
      <c r="J213" s="1">
        <v>4</v>
      </c>
      <c r="K213" s="1">
        <v>3</v>
      </c>
      <c r="M213" s="1" t="s">
        <v>188</v>
      </c>
      <c r="N213" s="1">
        <f t="shared" si="51"/>
        <v>0.5714285714285714</v>
      </c>
      <c r="O213" s="1">
        <f t="shared" si="52"/>
        <v>0.54285714285714282</v>
      </c>
      <c r="P213" s="1">
        <f t="shared" si="53"/>
        <v>0.25</v>
      </c>
      <c r="Q213" s="1">
        <f t="shared" si="54"/>
        <v>1</v>
      </c>
      <c r="S213" s="1" t="s">
        <v>188</v>
      </c>
      <c r="T213" s="1">
        <f t="shared" si="55"/>
        <v>5.7166195047503046E-2</v>
      </c>
      <c r="U213" s="1">
        <f t="shared" si="56"/>
        <v>4.1347337187772046E-2</v>
      </c>
      <c r="V213" s="1">
        <f t="shared" si="57"/>
        <v>1.5787191047644932E-2</v>
      </c>
      <c r="W213" s="1">
        <f t="shared" si="58"/>
        <v>4.0360367639778717E-2</v>
      </c>
      <c r="Y213" s="1" t="s">
        <v>188</v>
      </c>
      <c r="Z213" s="1">
        <f t="shared" si="59"/>
        <v>1.7149858514250913E-2</v>
      </c>
      <c r="AA213" s="1">
        <f t="shared" si="60"/>
        <v>8.2694674375544102E-3</v>
      </c>
      <c r="AB213" s="1">
        <f t="shared" si="61"/>
        <v>4.7361573142934797E-3</v>
      </c>
      <c r="AC213" s="1">
        <f t="shared" si="62"/>
        <v>8.0720735279557441E-3</v>
      </c>
      <c r="AK213" s="17" t="s">
        <v>802</v>
      </c>
      <c r="AL213" s="17">
        <f t="shared" si="63"/>
        <v>1.4657162271092178E-2</v>
      </c>
      <c r="AM213" s="17">
        <f t="shared" si="64"/>
        <v>2.346787322409314E-2</v>
      </c>
      <c r="AO213" s="17" t="s">
        <v>1514</v>
      </c>
      <c r="AP213" s="17">
        <f t="shared" si="65"/>
        <v>1.6245877073394612</v>
      </c>
      <c r="AR213" s="1" t="s">
        <v>188</v>
      </c>
      <c r="AS213" s="17">
        <f t="shared" si="66"/>
        <v>1.6245877073394612</v>
      </c>
      <c r="AT213" s="17">
        <f t="shared" si="67"/>
        <v>28</v>
      </c>
    </row>
    <row r="214" spans="6:46" x14ac:dyDescent="0.3">
      <c r="F214" s="1">
        <v>212</v>
      </c>
      <c r="G214" s="1" t="s">
        <v>188</v>
      </c>
      <c r="H214" s="1">
        <v>1</v>
      </c>
      <c r="I214" s="1">
        <v>62</v>
      </c>
      <c r="J214" s="1">
        <v>2</v>
      </c>
      <c r="K214" s="1">
        <v>3</v>
      </c>
      <c r="M214" s="1" t="s">
        <v>188</v>
      </c>
      <c r="N214" s="1">
        <f t="shared" si="51"/>
        <v>0.14285714285714285</v>
      </c>
      <c r="O214" s="1">
        <f t="shared" si="52"/>
        <v>0.59047619047619049</v>
      </c>
      <c r="P214" s="1">
        <f t="shared" si="53"/>
        <v>0.5</v>
      </c>
      <c r="Q214" s="1">
        <f t="shared" si="54"/>
        <v>1</v>
      </c>
      <c r="S214" s="1" t="s">
        <v>188</v>
      </c>
      <c r="T214" s="1">
        <f t="shared" si="55"/>
        <v>1.4291548761875762E-2</v>
      </c>
      <c r="U214" s="1">
        <f t="shared" si="56"/>
        <v>4.4974296590208199E-2</v>
      </c>
      <c r="V214" s="1">
        <f t="shared" si="57"/>
        <v>3.1574382095289864E-2</v>
      </c>
      <c r="W214" s="1">
        <f t="shared" si="58"/>
        <v>4.0360367639778717E-2</v>
      </c>
      <c r="Y214" s="1" t="s">
        <v>188</v>
      </c>
      <c r="Z214" s="1">
        <f t="shared" si="59"/>
        <v>4.2874646285627283E-3</v>
      </c>
      <c r="AA214" s="1">
        <f t="shared" si="60"/>
        <v>8.9948593180416408E-3</v>
      </c>
      <c r="AB214" s="1">
        <f t="shared" si="61"/>
        <v>9.4723146285869593E-3</v>
      </c>
      <c r="AC214" s="1">
        <f t="shared" si="62"/>
        <v>8.0720735279557441E-3</v>
      </c>
      <c r="AK214" s="17" t="s">
        <v>803</v>
      </c>
      <c r="AL214" s="17">
        <f t="shared" si="63"/>
        <v>2.7073656499998048E-2</v>
      </c>
      <c r="AM214" s="17">
        <f t="shared" si="64"/>
        <v>1.3066856918170248E-2</v>
      </c>
      <c r="AO214" s="17" t="s">
        <v>1515</v>
      </c>
      <c r="AP214" s="17">
        <f t="shared" si="65"/>
        <v>0.49570786694100144</v>
      </c>
      <c r="AR214" s="1" t="s">
        <v>188</v>
      </c>
      <c r="AS214" s="17">
        <f t="shared" si="66"/>
        <v>0.49570786694100144</v>
      </c>
      <c r="AT214" s="17">
        <f t="shared" si="67"/>
        <v>540</v>
      </c>
    </row>
    <row r="215" spans="6:46" x14ac:dyDescent="0.3">
      <c r="F215" s="1">
        <v>213</v>
      </c>
      <c r="G215" s="1" t="s">
        <v>189</v>
      </c>
      <c r="H215" s="1">
        <v>1</v>
      </c>
      <c r="I215" s="1">
        <v>65</v>
      </c>
      <c r="J215" s="1">
        <v>2</v>
      </c>
      <c r="K215" s="1">
        <v>3</v>
      </c>
      <c r="M215" s="1" t="s">
        <v>189</v>
      </c>
      <c r="N215" s="1">
        <f t="shared" si="51"/>
        <v>0.14285714285714285</v>
      </c>
      <c r="O215" s="1">
        <f t="shared" si="52"/>
        <v>0.61904761904761907</v>
      </c>
      <c r="P215" s="1">
        <f t="shared" si="53"/>
        <v>0.5</v>
      </c>
      <c r="Q215" s="1">
        <f t="shared" si="54"/>
        <v>1</v>
      </c>
      <c r="S215" s="1" t="s">
        <v>189</v>
      </c>
      <c r="T215" s="1">
        <f t="shared" si="55"/>
        <v>1.4291548761875762E-2</v>
      </c>
      <c r="U215" s="1">
        <f t="shared" si="56"/>
        <v>4.7150472231669883E-2</v>
      </c>
      <c r="V215" s="1">
        <f t="shared" si="57"/>
        <v>3.1574382095289864E-2</v>
      </c>
      <c r="W215" s="1">
        <f t="shared" si="58"/>
        <v>4.0360367639778717E-2</v>
      </c>
      <c r="Y215" s="1" t="s">
        <v>189</v>
      </c>
      <c r="Z215" s="1">
        <f t="shared" si="59"/>
        <v>4.2874646285627283E-3</v>
      </c>
      <c r="AA215" s="1">
        <f t="shared" si="60"/>
        <v>9.4300944463339767E-3</v>
      </c>
      <c r="AB215" s="1">
        <f t="shared" si="61"/>
        <v>9.4723146285869593E-3</v>
      </c>
      <c r="AC215" s="1">
        <f t="shared" si="62"/>
        <v>8.0720735279557441E-3</v>
      </c>
      <c r="AK215" s="17" t="s">
        <v>804</v>
      </c>
      <c r="AL215" s="17">
        <f t="shared" si="63"/>
        <v>2.6976693463290301E-2</v>
      </c>
      <c r="AM215" s="17">
        <f t="shared" si="64"/>
        <v>1.326588239762024E-2</v>
      </c>
      <c r="AO215" s="17" t="s">
        <v>1516</v>
      </c>
      <c r="AP215" s="17">
        <f t="shared" si="65"/>
        <v>0.50501934416536287</v>
      </c>
      <c r="AR215" s="1" t="s">
        <v>189</v>
      </c>
      <c r="AS215" s="17">
        <f t="shared" si="66"/>
        <v>0.50501934416536287</v>
      </c>
      <c r="AT215" s="17">
        <f t="shared" si="67"/>
        <v>529</v>
      </c>
    </row>
    <row r="216" spans="6:46" x14ac:dyDescent="0.3">
      <c r="F216" s="1">
        <v>214</v>
      </c>
      <c r="G216" s="1" t="s">
        <v>190</v>
      </c>
      <c r="H216" s="1">
        <v>0</v>
      </c>
      <c r="I216" s="1">
        <v>61</v>
      </c>
      <c r="J216" s="1">
        <v>1</v>
      </c>
      <c r="K216" s="1">
        <v>2</v>
      </c>
      <c r="M216" s="1" t="s">
        <v>190</v>
      </c>
      <c r="N216" s="1">
        <f t="shared" si="51"/>
        <v>0</v>
      </c>
      <c r="O216" s="1">
        <f t="shared" si="52"/>
        <v>0.580952380952381</v>
      </c>
      <c r="P216" s="1">
        <f t="shared" si="53"/>
        <v>1</v>
      </c>
      <c r="Q216" s="1">
        <f t="shared" si="54"/>
        <v>0.66666666666666663</v>
      </c>
      <c r="S216" s="1" t="s">
        <v>190</v>
      </c>
      <c r="T216" s="1">
        <f t="shared" si="55"/>
        <v>0</v>
      </c>
      <c r="U216" s="1">
        <f t="shared" si="56"/>
        <v>4.4248904709720968E-2</v>
      </c>
      <c r="V216" s="1">
        <f t="shared" si="57"/>
        <v>6.3148764190579729E-2</v>
      </c>
      <c r="W216" s="1">
        <f t="shared" si="58"/>
        <v>2.6906911759852478E-2</v>
      </c>
      <c r="Y216" s="1" t="s">
        <v>190</v>
      </c>
      <c r="Z216" s="1">
        <f t="shared" si="59"/>
        <v>0</v>
      </c>
      <c r="AA216" s="1">
        <f t="shared" si="60"/>
        <v>8.8497809419441943E-3</v>
      </c>
      <c r="AB216" s="1">
        <f t="shared" si="61"/>
        <v>1.8944629257173919E-2</v>
      </c>
      <c r="AC216" s="1">
        <f t="shared" si="62"/>
        <v>5.3813823519704958E-3</v>
      </c>
      <c r="AK216" s="17" t="s">
        <v>805</v>
      </c>
      <c r="AL216" s="17">
        <f t="shared" si="63"/>
        <v>3.4328106184488873E-2</v>
      </c>
      <c r="AM216" s="17">
        <f t="shared" si="64"/>
        <v>6.2652553228551896E-3</v>
      </c>
      <c r="AO216" s="17" t="s">
        <v>1517</v>
      </c>
      <c r="AP216" s="17">
        <f t="shared" si="65"/>
        <v>0.18877620682084781</v>
      </c>
      <c r="AR216" s="1" t="s">
        <v>190</v>
      </c>
      <c r="AS216" s="17">
        <f t="shared" si="66"/>
        <v>0.18877620682084781</v>
      </c>
      <c r="AT216" s="17">
        <f t="shared" si="67"/>
        <v>689</v>
      </c>
    </row>
    <row r="217" spans="6:46" x14ac:dyDescent="0.3">
      <c r="F217" s="1">
        <v>215</v>
      </c>
      <c r="G217" s="1" t="s">
        <v>191</v>
      </c>
      <c r="H217" s="1">
        <v>3</v>
      </c>
      <c r="I217" s="1">
        <v>44</v>
      </c>
      <c r="J217" s="1">
        <v>4</v>
      </c>
      <c r="K217" s="1">
        <v>3</v>
      </c>
      <c r="M217" s="1" t="s">
        <v>191</v>
      </c>
      <c r="N217" s="1">
        <f t="shared" si="51"/>
        <v>0.42857142857142855</v>
      </c>
      <c r="O217" s="1">
        <f t="shared" si="52"/>
        <v>0.41904761904761906</v>
      </c>
      <c r="P217" s="1">
        <f t="shared" si="53"/>
        <v>0.25</v>
      </c>
      <c r="Q217" s="1">
        <f t="shared" si="54"/>
        <v>1</v>
      </c>
      <c r="S217" s="1" t="s">
        <v>191</v>
      </c>
      <c r="T217" s="1">
        <f t="shared" si="55"/>
        <v>4.2874646285627281E-2</v>
      </c>
      <c r="U217" s="1">
        <f t="shared" si="56"/>
        <v>3.1917242741438076E-2</v>
      </c>
      <c r="V217" s="1">
        <f t="shared" si="57"/>
        <v>1.5787191047644932E-2</v>
      </c>
      <c r="W217" s="1">
        <f t="shared" si="58"/>
        <v>4.0360367639778717E-2</v>
      </c>
      <c r="Y217" s="1" t="s">
        <v>191</v>
      </c>
      <c r="Z217" s="1">
        <f t="shared" si="59"/>
        <v>1.2862393885688184E-2</v>
      </c>
      <c r="AA217" s="1">
        <f t="shared" si="60"/>
        <v>6.3834485482876157E-3</v>
      </c>
      <c r="AB217" s="1">
        <f t="shared" si="61"/>
        <v>4.7361573142934797E-3</v>
      </c>
      <c r="AC217" s="1">
        <f t="shared" si="62"/>
        <v>8.0720735279557441E-3</v>
      </c>
      <c r="AK217" s="17" t="s">
        <v>806</v>
      </c>
      <c r="AL217" s="17">
        <f t="shared" si="63"/>
        <v>1.9321840420194261E-2</v>
      </c>
      <c r="AM217" s="17">
        <f t="shared" si="64"/>
        <v>2.0161057295748845E-2</v>
      </c>
      <c r="AO217" s="17" t="s">
        <v>1518</v>
      </c>
      <c r="AP217" s="17">
        <f t="shared" si="65"/>
        <v>1.0635946462967985</v>
      </c>
      <c r="AR217" s="1" t="s">
        <v>191</v>
      </c>
      <c r="AS217" s="17">
        <f t="shared" si="66"/>
        <v>1.0635946462967985</v>
      </c>
      <c r="AT217" s="17">
        <f t="shared" si="67"/>
        <v>116</v>
      </c>
    </row>
    <row r="218" spans="6:46" x14ac:dyDescent="0.3">
      <c r="F218" s="1">
        <v>216</v>
      </c>
      <c r="G218" s="1" t="s">
        <v>192</v>
      </c>
      <c r="H218" s="1">
        <v>6</v>
      </c>
      <c r="I218" s="1">
        <v>61</v>
      </c>
      <c r="J218" s="1">
        <v>2</v>
      </c>
      <c r="K218" s="1">
        <v>3</v>
      </c>
      <c r="M218" s="1" t="s">
        <v>192</v>
      </c>
      <c r="N218" s="1">
        <f t="shared" si="51"/>
        <v>0.8571428571428571</v>
      </c>
      <c r="O218" s="1">
        <f t="shared" si="52"/>
        <v>0.580952380952381</v>
      </c>
      <c r="P218" s="1">
        <f t="shared" si="53"/>
        <v>0.5</v>
      </c>
      <c r="Q218" s="1">
        <f t="shared" si="54"/>
        <v>1</v>
      </c>
      <c r="S218" s="1" t="s">
        <v>192</v>
      </c>
      <c r="T218" s="1">
        <f t="shared" si="55"/>
        <v>8.5749292571254562E-2</v>
      </c>
      <c r="U218" s="1">
        <f t="shared" si="56"/>
        <v>4.4248904709720968E-2</v>
      </c>
      <c r="V218" s="1">
        <f t="shared" si="57"/>
        <v>3.1574382095289864E-2</v>
      </c>
      <c r="W218" s="1">
        <f t="shared" si="58"/>
        <v>4.0360367639778717E-2</v>
      </c>
      <c r="Y218" s="1" t="s">
        <v>192</v>
      </c>
      <c r="Z218" s="1">
        <f t="shared" si="59"/>
        <v>2.5724787771376368E-2</v>
      </c>
      <c r="AA218" s="1">
        <f t="shared" si="60"/>
        <v>8.8497809419441943E-3</v>
      </c>
      <c r="AB218" s="1">
        <f t="shared" si="61"/>
        <v>9.4723146285869593E-3</v>
      </c>
      <c r="AC218" s="1">
        <f t="shared" si="62"/>
        <v>8.0720735279557441E-3</v>
      </c>
      <c r="AK218" s="17" t="s">
        <v>807</v>
      </c>
      <c r="AL218" s="17">
        <f t="shared" si="63"/>
        <v>9.5619912310183127E-3</v>
      </c>
      <c r="AM218" s="17">
        <f t="shared" si="64"/>
        <v>2.8503724872013438E-2</v>
      </c>
      <c r="AO218" s="17" t="s">
        <v>1519</v>
      </c>
      <c r="AP218" s="17">
        <f t="shared" si="65"/>
        <v>3.0094440105679152</v>
      </c>
      <c r="AR218" s="1" t="s">
        <v>192</v>
      </c>
      <c r="AS218" s="17">
        <f t="shared" si="66"/>
        <v>3.0094440105679152</v>
      </c>
      <c r="AT218" s="17">
        <f t="shared" si="67"/>
        <v>4</v>
      </c>
    </row>
    <row r="219" spans="6:46" x14ac:dyDescent="0.3">
      <c r="F219" s="1">
        <v>217</v>
      </c>
      <c r="G219" s="1" t="s">
        <v>193</v>
      </c>
      <c r="H219" s="1">
        <v>0</v>
      </c>
      <c r="I219" s="1">
        <v>91</v>
      </c>
      <c r="J219" s="1">
        <v>1</v>
      </c>
      <c r="K219" s="1">
        <v>2</v>
      </c>
      <c r="M219" s="1" t="s">
        <v>193</v>
      </c>
      <c r="N219" s="1">
        <f t="shared" si="51"/>
        <v>0</v>
      </c>
      <c r="O219" s="1">
        <f t="shared" si="52"/>
        <v>0.8666666666666667</v>
      </c>
      <c r="P219" s="1">
        <f t="shared" si="53"/>
        <v>1</v>
      </c>
      <c r="Q219" s="1">
        <f t="shared" si="54"/>
        <v>0.66666666666666663</v>
      </c>
      <c r="S219" s="1" t="s">
        <v>193</v>
      </c>
      <c r="T219" s="1">
        <f t="shared" si="55"/>
        <v>0</v>
      </c>
      <c r="U219" s="1">
        <f t="shared" si="56"/>
        <v>6.6010661124337844E-2</v>
      </c>
      <c r="V219" s="1">
        <f t="shared" si="57"/>
        <v>6.3148764190579729E-2</v>
      </c>
      <c r="W219" s="1">
        <f t="shared" si="58"/>
        <v>2.6906911759852478E-2</v>
      </c>
      <c r="Y219" s="1" t="s">
        <v>193</v>
      </c>
      <c r="Z219" s="1">
        <f t="shared" si="59"/>
        <v>0</v>
      </c>
      <c r="AA219" s="1">
        <f t="shared" si="60"/>
        <v>1.3202132224867569E-2</v>
      </c>
      <c r="AB219" s="1">
        <f t="shared" si="61"/>
        <v>1.8944629257173919E-2</v>
      </c>
      <c r="AC219" s="1">
        <f t="shared" si="62"/>
        <v>5.3813823519704958E-3</v>
      </c>
      <c r="AK219" s="17" t="s">
        <v>808</v>
      </c>
      <c r="AL219" s="17">
        <f t="shared" si="63"/>
        <v>3.3790469291595786E-2</v>
      </c>
      <c r="AM219" s="17">
        <f t="shared" si="64"/>
        <v>1.0365716875568151E-2</v>
      </c>
      <c r="AO219" s="17" t="s">
        <v>1520</v>
      </c>
      <c r="AP219" s="17">
        <f t="shared" si="65"/>
        <v>0.3171302304464485</v>
      </c>
      <c r="AR219" s="1" t="s">
        <v>193</v>
      </c>
      <c r="AS219" s="17">
        <f t="shared" si="66"/>
        <v>0.3171302304464485</v>
      </c>
      <c r="AT219" s="17">
        <f t="shared" si="67"/>
        <v>643</v>
      </c>
    </row>
    <row r="220" spans="6:46" x14ac:dyDescent="0.3">
      <c r="F220" s="1">
        <v>218</v>
      </c>
      <c r="G220" s="1" t="s">
        <v>194</v>
      </c>
      <c r="H220" s="1">
        <v>2</v>
      </c>
      <c r="I220" s="1">
        <v>25</v>
      </c>
      <c r="J220" s="1">
        <v>2</v>
      </c>
      <c r="K220" s="1">
        <v>3</v>
      </c>
      <c r="M220" s="1" t="s">
        <v>194</v>
      </c>
      <c r="N220" s="1">
        <f t="shared" si="51"/>
        <v>0.2857142857142857</v>
      </c>
      <c r="O220" s="1">
        <f t="shared" si="52"/>
        <v>0.23809523809523808</v>
      </c>
      <c r="P220" s="1">
        <f t="shared" si="53"/>
        <v>0.5</v>
      </c>
      <c r="Q220" s="1">
        <f t="shared" si="54"/>
        <v>1</v>
      </c>
      <c r="S220" s="1" t="s">
        <v>194</v>
      </c>
      <c r="T220" s="1">
        <f t="shared" si="55"/>
        <v>2.8583097523751523E-2</v>
      </c>
      <c r="U220" s="1">
        <f t="shared" si="56"/>
        <v>1.8134797012180723E-2</v>
      </c>
      <c r="V220" s="1">
        <f t="shared" si="57"/>
        <v>3.1574382095289864E-2</v>
      </c>
      <c r="W220" s="1">
        <f t="shared" si="58"/>
        <v>4.0360367639778717E-2</v>
      </c>
      <c r="Y220" s="1" t="s">
        <v>194</v>
      </c>
      <c r="Z220" s="1">
        <f t="shared" si="59"/>
        <v>8.5749292571254566E-3</v>
      </c>
      <c r="AA220" s="1">
        <f t="shared" si="60"/>
        <v>3.6269594024361447E-3</v>
      </c>
      <c r="AB220" s="1">
        <f t="shared" si="61"/>
        <v>9.4723146285869593E-3</v>
      </c>
      <c r="AC220" s="1">
        <f t="shared" si="62"/>
        <v>8.0720735279557441E-3</v>
      </c>
      <c r="AK220" s="17" t="s">
        <v>809</v>
      </c>
      <c r="AL220" s="17">
        <f t="shared" si="63"/>
        <v>2.5031285162223155E-2</v>
      </c>
      <c r="AM220" s="17">
        <f t="shared" si="64"/>
        <v>1.3870935866863773E-2</v>
      </c>
      <c r="AO220" s="17" t="s">
        <v>1521</v>
      </c>
      <c r="AP220" s="17">
        <f t="shared" si="65"/>
        <v>0.56801491117491476</v>
      </c>
      <c r="AR220" s="1" t="s">
        <v>194</v>
      </c>
      <c r="AS220" s="17">
        <f t="shared" si="66"/>
        <v>0.56801491117491476</v>
      </c>
      <c r="AT220" s="17">
        <f t="shared" si="67"/>
        <v>495</v>
      </c>
    </row>
    <row r="221" spans="6:46" x14ac:dyDescent="0.3">
      <c r="F221" s="1">
        <v>219</v>
      </c>
      <c r="G221" s="1" t="s">
        <v>195</v>
      </c>
      <c r="H221" s="1">
        <v>3</v>
      </c>
      <c r="I221" s="1">
        <v>50</v>
      </c>
      <c r="J221" s="1">
        <v>2</v>
      </c>
      <c r="K221" s="1">
        <v>3</v>
      </c>
      <c r="M221" s="1" t="s">
        <v>195</v>
      </c>
      <c r="N221" s="1">
        <f t="shared" si="51"/>
        <v>0.42857142857142855</v>
      </c>
      <c r="O221" s="1">
        <f t="shared" si="52"/>
        <v>0.47619047619047616</v>
      </c>
      <c r="P221" s="1">
        <f t="shared" si="53"/>
        <v>0.5</v>
      </c>
      <c r="Q221" s="1">
        <f t="shared" si="54"/>
        <v>1</v>
      </c>
      <c r="S221" s="1" t="s">
        <v>195</v>
      </c>
      <c r="T221" s="1">
        <f t="shared" si="55"/>
        <v>4.2874646285627281E-2</v>
      </c>
      <c r="U221" s="1">
        <f t="shared" si="56"/>
        <v>3.6269594024361446E-2</v>
      </c>
      <c r="V221" s="1">
        <f t="shared" si="57"/>
        <v>3.1574382095289864E-2</v>
      </c>
      <c r="W221" s="1">
        <f t="shared" si="58"/>
        <v>4.0360367639778717E-2</v>
      </c>
      <c r="Y221" s="1" t="s">
        <v>195</v>
      </c>
      <c r="Z221" s="1">
        <f t="shared" si="59"/>
        <v>1.2862393885688184E-2</v>
      </c>
      <c r="AA221" s="1">
        <f t="shared" si="60"/>
        <v>7.2539188048722893E-3</v>
      </c>
      <c r="AB221" s="1">
        <f t="shared" si="61"/>
        <v>9.4723146285869593E-3</v>
      </c>
      <c r="AC221" s="1">
        <f t="shared" si="62"/>
        <v>8.0720735279557441E-3</v>
      </c>
      <c r="AK221" s="17" t="s">
        <v>810</v>
      </c>
      <c r="AL221" s="17">
        <f t="shared" si="63"/>
        <v>1.9750644396185572E-2</v>
      </c>
      <c r="AM221" s="17">
        <f t="shared" si="64"/>
        <v>1.7338587639052702E-2</v>
      </c>
      <c r="AO221" s="17" t="s">
        <v>1522</v>
      </c>
      <c r="AP221" s="17">
        <f t="shared" si="65"/>
        <v>0.89521311624943523</v>
      </c>
      <c r="AR221" s="1" t="s">
        <v>195</v>
      </c>
      <c r="AS221" s="17">
        <f t="shared" si="66"/>
        <v>0.89521311624943523</v>
      </c>
      <c r="AT221" s="17">
        <f t="shared" si="67"/>
        <v>181</v>
      </c>
    </row>
    <row r="222" spans="6:46" x14ac:dyDescent="0.3">
      <c r="F222" s="1">
        <v>220</v>
      </c>
      <c r="G222" s="1" t="s">
        <v>196</v>
      </c>
      <c r="H222" s="1">
        <v>0</v>
      </c>
      <c r="I222" s="1">
        <v>34</v>
      </c>
      <c r="J222" s="1">
        <v>1</v>
      </c>
      <c r="K222" s="1">
        <v>1</v>
      </c>
      <c r="M222" s="1" t="s">
        <v>196</v>
      </c>
      <c r="N222" s="1">
        <f t="shared" si="51"/>
        <v>0</v>
      </c>
      <c r="O222" s="1">
        <f t="shared" si="52"/>
        <v>0.32380952380952382</v>
      </c>
      <c r="P222" s="1">
        <f t="shared" si="53"/>
        <v>1</v>
      </c>
      <c r="Q222" s="1">
        <f t="shared" si="54"/>
        <v>0.33333333333333331</v>
      </c>
      <c r="S222" s="1" t="s">
        <v>196</v>
      </c>
      <c r="T222" s="1">
        <f t="shared" si="55"/>
        <v>0</v>
      </c>
      <c r="U222" s="1">
        <f t="shared" si="56"/>
        <v>2.4663323936565784E-2</v>
      </c>
      <c r="V222" s="1">
        <f t="shared" si="57"/>
        <v>6.3148764190579729E-2</v>
      </c>
      <c r="W222" s="1">
        <f t="shared" si="58"/>
        <v>1.3453455879926239E-2</v>
      </c>
      <c r="Y222" s="1" t="s">
        <v>196</v>
      </c>
      <c r="Z222" s="1">
        <f t="shared" si="59"/>
        <v>0</v>
      </c>
      <c r="AA222" s="1">
        <f t="shared" si="60"/>
        <v>4.9326647873131572E-3</v>
      </c>
      <c r="AB222" s="1">
        <f t="shared" si="61"/>
        <v>1.8944629257173919E-2</v>
      </c>
      <c r="AC222" s="1">
        <f t="shared" si="62"/>
        <v>2.6906911759852479E-3</v>
      </c>
      <c r="AK222" s="17" t="s">
        <v>811</v>
      </c>
      <c r="AL222" s="17">
        <f t="shared" si="63"/>
        <v>3.5573748032186547E-2</v>
      </c>
      <c r="AM222" s="17">
        <f t="shared" si="64"/>
        <v>1.7409405131693493E-3</v>
      </c>
      <c r="AO222" s="17" t="s">
        <v>1523</v>
      </c>
      <c r="AP222" s="17">
        <f t="shared" si="65"/>
        <v>5.0679852195856669E-2</v>
      </c>
      <c r="AR222" s="1" t="s">
        <v>196</v>
      </c>
      <c r="AS222" s="17">
        <f t="shared" si="66"/>
        <v>5.0679852195856669E-2</v>
      </c>
      <c r="AT222" s="17">
        <f t="shared" si="67"/>
        <v>707</v>
      </c>
    </row>
    <row r="223" spans="6:46" x14ac:dyDescent="0.3">
      <c r="F223" s="1">
        <v>221</v>
      </c>
      <c r="G223" s="1" t="s">
        <v>197</v>
      </c>
      <c r="H223" s="1">
        <v>2</v>
      </c>
      <c r="I223" s="1">
        <v>31</v>
      </c>
      <c r="J223" s="1">
        <v>2</v>
      </c>
      <c r="K223" s="1">
        <v>3</v>
      </c>
      <c r="M223" s="1" t="s">
        <v>197</v>
      </c>
      <c r="N223" s="1">
        <f t="shared" si="51"/>
        <v>0.2857142857142857</v>
      </c>
      <c r="O223" s="1">
        <f t="shared" si="52"/>
        <v>0.29523809523809524</v>
      </c>
      <c r="P223" s="1">
        <f t="shared" si="53"/>
        <v>0.5</v>
      </c>
      <c r="Q223" s="1">
        <f t="shared" si="54"/>
        <v>1</v>
      </c>
      <c r="S223" s="1" t="s">
        <v>197</v>
      </c>
      <c r="T223" s="1">
        <f t="shared" si="55"/>
        <v>2.8583097523751523E-2</v>
      </c>
      <c r="U223" s="1">
        <f t="shared" si="56"/>
        <v>2.2487148295104099E-2</v>
      </c>
      <c r="V223" s="1">
        <f t="shared" si="57"/>
        <v>3.1574382095289864E-2</v>
      </c>
      <c r="W223" s="1">
        <f t="shared" si="58"/>
        <v>4.0360367639778717E-2</v>
      </c>
      <c r="Y223" s="1" t="s">
        <v>197</v>
      </c>
      <c r="Z223" s="1">
        <f t="shared" si="59"/>
        <v>8.5749292571254566E-3</v>
      </c>
      <c r="AA223" s="1">
        <f t="shared" si="60"/>
        <v>4.4974296590208204E-3</v>
      </c>
      <c r="AB223" s="1">
        <f t="shared" si="61"/>
        <v>9.4723146285869593E-3</v>
      </c>
      <c r="AC223" s="1">
        <f t="shared" si="62"/>
        <v>8.0720735279557441E-3</v>
      </c>
      <c r="AK223" s="17" t="s">
        <v>812</v>
      </c>
      <c r="AL223" s="17">
        <f t="shared" si="63"/>
        <v>2.4639746945484292E-2</v>
      </c>
      <c r="AM223" s="17">
        <f t="shared" si="64"/>
        <v>1.3925455064659288E-2</v>
      </c>
      <c r="AO223" s="17" t="s">
        <v>1524</v>
      </c>
      <c r="AP223" s="17">
        <f t="shared" si="65"/>
        <v>0.57908771486665755</v>
      </c>
      <c r="AR223" s="1" t="s">
        <v>197</v>
      </c>
      <c r="AS223" s="17">
        <f t="shared" si="66"/>
        <v>0.57908771486665755</v>
      </c>
      <c r="AT223" s="17">
        <f t="shared" si="67"/>
        <v>470</v>
      </c>
    </row>
    <row r="224" spans="6:46" x14ac:dyDescent="0.3">
      <c r="F224" s="1">
        <v>222</v>
      </c>
      <c r="G224" s="1" t="s">
        <v>198</v>
      </c>
      <c r="H224" s="1">
        <v>1</v>
      </c>
      <c r="I224" s="1">
        <v>32</v>
      </c>
      <c r="J224" s="1">
        <v>5</v>
      </c>
      <c r="K224" s="1">
        <v>3</v>
      </c>
      <c r="M224" s="1" t="s">
        <v>198</v>
      </c>
      <c r="N224" s="1">
        <f t="shared" si="51"/>
        <v>0.14285714285714285</v>
      </c>
      <c r="O224" s="1">
        <f t="shared" si="52"/>
        <v>0.30476190476190479</v>
      </c>
      <c r="P224" s="1">
        <f t="shared" si="53"/>
        <v>0.2</v>
      </c>
      <c r="Q224" s="1">
        <f t="shared" si="54"/>
        <v>1</v>
      </c>
      <c r="S224" s="1" t="s">
        <v>198</v>
      </c>
      <c r="T224" s="1">
        <f t="shared" si="55"/>
        <v>1.4291548761875762E-2</v>
      </c>
      <c r="U224" s="1">
        <f t="shared" si="56"/>
        <v>2.321254017559133E-2</v>
      </c>
      <c r="V224" s="1">
        <f t="shared" si="57"/>
        <v>1.2629752838115946E-2</v>
      </c>
      <c r="W224" s="1">
        <f t="shared" si="58"/>
        <v>4.0360367639778717E-2</v>
      </c>
      <c r="Y224" s="1" t="s">
        <v>198</v>
      </c>
      <c r="Z224" s="1">
        <f t="shared" si="59"/>
        <v>4.2874646285627283E-3</v>
      </c>
      <c r="AA224" s="1">
        <f t="shared" si="60"/>
        <v>4.642508035118266E-3</v>
      </c>
      <c r="AB224" s="1">
        <f t="shared" si="61"/>
        <v>3.7889258514347836E-3</v>
      </c>
      <c r="AC224" s="1">
        <f t="shared" si="62"/>
        <v>8.0720735279557441E-3</v>
      </c>
      <c r="AK224" s="17" t="s">
        <v>813</v>
      </c>
      <c r="AL224" s="17">
        <f t="shared" si="63"/>
        <v>2.7819563023565946E-2</v>
      </c>
      <c r="AM224" s="17">
        <f t="shared" si="64"/>
        <v>1.6707535671160963E-2</v>
      </c>
      <c r="AO224" s="17" t="s">
        <v>1525</v>
      </c>
      <c r="AP224" s="17">
        <f t="shared" si="65"/>
        <v>0.61727540429684769</v>
      </c>
      <c r="AR224" s="1" t="s">
        <v>198</v>
      </c>
      <c r="AS224" s="17">
        <f t="shared" si="66"/>
        <v>0.61727540429684769</v>
      </c>
      <c r="AT224" s="17">
        <f t="shared" si="67"/>
        <v>415</v>
      </c>
    </row>
    <row r="225" spans="6:46" x14ac:dyDescent="0.3">
      <c r="F225" s="1">
        <v>223</v>
      </c>
      <c r="G225" s="1" t="s">
        <v>199</v>
      </c>
      <c r="H225" s="1">
        <v>3</v>
      </c>
      <c r="I225" s="1">
        <v>53</v>
      </c>
      <c r="J225" s="1">
        <v>2</v>
      </c>
      <c r="K225" s="1">
        <v>3</v>
      </c>
      <c r="M225" s="1" t="s">
        <v>199</v>
      </c>
      <c r="N225" s="1">
        <f t="shared" si="51"/>
        <v>0.42857142857142855</v>
      </c>
      <c r="O225" s="1">
        <f t="shared" si="52"/>
        <v>0.50476190476190474</v>
      </c>
      <c r="P225" s="1">
        <f t="shared" si="53"/>
        <v>0.5</v>
      </c>
      <c r="Q225" s="1">
        <f t="shared" si="54"/>
        <v>1</v>
      </c>
      <c r="S225" s="1" t="s">
        <v>199</v>
      </c>
      <c r="T225" s="1">
        <f t="shared" si="55"/>
        <v>4.2874646285627281E-2</v>
      </c>
      <c r="U225" s="1">
        <f t="shared" si="56"/>
        <v>3.844576966582313E-2</v>
      </c>
      <c r="V225" s="1">
        <f t="shared" si="57"/>
        <v>3.1574382095289864E-2</v>
      </c>
      <c r="W225" s="1">
        <f t="shared" si="58"/>
        <v>4.0360367639778717E-2</v>
      </c>
      <c r="Y225" s="1" t="s">
        <v>199</v>
      </c>
      <c r="Z225" s="1">
        <f t="shared" si="59"/>
        <v>1.2862393885688184E-2</v>
      </c>
      <c r="AA225" s="1">
        <f t="shared" si="60"/>
        <v>7.6891539331646261E-3</v>
      </c>
      <c r="AB225" s="1">
        <f t="shared" si="61"/>
        <v>9.4723146285869593E-3</v>
      </c>
      <c r="AC225" s="1">
        <f t="shared" si="62"/>
        <v>8.0720735279557441E-3</v>
      </c>
      <c r="AK225" s="17" t="s">
        <v>814</v>
      </c>
      <c r="AL225" s="17">
        <f t="shared" si="63"/>
        <v>1.9578856735310735E-2</v>
      </c>
      <c r="AM225" s="17">
        <f t="shared" si="64"/>
        <v>1.7445689165219897E-2</v>
      </c>
      <c r="AO225" s="17" t="s">
        <v>1526</v>
      </c>
      <c r="AP225" s="17">
        <f t="shared" si="65"/>
        <v>0.90849307773701327</v>
      </c>
      <c r="AR225" s="1" t="s">
        <v>199</v>
      </c>
      <c r="AS225" s="17">
        <f t="shared" si="66"/>
        <v>0.90849307773701327</v>
      </c>
      <c r="AT225" s="17">
        <f t="shared" si="67"/>
        <v>176</v>
      </c>
    </row>
    <row r="226" spans="6:46" x14ac:dyDescent="0.3">
      <c r="F226" s="1">
        <v>224</v>
      </c>
      <c r="G226" s="1" t="s">
        <v>200</v>
      </c>
      <c r="H226" s="1">
        <v>0</v>
      </c>
      <c r="I226" s="1">
        <v>90</v>
      </c>
      <c r="J226" s="1">
        <v>2</v>
      </c>
      <c r="K226" s="1">
        <v>3</v>
      </c>
      <c r="M226" s="1" t="s">
        <v>200</v>
      </c>
      <c r="N226" s="1">
        <f t="shared" si="51"/>
        <v>0</v>
      </c>
      <c r="O226" s="1">
        <f t="shared" si="52"/>
        <v>0.8571428571428571</v>
      </c>
      <c r="P226" s="1">
        <f t="shared" si="53"/>
        <v>0.5</v>
      </c>
      <c r="Q226" s="1">
        <f t="shared" si="54"/>
        <v>1</v>
      </c>
      <c r="S226" s="1" t="s">
        <v>200</v>
      </c>
      <c r="T226" s="1">
        <f t="shared" si="55"/>
        <v>0</v>
      </c>
      <c r="U226" s="1">
        <f t="shared" si="56"/>
        <v>6.5285269243850599E-2</v>
      </c>
      <c r="V226" s="1">
        <f t="shared" si="57"/>
        <v>3.1574382095289864E-2</v>
      </c>
      <c r="W226" s="1">
        <f t="shared" si="58"/>
        <v>4.0360367639778717E-2</v>
      </c>
      <c r="Y226" s="1" t="s">
        <v>200</v>
      </c>
      <c r="Z226" s="1">
        <f t="shared" si="59"/>
        <v>0</v>
      </c>
      <c r="AA226" s="1">
        <f t="shared" si="60"/>
        <v>1.3057053848770121E-2</v>
      </c>
      <c r="AB226" s="1">
        <f t="shared" si="61"/>
        <v>9.4723146285869593E-3</v>
      </c>
      <c r="AC226" s="1">
        <f t="shared" si="62"/>
        <v>8.0720735279557441E-3</v>
      </c>
      <c r="AK226" s="17" t="s">
        <v>815</v>
      </c>
      <c r="AL226" s="17">
        <f t="shared" si="63"/>
        <v>3.0623062265756517E-2</v>
      </c>
      <c r="AM226" s="17">
        <f t="shared" si="64"/>
        <v>1.469723606863E-2</v>
      </c>
      <c r="AO226" s="17" t="s">
        <v>1527</v>
      </c>
      <c r="AP226" s="17">
        <f t="shared" si="65"/>
        <v>0.49463735247772017</v>
      </c>
      <c r="AR226" s="1" t="s">
        <v>200</v>
      </c>
      <c r="AS226" s="17">
        <f t="shared" si="66"/>
        <v>0.49463735247772017</v>
      </c>
      <c r="AT226" s="17">
        <f t="shared" si="67"/>
        <v>543</v>
      </c>
    </row>
    <row r="227" spans="6:46" x14ac:dyDescent="0.3">
      <c r="F227" s="1">
        <v>225</v>
      </c>
      <c r="G227" s="1" t="s">
        <v>201</v>
      </c>
      <c r="H227" s="1">
        <v>3</v>
      </c>
      <c r="I227" s="1">
        <v>72</v>
      </c>
      <c r="J227" s="1">
        <v>2</v>
      </c>
      <c r="K227" s="1">
        <v>3</v>
      </c>
      <c r="M227" s="1" t="s">
        <v>201</v>
      </c>
      <c r="N227" s="1">
        <f t="shared" si="51"/>
        <v>0.42857142857142855</v>
      </c>
      <c r="O227" s="1">
        <f t="shared" si="52"/>
        <v>0.68571428571428572</v>
      </c>
      <c r="P227" s="1">
        <f t="shared" si="53"/>
        <v>0.5</v>
      </c>
      <c r="Q227" s="1">
        <f t="shared" si="54"/>
        <v>1</v>
      </c>
      <c r="S227" s="1" t="s">
        <v>201</v>
      </c>
      <c r="T227" s="1">
        <f t="shared" si="55"/>
        <v>4.2874646285627281E-2</v>
      </c>
      <c r="U227" s="1">
        <f t="shared" si="56"/>
        <v>5.2228215395080484E-2</v>
      </c>
      <c r="V227" s="1">
        <f t="shared" si="57"/>
        <v>3.1574382095289864E-2</v>
      </c>
      <c r="W227" s="1">
        <f t="shared" si="58"/>
        <v>4.0360367639778717E-2</v>
      </c>
      <c r="Y227" s="1" t="s">
        <v>201</v>
      </c>
      <c r="Z227" s="1">
        <f t="shared" si="59"/>
        <v>1.2862393885688184E-2</v>
      </c>
      <c r="AA227" s="1">
        <f t="shared" si="60"/>
        <v>1.0445643079016097E-2</v>
      </c>
      <c r="AB227" s="1">
        <f t="shared" si="61"/>
        <v>9.4723146285869593E-3</v>
      </c>
      <c r="AC227" s="1">
        <f t="shared" si="62"/>
        <v>8.0720735279557441E-3</v>
      </c>
      <c r="AK227" s="17" t="s">
        <v>816</v>
      </c>
      <c r="AL227" s="17">
        <f t="shared" si="63"/>
        <v>1.8690627027896665E-2</v>
      </c>
      <c r="AM227" s="17">
        <f t="shared" si="64"/>
        <v>1.8350600397243424E-2</v>
      </c>
      <c r="AO227" s="17" t="s">
        <v>1528</v>
      </c>
      <c r="AP227" s="17">
        <f t="shared" si="65"/>
        <v>1.0001582395874249</v>
      </c>
      <c r="AR227" s="1" t="s">
        <v>201</v>
      </c>
      <c r="AS227" s="17">
        <f t="shared" si="66"/>
        <v>1.0001582395874249</v>
      </c>
      <c r="AT227" s="17">
        <f t="shared" si="67"/>
        <v>138</v>
      </c>
    </row>
    <row r="228" spans="6:46" x14ac:dyDescent="0.3">
      <c r="F228" s="1">
        <v>226</v>
      </c>
      <c r="G228" s="1" t="s">
        <v>40</v>
      </c>
      <c r="H228" s="1">
        <v>2</v>
      </c>
      <c r="I228" s="1">
        <v>81</v>
      </c>
      <c r="J228" s="1">
        <v>2</v>
      </c>
      <c r="K228" s="1">
        <v>3</v>
      </c>
      <c r="M228" s="1" t="s">
        <v>40</v>
      </c>
      <c r="N228" s="1">
        <f t="shared" si="51"/>
        <v>0.2857142857142857</v>
      </c>
      <c r="O228" s="1">
        <f t="shared" si="52"/>
        <v>0.77142857142857146</v>
      </c>
      <c r="P228" s="1">
        <f t="shared" si="53"/>
        <v>0.5</v>
      </c>
      <c r="Q228" s="1">
        <f t="shared" si="54"/>
        <v>1</v>
      </c>
      <c r="S228" s="1" t="s">
        <v>40</v>
      </c>
      <c r="T228" s="1">
        <f t="shared" si="55"/>
        <v>2.8583097523751523E-2</v>
      </c>
      <c r="U228" s="1">
        <f t="shared" si="56"/>
        <v>5.8756742319465545E-2</v>
      </c>
      <c r="V228" s="1">
        <f t="shared" si="57"/>
        <v>3.1574382095289864E-2</v>
      </c>
      <c r="W228" s="1">
        <f t="shared" si="58"/>
        <v>4.0360367639778717E-2</v>
      </c>
      <c r="Y228" s="1" t="s">
        <v>40</v>
      </c>
      <c r="Z228" s="1">
        <f t="shared" si="59"/>
        <v>8.5749292571254566E-3</v>
      </c>
      <c r="AA228" s="1">
        <f t="shared" si="60"/>
        <v>1.175134846389311E-2</v>
      </c>
      <c r="AB228" s="1">
        <f t="shared" si="61"/>
        <v>9.4723146285869593E-3</v>
      </c>
      <c r="AC228" s="1">
        <f t="shared" si="62"/>
        <v>8.0720735279557441E-3</v>
      </c>
      <c r="AK228" s="17" t="s">
        <v>817</v>
      </c>
      <c r="AL228" s="17">
        <f t="shared" si="63"/>
        <v>2.2449570753207068E-2</v>
      </c>
      <c r="AM228" s="17">
        <f t="shared" si="64"/>
        <v>1.6293575374223102E-2</v>
      </c>
      <c r="AO228" s="17" t="s">
        <v>1529</v>
      </c>
      <c r="AP228" s="17">
        <f t="shared" si="65"/>
        <v>0.74207918407658369</v>
      </c>
      <c r="AR228" s="1" t="s">
        <v>40</v>
      </c>
      <c r="AS228" s="17">
        <f t="shared" si="66"/>
        <v>0.74207918407658369</v>
      </c>
      <c r="AT228" s="17">
        <f t="shared" si="67"/>
        <v>323</v>
      </c>
    </row>
    <row r="229" spans="6:46" x14ac:dyDescent="0.3">
      <c r="F229" s="1">
        <v>227</v>
      </c>
      <c r="G229" s="1" t="s">
        <v>202</v>
      </c>
      <c r="H229" s="1">
        <v>2</v>
      </c>
      <c r="I229" s="1">
        <v>53</v>
      </c>
      <c r="J229" s="1">
        <v>2</v>
      </c>
      <c r="K229" s="1">
        <v>2</v>
      </c>
      <c r="M229" s="1" t="s">
        <v>202</v>
      </c>
      <c r="N229" s="1">
        <f t="shared" si="51"/>
        <v>0.2857142857142857</v>
      </c>
      <c r="O229" s="1">
        <f t="shared" si="52"/>
        <v>0.50476190476190474</v>
      </c>
      <c r="P229" s="1">
        <f t="shared" si="53"/>
        <v>0.5</v>
      </c>
      <c r="Q229" s="1">
        <f t="shared" si="54"/>
        <v>0.66666666666666663</v>
      </c>
      <c r="S229" s="1" t="s">
        <v>202</v>
      </c>
      <c r="T229" s="1">
        <f t="shared" si="55"/>
        <v>2.8583097523751523E-2</v>
      </c>
      <c r="U229" s="1">
        <f t="shared" si="56"/>
        <v>3.844576966582313E-2</v>
      </c>
      <c r="V229" s="1">
        <f t="shared" si="57"/>
        <v>3.1574382095289864E-2</v>
      </c>
      <c r="W229" s="1">
        <f t="shared" si="58"/>
        <v>2.6906911759852478E-2</v>
      </c>
      <c r="Y229" s="1" t="s">
        <v>202</v>
      </c>
      <c r="Z229" s="1">
        <f t="shared" si="59"/>
        <v>8.5749292571254566E-3</v>
      </c>
      <c r="AA229" s="1">
        <f t="shared" si="60"/>
        <v>7.6891539331646261E-3</v>
      </c>
      <c r="AB229" s="1">
        <f t="shared" si="61"/>
        <v>9.4723146285869593E-3</v>
      </c>
      <c r="AC229" s="1">
        <f t="shared" si="62"/>
        <v>5.3813823519704958E-3</v>
      </c>
      <c r="AK229" s="17" t="s">
        <v>818</v>
      </c>
      <c r="AL229" s="17">
        <f t="shared" si="63"/>
        <v>2.3579919985804366E-2</v>
      </c>
      <c r="AM229" s="17">
        <f t="shared" si="64"/>
        <v>1.3810171929777472E-2</v>
      </c>
      <c r="AO229" s="17" t="s">
        <v>1530</v>
      </c>
      <c r="AP229" s="17">
        <f t="shared" si="65"/>
        <v>0.59948526913500555</v>
      </c>
      <c r="AR229" s="1" t="s">
        <v>202</v>
      </c>
      <c r="AS229" s="17">
        <f t="shared" si="66"/>
        <v>0.59948526913500555</v>
      </c>
      <c r="AT229" s="17">
        <f t="shared" si="67"/>
        <v>434</v>
      </c>
    </row>
    <row r="230" spans="6:46" x14ac:dyDescent="0.3">
      <c r="F230" s="1">
        <v>228</v>
      </c>
      <c r="G230" s="1" t="s">
        <v>202</v>
      </c>
      <c r="H230" s="1">
        <v>0</v>
      </c>
      <c r="I230" s="1">
        <v>69</v>
      </c>
      <c r="J230" s="1">
        <v>5</v>
      </c>
      <c r="K230" s="1">
        <v>1</v>
      </c>
      <c r="M230" s="1" t="s">
        <v>202</v>
      </c>
      <c r="N230" s="1">
        <f t="shared" si="51"/>
        <v>0</v>
      </c>
      <c r="O230" s="1">
        <f t="shared" si="52"/>
        <v>0.65714285714285714</v>
      </c>
      <c r="P230" s="1">
        <f t="shared" si="53"/>
        <v>0.2</v>
      </c>
      <c r="Q230" s="1">
        <f t="shared" si="54"/>
        <v>0.33333333333333331</v>
      </c>
      <c r="S230" s="1" t="s">
        <v>202</v>
      </c>
      <c r="T230" s="1">
        <f t="shared" si="55"/>
        <v>0</v>
      </c>
      <c r="U230" s="1">
        <f t="shared" si="56"/>
        <v>5.0052039753618799E-2</v>
      </c>
      <c r="V230" s="1">
        <f t="shared" si="57"/>
        <v>1.2629752838115946E-2</v>
      </c>
      <c r="W230" s="1">
        <f t="shared" si="58"/>
        <v>1.3453455879926239E-2</v>
      </c>
      <c r="Y230" s="1" t="s">
        <v>202</v>
      </c>
      <c r="Z230" s="1">
        <f t="shared" si="59"/>
        <v>0</v>
      </c>
      <c r="AA230" s="1">
        <f t="shared" si="60"/>
        <v>1.0010407950723761E-2</v>
      </c>
      <c r="AB230" s="1">
        <f t="shared" si="61"/>
        <v>3.7889258514347836E-3</v>
      </c>
      <c r="AC230" s="1">
        <f t="shared" si="62"/>
        <v>2.6906911759852479E-3</v>
      </c>
      <c r="AK230" s="17" t="s">
        <v>819</v>
      </c>
      <c r="AL230" s="17">
        <f t="shared" si="63"/>
        <v>3.0934971067859411E-2</v>
      </c>
      <c r="AM230" s="17">
        <f t="shared" si="64"/>
        <v>1.6618958836340823E-2</v>
      </c>
      <c r="AO230" s="17" t="s">
        <v>1531</v>
      </c>
      <c r="AP230" s="17">
        <f t="shared" si="65"/>
        <v>0.55384134058304513</v>
      </c>
      <c r="AR230" s="1" t="s">
        <v>202</v>
      </c>
      <c r="AS230" s="17">
        <f t="shared" si="66"/>
        <v>0.55384134058304513</v>
      </c>
      <c r="AT230" s="17">
        <f t="shared" si="67"/>
        <v>508</v>
      </c>
    </row>
    <row r="231" spans="6:46" x14ac:dyDescent="0.3">
      <c r="F231" s="1">
        <v>229</v>
      </c>
      <c r="G231" s="1" t="s">
        <v>203</v>
      </c>
      <c r="H231" s="1">
        <v>3</v>
      </c>
      <c r="I231" s="1">
        <v>56</v>
      </c>
      <c r="J231" s="1">
        <v>3</v>
      </c>
      <c r="K231" s="1">
        <v>3</v>
      </c>
      <c r="M231" s="1" t="s">
        <v>203</v>
      </c>
      <c r="N231" s="1">
        <f t="shared" si="51"/>
        <v>0.42857142857142855</v>
      </c>
      <c r="O231" s="1">
        <f t="shared" si="52"/>
        <v>0.53333333333333333</v>
      </c>
      <c r="P231" s="1">
        <f t="shared" si="53"/>
        <v>0.33333333333333331</v>
      </c>
      <c r="Q231" s="1">
        <f t="shared" si="54"/>
        <v>1</v>
      </c>
      <c r="S231" s="1" t="s">
        <v>203</v>
      </c>
      <c r="T231" s="1">
        <f t="shared" si="55"/>
        <v>4.2874646285627281E-2</v>
      </c>
      <c r="U231" s="1">
        <f t="shared" si="56"/>
        <v>4.0621945307284822E-2</v>
      </c>
      <c r="V231" s="1">
        <f t="shared" si="57"/>
        <v>2.1049588063526574E-2</v>
      </c>
      <c r="W231" s="1">
        <f t="shared" si="58"/>
        <v>4.0360367639778717E-2</v>
      </c>
      <c r="Y231" s="1" t="s">
        <v>203</v>
      </c>
      <c r="Z231" s="1">
        <f t="shared" si="59"/>
        <v>1.2862393885688184E-2</v>
      </c>
      <c r="AA231" s="1">
        <f t="shared" si="60"/>
        <v>8.1243890614569655E-3</v>
      </c>
      <c r="AB231" s="1">
        <f t="shared" si="61"/>
        <v>6.314876419057972E-3</v>
      </c>
      <c r="AC231" s="1">
        <f t="shared" si="62"/>
        <v>8.0720735279557441E-3</v>
      </c>
      <c r="AK231" s="17" t="s">
        <v>820</v>
      </c>
      <c r="AL231" s="17">
        <f t="shared" si="63"/>
        <v>1.8735892975000796E-2</v>
      </c>
      <c r="AM231" s="17">
        <f t="shared" si="64"/>
        <v>1.9448452152924282E-2</v>
      </c>
      <c r="AO231" s="17" t="s">
        <v>1532</v>
      </c>
      <c r="AP231" s="17">
        <f t="shared" si="65"/>
        <v>1.0574802224493416</v>
      </c>
      <c r="AR231" s="1" t="s">
        <v>203</v>
      </c>
      <c r="AS231" s="17">
        <f t="shared" si="66"/>
        <v>1.0574802224493416</v>
      </c>
      <c r="AT231" s="17">
        <f t="shared" si="67"/>
        <v>118</v>
      </c>
    </row>
    <row r="232" spans="6:46" x14ac:dyDescent="0.3">
      <c r="F232" s="1">
        <v>230</v>
      </c>
      <c r="G232" s="1" t="s">
        <v>204</v>
      </c>
      <c r="H232" s="1">
        <v>2</v>
      </c>
      <c r="I232" s="1">
        <v>56</v>
      </c>
      <c r="J232" s="1">
        <v>2</v>
      </c>
      <c r="K232" s="1">
        <v>3</v>
      </c>
      <c r="M232" s="1" t="s">
        <v>204</v>
      </c>
      <c r="N232" s="1">
        <f t="shared" si="51"/>
        <v>0.2857142857142857</v>
      </c>
      <c r="O232" s="1">
        <f t="shared" si="52"/>
        <v>0.53333333333333333</v>
      </c>
      <c r="P232" s="1">
        <f t="shared" si="53"/>
        <v>0.5</v>
      </c>
      <c r="Q232" s="1">
        <f t="shared" si="54"/>
        <v>1</v>
      </c>
      <c r="S232" s="1" t="s">
        <v>204</v>
      </c>
      <c r="T232" s="1">
        <f t="shared" si="55"/>
        <v>2.8583097523751523E-2</v>
      </c>
      <c r="U232" s="1">
        <f t="shared" si="56"/>
        <v>4.0621945307284822E-2</v>
      </c>
      <c r="V232" s="1">
        <f t="shared" si="57"/>
        <v>3.1574382095289864E-2</v>
      </c>
      <c r="W232" s="1">
        <f t="shared" si="58"/>
        <v>4.0360367639778717E-2</v>
      </c>
      <c r="Y232" s="1" t="s">
        <v>204</v>
      </c>
      <c r="Z232" s="1">
        <f t="shared" si="59"/>
        <v>8.5749292571254566E-3</v>
      </c>
      <c r="AA232" s="1">
        <f t="shared" si="60"/>
        <v>8.1243890614569655E-3</v>
      </c>
      <c r="AB232" s="1">
        <f t="shared" si="61"/>
        <v>9.4723146285869593E-3</v>
      </c>
      <c r="AC232" s="1">
        <f t="shared" si="62"/>
        <v>8.0720735279557441E-3</v>
      </c>
      <c r="AK232" s="17" t="s">
        <v>821</v>
      </c>
      <c r="AL232" s="17">
        <f t="shared" si="63"/>
        <v>2.32893826402388E-2</v>
      </c>
      <c r="AM232" s="17">
        <f t="shared" si="64"/>
        <v>1.4715454940631204E-2</v>
      </c>
      <c r="AO232" s="17" t="s">
        <v>1533</v>
      </c>
      <c r="AP232" s="17">
        <f t="shared" si="65"/>
        <v>0.64656796764769697</v>
      </c>
      <c r="AR232" s="1" t="s">
        <v>204</v>
      </c>
      <c r="AS232" s="17">
        <f t="shared" si="66"/>
        <v>0.64656796764769697</v>
      </c>
      <c r="AT232" s="17">
        <f t="shared" si="67"/>
        <v>385</v>
      </c>
    </row>
    <row r="233" spans="6:46" x14ac:dyDescent="0.3">
      <c r="F233" s="1">
        <v>231</v>
      </c>
      <c r="G233" s="1" t="s">
        <v>205</v>
      </c>
      <c r="H233" s="1">
        <v>4</v>
      </c>
      <c r="I233" s="1">
        <v>54</v>
      </c>
      <c r="J233" s="1">
        <v>1</v>
      </c>
      <c r="K233" s="1">
        <v>2</v>
      </c>
      <c r="M233" s="1" t="s">
        <v>205</v>
      </c>
      <c r="N233" s="1">
        <f t="shared" si="51"/>
        <v>0.5714285714285714</v>
      </c>
      <c r="O233" s="1">
        <f t="shared" si="52"/>
        <v>0.51428571428571423</v>
      </c>
      <c r="P233" s="1">
        <f t="shared" si="53"/>
        <v>1</v>
      </c>
      <c r="Q233" s="1">
        <f t="shared" si="54"/>
        <v>0.66666666666666663</v>
      </c>
      <c r="S233" s="1" t="s">
        <v>205</v>
      </c>
      <c r="T233" s="1">
        <f t="shared" si="55"/>
        <v>5.7166195047503046E-2</v>
      </c>
      <c r="U233" s="1">
        <f t="shared" si="56"/>
        <v>3.9171161546310361E-2</v>
      </c>
      <c r="V233" s="1">
        <f t="shared" si="57"/>
        <v>6.3148764190579729E-2</v>
      </c>
      <c r="W233" s="1">
        <f t="shared" si="58"/>
        <v>2.6906911759852478E-2</v>
      </c>
      <c r="Y233" s="1" t="s">
        <v>205</v>
      </c>
      <c r="Z233" s="1">
        <f t="shared" si="59"/>
        <v>1.7149858514250913E-2</v>
      </c>
      <c r="AA233" s="1">
        <f t="shared" si="60"/>
        <v>7.8342323092620725E-3</v>
      </c>
      <c r="AB233" s="1">
        <f t="shared" si="61"/>
        <v>1.8944629257173919E-2</v>
      </c>
      <c r="AC233" s="1">
        <f t="shared" si="62"/>
        <v>5.3813823519704958E-3</v>
      </c>
      <c r="AK233" s="17" t="s">
        <v>822</v>
      </c>
      <c r="AL233" s="17">
        <f t="shared" si="63"/>
        <v>2.1380399913983009E-2</v>
      </c>
      <c r="AM233" s="17">
        <f t="shared" si="64"/>
        <v>1.7969706367091453E-2</v>
      </c>
      <c r="AO233" s="17" t="s">
        <v>1534</v>
      </c>
      <c r="AP233" s="17">
        <f t="shared" si="65"/>
        <v>0.85844539622259664</v>
      </c>
      <c r="AR233" s="1" t="s">
        <v>205</v>
      </c>
      <c r="AS233" s="17">
        <f t="shared" si="66"/>
        <v>0.85844539622259664</v>
      </c>
      <c r="AT233" s="17">
        <f t="shared" si="67"/>
        <v>237</v>
      </c>
    </row>
    <row r="234" spans="6:46" x14ac:dyDescent="0.3">
      <c r="F234" s="1">
        <v>232</v>
      </c>
      <c r="G234" s="1" t="s">
        <v>206</v>
      </c>
      <c r="H234" s="1">
        <v>2</v>
      </c>
      <c r="I234" s="1">
        <v>36</v>
      </c>
      <c r="J234" s="1">
        <v>3</v>
      </c>
      <c r="K234" s="1">
        <v>3</v>
      </c>
      <c r="M234" s="1" t="s">
        <v>206</v>
      </c>
      <c r="N234" s="1">
        <f t="shared" si="51"/>
        <v>0.2857142857142857</v>
      </c>
      <c r="O234" s="1">
        <f t="shared" si="52"/>
        <v>0.34285714285714286</v>
      </c>
      <c r="P234" s="1">
        <f t="shared" si="53"/>
        <v>0.33333333333333331</v>
      </c>
      <c r="Q234" s="1">
        <f t="shared" si="54"/>
        <v>1</v>
      </c>
      <c r="S234" s="1" t="s">
        <v>206</v>
      </c>
      <c r="T234" s="1">
        <f t="shared" si="55"/>
        <v>2.8583097523751523E-2</v>
      </c>
      <c r="U234" s="1">
        <f t="shared" si="56"/>
        <v>2.6114107697540242E-2</v>
      </c>
      <c r="V234" s="1">
        <f t="shared" si="57"/>
        <v>2.1049588063526574E-2</v>
      </c>
      <c r="W234" s="1">
        <f t="shared" si="58"/>
        <v>4.0360367639778717E-2</v>
      </c>
      <c r="Y234" s="1" t="s">
        <v>206</v>
      </c>
      <c r="Z234" s="1">
        <f t="shared" si="59"/>
        <v>8.5749292571254566E-3</v>
      </c>
      <c r="AA234" s="1">
        <f t="shared" si="60"/>
        <v>5.2228215395080484E-3</v>
      </c>
      <c r="AB234" s="1">
        <f t="shared" si="61"/>
        <v>6.314876419057972E-3</v>
      </c>
      <c r="AC234" s="1">
        <f t="shared" si="62"/>
        <v>8.0720735279557441E-3</v>
      </c>
      <c r="AK234" s="17" t="s">
        <v>823</v>
      </c>
      <c r="AL234" s="17">
        <f t="shared" si="63"/>
        <v>2.3793854608688412E-2</v>
      </c>
      <c r="AM234" s="17">
        <f t="shared" si="64"/>
        <v>1.6313328925638491E-2</v>
      </c>
      <c r="AO234" s="17" t="s">
        <v>1535</v>
      </c>
      <c r="AP234" s="17">
        <f t="shared" si="65"/>
        <v>0.70192434882661836</v>
      </c>
      <c r="AR234" s="1" t="s">
        <v>206</v>
      </c>
      <c r="AS234" s="17">
        <f t="shared" si="66"/>
        <v>0.70192434882661836</v>
      </c>
      <c r="AT234" s="17">
        <f t="shared" si="67"/>
        <v>342</v>
      </c>
    </row>
    <row r="235" spans="6:46" x14ac:dyDescent="0.3">
      <c r="F235" s="1">
        <v>233</v>
      </c>
      <c r="G235" s="1" t="s">
        <v>207</v>
      </c>
      <c r="H235" s="1">
        <v>0</v>
      </c>
      <c r="I235" s="1">
        <v>54</v>
      </c>
      <c r="J235" s="1">
        <v>2</v>
      </c>
      <c r="K235" s="1">
        <v>1</v>
      </c>
      <c r="M235" s="1" t="s">
        <v>207</v>
      </c>
      <c r="N235" s="1">
        <f t="shared" si="51"/>
        <v>0</v>
      </c>
      <c r="O235" s="1">
        <f t="shared" si="52"/>
        <v>0.51428571428571423</v>
      </c>
      <c r="P235" s="1">
        <f t="shared" si="53"/>
        <v>0.5</v>
      </c>
      <c r="Q235" s="1">
        <f t="shared" si="54"/>
        <v>0.33333333333333331</v>
      </c>
      <c r="S235" s="1" t="s">
        <v>207</v>
      </c>
      <c r="T235" s="1">
        <f t="shared" si="55"/>
        <v>0</v>
      </c>
      <c r="U235" s="1">
        <f t="shared" si="56"/>
        <v>3.9171161546310361E-2</v>
      </c>
      <c r="V235" s="1">
        <f t="shared" si="57"/>
        <v>3.1574382095289864E-2</v>
      </c>
      <c r="W235" s="1">
        <f t="shared" si="58"/>
        <v>1.3453455879926239E-2</v>
      </c>
      <c r="Y235" s="1" t="s">
        <v>207</v>
      </c>
      <c r="Z235" s="1">
        <f t="shared" si="59"/>
        <v>0</v>
      </c>
      <c r="AA235" s="1">
        <f t="shared" si="60"/>
        <v>7.8342323092620725E-3</v>
      </c>
      <c r="AB235" s="1">
        <f t="shared" si="61"/>
        <v>9.4723146285869593E-3</v>
      </c>
      <c r="AC235" s="1">
        <f t="shared" si="62"/>
        <v>2.6906911759852479E-3</v>
      </c>
      <c r="AK235" s="17" t="s">
        <v>824</v>
      </c>
      <c r="AL235" s="17">
        <f t="shared" si="63"/>
        <v>3.1886370715589557E-2</v>
      </c>
      <c r="AM235" s="17">
        <f t="shared" si="64"/>
        <v>1.0548821037399399E-2</v>
      </c>
      <c r="AO235" s="17" t="s">
        <v>1536</v>
      </c>
      <c r="AP235" s="17">
        <f t="shared" si="65"/>
        <v>0.34137421134254248</v>
      </c>
      <c r="AR235" s="1" t="s">
        <v>207</v>
      </c>
      <c r="AS235" s="17">
        <f t="shared" si="66"/>
        <v>0.34137421134254248</v>
      </c>
      <c r="AT235" s="17">
        <f t="shared" si="67"/>
        <v>633</v>
      </c>
    </row>
    <row r="236" spans="6:46" x14ac:dyDescent="0.3">
      <c r="F236" s="1">
        <v>234</v>
      </c>
      <c r="G236" s="1" t="s">
        <v>208</v>
      </c>
      <c r="H236" s="1">
        <v>2</v>
      </c>
      <c r="I236" s="1">
        <v>39</v>
      </c>
      <c r="J236" s="1">
        <v>1</v>
      </c>
      <c r="K236" s="1">
        <v>2</v>
      </c>
      <c r="M236" s="1" t="s">
        <v>208</v>
      </c>
      <c r="N236" s="1">
        <f t="shared" si="51"/>
        <v>0.2857142857142857</v>
      </c>
      <c r="O236" s="1">
        <f t="shared" si="52"/>
        <v>0.37142857142857144</v>
      </c>
      <c r="P236" s="1">
        <f t="shared" si="53"/>
        <v>1</v>
      </c>
      <c r="Q236" s="1">
        <f t="shared" si="54"/>
        <v>0.66666666666666663</v>
      </c>
      <c r="S236" s="1" t="s">
        <v>208</v>
      </c>
      <c r="T236" s="1">
        <f t="shared" si="55"/>
        <v>2.8583097523751523E-2</v>
      </c>
      <c r="U236" s="1">
        <f t="shared" si="56"/>
        <v>2.829028333900193E-2</v>
      </c>
      <c r="V236" s="1">
        <f t="shared" si="57"/>
        <v>6.3148764190579729E-2</v>
      </c>
      <c r="W236" s="1">
        <f t="shared" si="58"/>
        <v>2.6906911759852478E-2</v>
      </c>
      <c r="Y236" s="1" t="s">
        <v>208</v>
      </c>
      <c r="Z236" s="1">
        <f t="shared" si="59"/>
        <v>8.5749292571254566E-3</v>
      </c>
      <c r="AA236" s="1">
        <f t="shared" si="60"/>
        <v>5.658056667800386E-3</v>
      </c>
      <c r="AB236" s="1">
        <f t="shared" si="61"/>
        <v>1.8944629257173919E-2</v>
      </c>
      <c r="AC236" s="1">
        <f t="shared" si="62"/>
        <v>5.3813823519704958E-3</v>
      </c>
      <c r="AK236" s="17" t="s">
        <v>825</v>
      </c>
      <c r="AL236" s="17">
        <f t="shared" si="63"/>
        <v>2.8074506635666824E-2</v>
      </c>
      <c r="AM236" s="17">
        <f t="shared" si="64"/>
        <v>9.3194434514744916E-3</v>
      </c>
      <c r="AO236" s="17" t="s">
        <v>1537</v>
      </c>
      <c r="AP236" s="17">
        <f t="shared" si="65"/>
        <v>0.34127339628193132</v>
      </c>
      <c r="AR236" s="1" t="s">
        <v>208</v>
      </c>
      <c r="AS236" s="17">
        <f t="shared" si="66"/>
        <v>0.34127339628193132</v>
      </c>
      <c r="AT236" s="17">
        <f t="shared" si="67"/>
        <v>634</v>
      </c>
    </row>
    <row r="237" spans="6:46" x14ac:dyDescent="0.3">
      <c r="F237" s="1">
        <v>235</v>
      </c>
      <c r="G237" s="1" t="s">
        <v>209</v>
      </c>
      <c r="H237" s="1">
        <v>3</v>
      </c>
      <c r="I237" s="1">
        <v>42</v>
      </c>
      <c r="J237" s="1">
        <v>5</v>
      </c>
      <c r="K237" s="1">
        <v>3</v>
      </c>
      <c r="M237" s="1" t="s">
        <v>209</v>
      </c>
      <c r="N237" s="1">
        <f t="shared" si="51"/>
        <v>0.42857142857142855</v>
      </c>
      <c r="O237" s="1">
        <f t="shared" si="52"/>
        <v>0.4</v>
      </c>
      <c r="P237" s="1">
        <f t="shared" si="53"/>
        <v>0.2</v>
      </c>
      <c r="Q237" s="1">
        <f t="shared" si="54"/>
        <v>1</v>
      </c>
      <c r="S237" s="1" t="s">
        <v>209</v>
      </c>
      <c r="T237" s="1">
        <f t="shared" si="55"/>
        <v>4.2874646285627281E-2</v>
      </c>
      <c r="U237" s="1">
        <f t="shared" si="56"/>
        <v>3.0466458980463618E-2</v>
      </c>
      <c r="V237" s="1">
        <f t="shared" si="57"/>
        <v>1.2629752838115946E-2</v>
      </c>
      <c r="W237" s="1">
        <f t="shared" si="58"/>
        <v>4.0360367639778717E-2</v>
      </c>
      <c r="Y237" s="1" t="s">
        <v>209</v>
      </c>
      <c r="Z237" s="1">
        <f t="shared" si="59"/>
        <v>1.2862393885688184E-2</v>
      </c>
      <c r="AA237" s="1">
        <f t="shared" si="60"/>
        <v>6.0932917960927237E-3</v>
      </c>
      <c r="AB237" s="1">
        <f t="shared" si="61"/>
        <v>3.7889258514347836E-3</v>
      </c>
      <c r="AC237" s="1">
        <f t="shared" si="62"/>
        <v>8.0720735279557441E-3</v>
      </c>
      <c r="AK237" s="17" t="s">
        <v>826</v>
      </c>
      <c r="AL237" s="17">
        <f t="shared" si="63"/>
        <v>1.9433376137757669E-2</v>
      </c>
      <c r="AM237" s="17">
        <f t="shared" si="64"/>
        <v>2.0796992385819873E-2</v>
      </c>
      <c r="AO237" s="17" t="s">
        <v>1538</v>
      </c>
      <c r="AP237" s="17">
        <f t="shared" si="65"/>
        <v>1.0909657699773159</v>
      </c>
      <c r="AR237" s="1" t="s">
        <v>209</v>
      </c>
      <c r="AS237" s="17">
        <f t="shared" si="66"/>
        <v>1.0909657699773159</v>
      </c>
      <c r="AT237" s="17">
        <f t="shared" si="67"/>
        <v>109</v>
      </c>
    </row>
    <row r="238" spans="6:46" x14ac:dyDescent="0.3">
      <c r="F238" s="1">
        <v>236</v>
      </c>
      <c r="G238" s="1" t="s">
        <v>210</v>
      </c>
      <c r="H238" s="1">
        <v>0</v>
      </c>
      <c r="I238" s="1">
        <v>91</v>
      </c>
      <c r="J238" s="1">
        <v>1</v>
      </c>
      <c r="K238" s="1">
        <v>2</v>
      </c>
      <c r="M238" s="1" t="s">
        <v>210</v>
      </c>
      <c r="N238" s="1">
        <f t="shared" si="51"/>
        <v>0</v>
      </c>
      <c r="O238" s="1">
        <f t="shared" si="52"/>
        <v>0.8666666666666667</v>
      </c>
      <c r="P238" s="1">
        <f t="shared" si="53"/>
        <v>1</v>
      </c>
      <c r="Q238" s="1">
        <f t="shared" si="54"/>
        <v>0.66666666666666663</v>
      </c>
      <c r="S238" s="1" t="s">
        <v>210</v>
      </c>
      <c r="T238" s="1">
        <f t="shared" si="55"/>
        <v>0</v>
      </c>
      <c r="U238" s="1">
        <f t="shared" si="56"/>
        <v>6.6010661124337844E-2</v>
      </c>
      <c r="V238" s="1">
        <f t="shared" si="57"/>
        <v>6.3148764190579729E-2</v>
      </c>
      <c r="W238" s="1">
        <f t="shared" si="58"/>
        <v>2.6906911759852478E-2</v>
      </c>
      <c r="Y238" s="1" t="s">
        <v>210</v>
      </c>
      <c r="Z238" s="1">
        <f t="shared" si="59"/>
        <v>0</v>
      </c>
      <c r="AA238" s="1">
        <f t="shared" si="60"/>
        <v>1.3202132224867569E-2</v>
      </c>
      <c r="AB238" s="1">
        <f t="shared" si="61"/>
        <v>1.8944629257173919E-2</v>
      </c>
      <c r="AC238" s="1">
        <f t="shared" si="62"/>
        <v>5.3813823519704958E-3</v>
      </c>
      <c r="AK238" s="17" t="s">
        <v>827</v>
      </c>
      <c r="AL238" s="17">
        <f t="shared" si="63"/>
        <v>3.3790469291595786E-2</v>
      </c>
      <c r="AM238" s="17">
        <f t="shared" si="64"/>
        <v>1.0365716875568151E-2</v>
      </c>
      <c r="AO238" s="17" t="s">
        <v>1539</v>
      </c>
      <c r="AP238" s="17">
        <f t="shared" si="65"/>
        <v>0.3171302304464485</v>
      </c>
      <c r="AR238" s="1" t="s">
        <v>210</v>
      </c>
      <c r="AS238" s="17">
        <f t="shared" si="66"/>
        <v>0.3171302304464485</v>
      </c>
      <c r="AT238" s="17">
        <f t="shared" si="67"/>
        <v>643</v>
      </c>
    </row>
    <row r="239" spans="6:46" x14ac:dyDescent="0.3">
      <c r="F239" s="1">
        <v>237</v>
      </c>
      <c r="G239" s="1" t="s">
        <v>211</v>
      </c>
      <c r="H239" s="1">
        <v>1</v>
      </c>
      <c r="I239" s="1">
        <v>65</v>
      </c>
      <c r="J239" s="1">
        <v>2</v>
      </c>
      <c r="K239" s="1">
        <v>2</v>
      </c>
      <c r="M239" s="1" t="s">
        <v>211</v>
      </c>
      <c r="N239" s="1">
        <f t="shared" si="51"/>
        <v>0.14285714285714285</v>
      </c>
      <c r="O239" s="1">
        <f t="shared" si="52"/>
        <v>0.61904761904761907</v>
      </c>
      <c r="P239" s="1">
        <f t="shared" si="53"/>
        <v>0.5</v>
      </c>
      <c r="Q239" s="1">
        <f t="shared" si="54"/>
        <v>0.66666666666666663</v>
      </c>
      <c r="S239" s="1" t="s">
        <v>211</v>
      </c>
      <c r="T239" s="1">
        <f t="shared" si="55"/>
        <v>1.4291548761875762E-2</v>
      </c>
      <c r="U239" s="1">
        <f t="shared" si="56"/>
        <v>4.7150472231669883E-2</v>
      </c>
      <c r="V239" s="1">
        <f t="shared" si="57"/>
        <v>3.1574382095289864E-2</v>
      </c>
      <c r="W239" s="1">
        <f t="shared" si="58"/>
        <v>2.6906911759852478E-2</v>
      </c>
      <c r="Y239" s="1" t="s">
        <v>211</v>
      </c>
      <c r="Z239" s="1">
        <f t="shared" si="59"/>
        <v>4.2874646285627283E-3</v>
      </c>
      <c r="AA239" s="1">
        <f t="shared" si="60"/>
        <v>9.4300944463339767E-3</v>
      </c>
      <c r="AB239" s="1">
        <f t="shared" si="61"/>
        <v>9.4723146285869593E-3</v>
      </c>
      <c r="AC239" s="1">
        <f t="shared" si="62"/>
        <v>5.3813823519704958E-3</v>
      </c>
      <c r="AK239" s="17" t="s">
        <v>828</v>
      </c>
      <c r="AL239" s="17">
        <f t="shared" si="63"/>
        <v>2.711054793280384E-2</v>
      </c>
      <c r="AM239" s="17">
        <f t="shared" si="64"/>
        <v>1.2420313151201781E-2</v>
      </c>
      <c r="AO239" s="17" t="s">
        <v>1540</v>
      </c>
      <c r="AP239" s="17">
        <f t="shared" si="65"/>
        <v>0.47055613475048297</v>
      </c>
      <c r="AR239" s="1" t="s">
        <v>211</v>
      </c>
      <c r="AS239" s="17">
        <f t="shared" si="66"/>
        <v>0.47055613475048297</v>
      </c>
      <c r="AT239" s="17">
        <f t="shared" si="67"/>
        <v>557</v>
      </c>
    </row>
    <row r="240" spans="6:46" x14ac:dyDescent="0.3">
      <c r="F240" s="1">
        <v>238</v>
      </c>
      <c r="G240" s="1" t="s">
        <v>212</v>
      </c>
      <c r="H240" s="1">
        <v>0</v>
      </c>
      <c r="I240" s="1">
        <v>78</v>
      </c>
      <c r="J240" s="1">
        <v>1</v>
      </c>
      <c r="K240" s="1">
        <v>2</v>
      </c>
      <c r="M240" s="1" t="s">
        <v>212</v>
      </c>
      <c r="N240" s="1">
        <f t="shared" si="51"/>
        <v>0</v>
      </c>
      <c r="O240" s="1">
        <f t="shared" si="52"/>
        <v>0.74285714285714288</v>
      </c>
      <c r="P240" s="1">
        <f t="shared" si="53"/>
        <v>1</v>
      </c>
      <c r="Q240" s="1">
        <f t="shared" si="54"/>
        <v>0.66666666666666663</v>
      </c>
      <c r="S240" s="1" t="s">
        <v>212</v>
      </c>
      <c r="T240" s="1">
        <f t="shared" si="55"/>
        <v>0</v>
      </c>
      <c r="U240" s="1">
        <f t="shared" si="56"/>
        <v>5.658056667800386E-2</v>
      </c>
      <c r="V240" s="1">
        <f t="shared" si="57"/>
        <v>6.3148764190579729E-2</v>
      </c>
      <c r="W240" s="1">
        <f t="shared" si="58"/>
        <v>2.6906911759852478E-2</v>
      </c>
      <c r="Y240" s="1" t="s">
        <v>212</v>
      </c>
      <c r="Z240" s="1">
        <f t="shared" si="59"/>
        <v>0</v>
      </c>
      <c r="AA240" s="1">
        <f t="shared" si="60"/>
        <v>1.1316113335600772E-2</v>
      </c>
      <c r="AB240" s="1">
        <f t="shared" si="61"/>
        <v>1.8944629257173919E-2</v>
      </c>
      <c r="AC240" s="1">
        <f t="shared" si="62"/>
        <v>5.3813823519704958E-3</v>
      </c>
      <c r="AK240" s="17" t="s">
        <v>829</v>
      </c>
      <c r="AL240" s="17">
        <f t="shared" si="63"/>
        <v>3.3956063638380989E-2</v>
      </c>
      <c r="AM240" s="17">
        <f t="shared" si="64"/>
        <v>8.5583594588242457E-3</v>
      </c>
      <c r="AO240" s="17" t="s">
        <v>1541</v>
      </c>
      <c r="AP240" s="17">
        <f t="shared" si="65"/>
        <v>0.26060051457926109</v>
      </c>
      <c r="AR240" s="1" t="s">
        <v>212</v>
      </c>
      <c r="AS240" s="17">
        <f t="shared" si="66"/>
        <v>0.26060051457926109</v>
      </c>
      <c r="AT240" s="17">
        <f t="shared" si="67"/>
        <v>657</v>
      </c>
    </row>
    <row r="241" spans="6:46" x14ac:dyDescent="0.3">
      <c r="F241" s="1">
        <v>239</v>
      </c>
      <c r="G241" s="1" t="s">
        <v>213</v>
      </c>
      <c r="H241" s="1">
        <v>2</v>
      </c>
      <c r="I241" s="1">
        <v>27</v>
      </c>
      <c r="J241" s="1">
        <v>1</v>
      </c>
      <c r="K241" s="1">
        <v>3</v>
      </c>
      <c r="M241" s="1" t="s">
        <v>213</v>
      </c>
      <c r="N241" s="1">
        <f t="shared" si="51"/>
        <v>0.2857142857142857</v>
      </c>
      <c r="O241" s="1">
        <f t="shared" si="52"/>
        <v>0.25714285714285712</v>
      </c>
      <c r="P241" s="1">
        <f t="shared" si="53"/>
        <v>1</v>
      </c>
      <c r="Q241" s="1">
        <f t="shared" si="54"/>
        <v>1</v>
      </c>
      <c r="S241" s="1" t="s">
        <v>213</v>
      </c>
      <c r="T241" s="1">
        <f t="shared" si="55"/>
        <v>2.8583097523751523E-2</v>
      </c>
      <c r="U241" s="1">
        <f t="shared" si="56"/>
        <v>1.9585580773155181E-2</v>
      </c>
      <c r="V241" s="1">
        <f t="shared" si="57"/>
        <v>6.3148764190579729E-2</v>
      </c>
      <c r="W241" s="1">
        <f t="shared" si="58"/>
        <v>4.0360367639778717E-2</v>
      </c>
      <c r="Y241" s="1" t="s">
        <v>213</v>
      </c>
      <c r="Z241" s="1">
        <f t="shared" si="59"/>
        <v>8.5749292571254566E-3</v>
      </c>
      <c r="AA241" s="1">
        <f t="shared" si="60"/>
        <v>3.9171161546310363E-3</v>
      </c>
      <c r="AB241" s="1">
        <f t="shared" si="61"/>
        <v>1.8944629257173919E-2</v>
      </c>
      <c r="AC241" s="1">
        <f t="shared" si="62"/>
        <v>8.0720735279557441E-3</v>
      </c>
      <c r="AK241" s="17" t="s">
        <v>830</v>
      </c>
      <c r="AL241" s="17">
        <f t="shared" si="63"/>
        <v>2.8588609449854464E-2</v>
      </c>
      <c r="AM241" s="17">
        <f t="shared" si="64"/>
        <v>1.014962468089744E-2</v>
      </c>
      <c r="AO241" s="17" t="s">
        <v>1542</v>
      </c>
      <c r="AP241" s="17">
        <f t="shared" si="65"/>
        <v>0.36517300204034114</v>
      </c>
      <c r="AR241" s="1" t="s">
        <v>213</v>
      </c>
      <c r="AS241" s="17">
        <f t="shared" si="66"/>
        <v>0.36517300204034114</v>
      </c>
      <c r="AT241" s="17">
        <f t="shared" si="67"/>
        <v>619</v>
      </c>
    </row>
    <row r="242" spans="6:46" x14ac:dyDescent="0.3">
      <c r="F242" s="1">
        <v>240</v>
      </c>
      <c r="G242" s="1" t="s">
        <v>214</v>
      </c>
      <c r="H242" s="1">
        <v>2</v>
      </c>
      <c r="I242" s="1">
        <v>30</v>
      </c>
      <c r="J242" s="1">
        <v>5</v>
      </c>
      <c r="K242" s="1">
        <v>3</v>
      </c>
      <c r="M242" s="1" t="s">
        <v>214</v>
      </c>
      <c r="N242" s="1">
        <f t="shared" si="51"/>
        <v>0.2857142857142857</v>
      </c>
      <c r="O242" s="1">
        <f t="shared" si="52"/>
        <v>0.2857142857142857</v>
      </c>
      <c r="P242" s="1">
        <f t="shared" si="53"/>
        <v>0.2</v>
      </c>
      <c r="Q242" s="1">
        <f t="shared" si="54"/>
        <v>1</v>
      </c>
      <c r="S242" s="1" t="s">
        <v>214</v>
      </c>
      <c r="T242" s="1">
        <f t="shared" si="55"/>
        <v>2.8583097523751523E-2</v>
      </c>
      <c r="U242" s="1">
        <f t="shared" si="56"/>
        <v>2.1761756414616869E-2</v>
      </c>
      <c r="V242" s="1">
        <f t="shared" si="57"/>
        <v>1.2629752838115946E-2</v>
      </c>
      <c r="W242" s="1">
        <f t="shared" si="58"/>
        <v>4.0360367639778717E-2</v>
      </c>
      <c r="Y242" s="1" t="s">
        <v>214</v>
      </c>
      <c r="Z242" s="1">
        <f t="shared" si="59"/>
        <v>8.5749292571254566E-3</v>
      </c>
      <c r="AA242" s="1">
        <f t="shared" si="60"/>
        <v>4.3523512829233739E-3</v>
      </c>
      <c r="AB242" s="1">
        <f t="shared" si="61"/>
        <v>3.7889258514347836E-3</v>
      </c>
      <c r="AC242" s="1">
        <f t="shared" si="62"/>
        <v>8.0720735279557441E-3</v>
      </c>
      <c r="AK242" s="17" t="s">
        <v>831</v>
      </c>
      <c r="AL242" s="17">
        <f t="shared" si="63"/>
        <v>2.4040639219698238E-2</v>
      </c>
      <c r="AM242" s="17">
        <f t="shared" si="64"/>
        <v>1.8262833530398481E-2</v>
      </c>
      <c r="AO242" s="17" t="s">
        <v>1543</v>
      </c>
      <c r="AP242" s="17">
        <f t="shared" si="65"/>
        <v>0.77792788916812117</v>
      </c>
      <c r="AR242" s="1" t="s">
        <v>214</v>
      </c>
      <c r="AS242" s="17">
        <f t="shared" si="66"/>
        <v>0.77792788916812117</v>
      </c>
      <c r="AT242" s="17">
        <f t="shared" si="67"/>
        <v>315</v>
      </c>
    </row>
    <row r="243" spans="6:46" x14ac:dyDescent="0.3">
      <c r="F243" s="1">
        <v>241</v>
      </c>
      <c r="G243" s="1" t="s">
        <v>54</v>
      </c>
      <c r="H243" s="1">
        <v>5</v>
      </c>
      <c r="I243" s="1">
        <v>39</v>
      </c>
      <c r="J243" s="1">
        <v>2</v>
      </c>
      <c r="K243" s="1">
        <v>3</v>
      </c>
      <c r="M243" s="1" t="s">
        <v>54</v>
      </c>
      <c r="N243" s="1">
        <f t="shared" si="51"/>
        <v>0.7142857142857143</v>
      </c>
      <c r="O243" s="1">
        <f t="shared" si="52"/>
        <v>0.37142857142857144</v>
      </c>
      <c r="P243" s="1">
        <f t="shared" si="53"/>
        <v>0.5</v>
      </c>
      <c r="Q243" s="1">
        <f t="shared" si="54"/>
        <v>1</v>
      </c>
      <c r="S243" s="1" t="s">
        <v>54</v>
      </c>
      <c r="T243" s="1">
        <f t="shared" si="55"/>
        <v>7.1457743809378804E-2</v>
      </c>
      <c r="U243" s="1">
        <f t="shared" si="56"/>
        <v>2.829028333900193E-2</v>
      </c>
      <c r="V243" s="1">
        <f t="shared" si="57"/>
        <v>3.1574382095289864E-2</v>
      </c>
      <c r="W243" s="1">
        <f t="shared" si="58"/>
        <v>4.0360367639778717E-2</v>
      </c>
      <c r="Y243" s="1" t="s">
        <v>54</v>
      </c>
      <c r="Z243" s="1">
        <f t="shared" si="59"/>
        <v>2.1437323142813641E-2</v>
      </c>
      <c r="AA243" s="1">
        <f t="shared" si="60"/>
        <v>5.658056667800386E-3</v>
      </c>
      <c r="AB243" s="1">
        <f t="shared" si="61"/>
        <v>9.4723146285869593E-3</v>
      </c>
      <c r="AC243" s="1">
        <f t="shared" si="62"/>
        <v>8.0720735279557441E-3</v>
      </c>
      <c r="AK243" s="17" t="s">
        <v>832</v>
      </c>
      <c r="AL243" s="17">
        <f t="shared" si="63"/>
        <v>1.4053976459934562E-2</v>
      </c>
      <c r="AM243" s="17">
        <f t="shared" si="64"/>
        <v>2.417282853632266E-2</v>
      </c>
      <c r="AO243" s="17" t="s">
        <v>1544</v>
      </c>
      <c r="AP243" s="17">
        <f t="shared" si="65"/>
        <v>1.7441720476352862</v>
      </c>
      <c r="AR243" s="1" t="s">
        <v>54</v>
      </c>
      <c r="AS243" s="17">
        <f t="shared" si="66"/>
        <v>1.7441720476352862</v>
      </c>
      <c r="AT243" s="17">
        <f t="shared" si="67"/>
        <v>24</v>
      </c>
    </row>
    <row r="244" spans="6:46" x14ac:dyDescent="0.3">
      <c r="F244" s="1">
        <v>242</v>
      </c>
      <c r="G244" s="1" t="s">
        <v>56</v>
      </c>
      <c r="H244" s="1">
        <v>0</v>
      </c>
      <c r="I244" s="1">
        <v>53</v>
      </c>
      <c r="J244" s="1">
        <v>2</v>
      </c>
      <c r="K244" s="1">
        <v>3</v>
      </c>
      <c r="M244" s="1" t="s">
        <v>56</v>
      </c>
      <c r="N244" s="1">
        <f t="shared" si="51"/>
        <v>0</v>
      </c>
      <c r="O244" s="1">
        <f t="shared" si="52"/>
        <v>0.50476190476190474</v>
      </c>
      <c r="P244" s="1">
        <f t="shared" si="53"/>
        <v>0.5</v>
      </c>
      <c r="Q244" s="1">
        <f t="shared" si="54"/>
        <v>1</v>
      </c>
      <c r="S244" s="1" t="s">
        <v>56</v>
      </c>
      <c r="T244" s="1">
        <f t="shared" si="55"/>
        <v>0</v>
      </c>
      <c r="U244" s="1">
        <f t="shared" si="56"/>
        <v>3.844576966582313E-2</v>
      </c>
      <c r="V244" s="1">
        <f t="shared" si="57"/>
        <v>3.1574382095289864E-2</v>
      </c>
      <c r="W244" s="1">
        <f t="shared" si="58"/>
        <v>4.0360367639778717E-2</v>
      </c>
      <c r="Y244" s="1" t="s">
        <v>56</v>
      </c>
      <c r="Z244" s="1">
        <f t="shared" si="59"/>
        <v>0</v>
      </c>
      <c r="AA244" s="1">
        <f t="shared" si="60"/>
        <v>7.6891539331646261E-3</v>
      </c>
      <c r="AB244" s="1">
        <f t="shared" si="61"/>
        <v>9.4723146285869593E-3</v>
      </c>
      <c r="AC244" s="1">
        <f t="shared" si="62"/>
        <v>8.0720735279557441E-3</v>
      </c>
      <c r="AK244" s="17" t="s">
        <v>833</v>
      </c>
      <c r="AL244" s="17">
        <f t="shared" si="63"/>
        <v>3.1463459411206644E-2</v>
      </c>
      <c r="AM244" s="17">
        <f t="shared" si="64"/>
        <v>1.178604657970102E-2</v>
      </c>
      <c r="AO244" s="17" t="s">
        <v>1545</v>
      </c>
      <c r="AP244" s="17">
        <f t="shared" si="65"/>
        <v>0.38638079236608042</v>
      </c>
      <c r="AR244" s="1" t="s">
        <v>56</v>
      </c>
      <c r="AS244" s="17">
        <f t="shared" si="66"/>
        <v>0.38638079236608042</v>
      </c>
      <c r="AT244" s="17">
        <f t="shared" si="67"/>
        <v>608</v>
      </c>
    </row>
    <row r="245" spans="6:46" x14ac:dyDescent="0.3">
      <c r="F245" s="1">
        <v>243</v>
      </c>
      <c r="G245" s="1" t="s">
        <v>56</v>
      </c>
      <c r="H245" s="1">
        <v>2</v>
      </c>
      <c r="I245" s="1">
        <v>33</v>
      </c>
      <c r="J245" s="1">
        <v>2</v>
      </c>
      <c r="K245" s="1">
        <v>3</v>
      </c>
      <c r="M245" s="1" t="s">
        <v>56</v>
      </c>
      <c r="N245" s="1">
        <f t="shared" si="51"/>
        <v>0.2857142857142857</v>
      </c>
      <c r="O245" s="1">
        <f t="shared" si="52"/>
        <v>0.31428571428571428</v>
      </c>
      <c r="P245" s="1">
        <f t="shared" si="53"/>
        <v>0.5</v>
      </c>
      <c r="Q245" s="1">
        <f t="shared" si="54"/>
        <v>1</v>
      </c>
      <c r="S245" s="1" t="s">
        <v>56</v>
      </c>
      <c r="T245" s="1">
        <f t="shared" si="55"/>
        <v>2.8583097523751523E-2</v>
      </c>
      <c r="U245" s="1">
        <f t="shared" si="56"/>
        <v>2.3937932056078554E-2</v>
      </c>
      <c r="V245" s="1">
        <f t="shared" si="57"/>
        <v>3.1574382095289864E-2</v>
      </c>
      <c r="W245" s="1">
        <f t="shared" si="58"/>
        <v>4.0360367639778717E-2</v>
      </c>
      <c r="Y245" s="1" t="s">
        <v>56</v>
      </c>
      <c r="Z245" s="1">
        <f t="shared" si="59"/>
        <v>8.5749292571254566E-3</v>
      </c>
      <c r="AA245" s="1">
        <f t="shared" si="60"/>
        <v>4.7875864112157107E-3</v>
      </c>
      <c r="AB245" s="1">
        <f t="shared" si="61"/>
        <v>9.4723146285869593E-3</v>
      </c>
      <c r="AC245" s="1">
        <f t="shared" si="62"/>
        <v>8.0720735279557441E-3</v>
      </c>
      <c r="AK245" s="17" t="s">
        <v>834</v>
      </c>
      <c r="AL245" s="17">
        <f t="shared" si="63"/>
        <v>2.4514713762470684E-2</v>
      </c>
      <c r="AM245" s="17">
        <f t="shared" si="64"/>
        <v>1.3955651477673404E-2</v>
      </c>
      <c r="AO245" s="17" t="s">
        <v>1546</v>
      </c>
      <c r="AP245" s="17">
        <f t="shared" si="65"/>
        <v>0.58323219343093757</v>
      </c>
      <c r="AR245" s="1" t="s">
        <v>56</v>
      </c>
      <c r="AS245" s="17">
        <f t="shared" si="66"/>
        <v>0.58323219343093757</v>
      </c>
      <c r="AT245" s="17">
        <f t="shared" si="67"/>
        <v>463</v>
      </c>
    </row>
    <row r="246" spans="6:46" x14ac:dyDescent="0.3">
      <c r="F246" s="1">
        <v>244</v>
      </c>
      <c r="G246" s="1" t="s">
        <v>215</v>
      </c>
      <c r="H246" s="1">
        <v>3</v>
      </c>
      <c r="I246" s="1">
        <v>56</v>
      </c>
      <c r="J246" s="1">
        <v>2</v>
      </c>
      <c r="K246" s="1">
        <v>3</v>
      </c>
      <c r="M246" s="1" t="s">
        <v>215</v>
      </c>
      <c r="N246" s="1">
        <f t="shared" si="51"/>
        <v>0.42857142857142855</v>
      </c>
      <c r="O246" s="1">
        <f t="shared" si="52"/>
        <v>0.53333333333333333</v>
      </c>
      <c r="P246" s="1">
        <f t="shared" si="53"/>
        <v>0.5</v>
      </c>
      <c r="Q246" s="1">
        <f t="shared" si="54"/>
        <v>1</v>
      </c>
      <c r="S246" s="1" t="s">
        <v>215</v>
      </c>
      <c r="T246" s="1">
        <f t="shared" si="55"/>
        <v>4.2874646285627281E-2</v>
      </c>
      <c r="U246" s="1">
        <f t="shared" si="56"/>
        <v>4.0621945307284822E-2</v>
      </c>
      <c r="V246" s="1">
        <f t="shared" si="57"/>
        <v>3.1574382095289864E-2</v>
      </c>
      <c r="W246" s="1">
        <f t="shared" si="58"/>
        <v>4.0360367639778717E-2</v>
      </c>
      <c r="Y246" s="1" t="s">
        <v>215</v>
      </c>
      <c r="Z246" s="1">
        <f t="shared" si="59"/>
        <v>1.2862393885688184E-2</v>
      </c>
      <c r="AA246" s="1">
        <f t="shared" si="60"/>
        <v>8.1243890614569655E-3</v>
      </c>
      <c r="AB246" s="1">
        <f t="shared" si="61"/>
        <v>9.4723146285869593E-3</v>
      </c>
      <c r="AC246" s="1">
        <f t="shared" si="62"/>
        <v>8.0720735279557441E-3</v>
      </c>
      <c r="AK246" s="17" t="s">
        <v>835</v>
      </c>
      <c r="AL246" s="17">
        <f t="shared" si="63"/>
        <v>1.9415307550818443E-2</v>
      </c>
      <c r="AM246" s="17">
        <f t="shared" si="64"/>
        <v>1.7562926260040777E-2</v>
      </c>
      <c r="AO246" s="17" t="s">
        <v>1547</v>
      </c>
      <c r="AP246" s="17">
        <f t="shared" si="65"/>
        <v>0.92215463638726047</v>
      </c>
      <c r="AR246" s="1" t="s">
        <v>215</v>
      </c>
      <c r="AS246" s="17">
        <f t="shared" si="66"/>
        <v>0.92215463638726047</v>
      </c>
      <c r="AT246" s="17">
        <f t="shared" si="67"/>
        <v>170</v>
      </c>
    </row>
    <row r="247" spans="6:46" x14ac:dyDescent="0.3">
      <c r="F247" s="1">
        <v>245</v>
      </c>
      <c r="G247" s="1" t="s">
        <v>216</v>
      </c>
      <c r="H247" s="1">
        <v>0</v>
      </c>
      <c r="I247" s="1">
        <v>81</v>
      </c>
      <c r="J247" s="1">
        <v>2</v>
      </c>
      <c r="K247" s="1">
        <v>2</v>
      </c>
      <c r="M247" s="1" t="s">
        <v>216</v>
      </c>
      <c r="N247" s="1">
        <f t="shared" si="51"/>
        <v>0</v>
      </c>
      <c r="O247" s="1">
        <f t="shared" si="52"/>
        <v>0.77142857142857146</v>
      </c>
      <c r="P247" s="1">
        <f t="shared" si="53"/>
        <v>0.5</v>
      </c>
      <c r="Q247" s="1">
        <f t="shared" si="54"/>
        <v>0.66666666666666663</v>
      </c>
      <c r="S247" s="1" t="s">
        <v>216</v>
      </c>
      <c r="T247" s="1">
        <f t="shared" si="55"/>
        <v>0</v>
      </c>
      <c r="U247" s="1">
        <f t="shared" si="56"/>
        <v>5.8756742319465545E-2</v>
      </c>
      <c r="V247" s="1">
        <f t="shared" si="57"/>
        <v>3.1574382095289864E-2</v>
      </c>
      <c r="W247" s="1">
        <f t="shared" si="58"/>
        <v>2.6906911759852478E-2</v>
      </c>
      <c r="Y247" s="1" t="s">
        <v>216</v>
      </c>
      <c r="Z247" s="1">
        <f t="shared" si="59"/>
        <v>0</v>
      </c>
      <c r="AA247" s="1">
        <f t="shared" si="60"/>
        <v>1.175134846389311E-2</v>
      </c>
      <c r="AB247" s="1">
        <f t="shared" si="61"/>
        <v>9.4723146285869593E-3</v>
      </c>
      <c r="AC247" s="1">
        <f t="shared" si="62"/>
        <v>5.3813823519704958E-3</v>
      </c>
      <c r="AK247" s="17" t="s">
        <v>836</v>
      </c>
      <c r="AL247" s="17">
        <f t="shared" si="63"/>
        <v>3.0860970765612866E-2</v>
      </c>
      <c r="AM247" s="17">
        <f t="shared" si="64"/>
        <v>1.3047288212391445E-2</v>
      </c>
      <c r="AO247" s="17" t="s">
        <v>1548</v>
      </c>
      <c r="AP247" s="17">
        <f t="shared" si="65"/>
        <v>0.43582362637377914</v>
      </c>
      <c r="AR247" s="1" t="s">
        <v>216</v>
      </c>
      <c r="AS247" s="17">
        <f t="shared" si="66"/>
        <v>0.43582362637377914</v>
      </c>
      <c r="AT247" s="17">
        <f t="shared" si="67"/>
        <v>576</v>
      </c>
    </row>
    <row r="248" spans="6:46" x14ac:dyDescent="0.3">
      <c r="F248" s="1">
        <v>246</v>
      </c>
      <c r="G248" s="1" t="s">
        <v>59</v>
      </c>
      <c r="H248" s="1">
        <v>3</v>
      </c>
      <c r="I248" s="1">
        <v>30</v>
      </c>
      <c r="J248" s="1">
        <v>2</v>
      </c>
      <c r="K248" s="1">
        <v>3</v>
      </c>
      <c r="M248" s="1" t="s">
        <v>59</v>
      </c>
      <c r="N248" s="1">
        <f t="shared" si="51"/>
        <v>0.42857142857142855</v>
      </c>
      <c r="O248" s="1">
        <f t="shared" si="52"/>
        <v>0.2857142857142857</v>
      </c>
      <c r="P248" s="1">
        <f t="shared" si="53"/>
        <v>0.5</v>
      </c>
      <c r="Q248" s="1">
        <f t="shared" si="54"/>
        <v>1</v>
      </c>
      <c r="S248" s="1" t="s">
        <v>59</v>
      </c>
      <c r="T248" s="1">
        <f t="shared" si="55"/>
        <v>4.2874646285627281E-2</v>
      </c>
      <c r="U248" s="1">
        <f t="shared" si="56"/>
        <v>2.1761756414616869E-2</v>
      </c>
      <c r="V248" s="1">
        <f t="shared" si="57"/>
        <v>3.1574382095289864E-2</v>
      </c>
      <c r="W248" s="1">
        <f t="shared" si="58"/>
        <v>4.0360367639778717E-2</v>
      </c>
      <c r="Y248" s="1" t="s">
        <v>59</v>
      </c>
      <c r="Z248" s="1">
        <f t="shared" si="59"/>
        <v>1.2862393885688184E-2</v>
      </c>
      <c r="AA248" s="1">
        <f t="shared" si="60"/>
        <v>4.3523512829233739E-3</v>
      </c>
      <c r="AB248" s="1">
        <f t="shared" si="61"/>
        <v>9.4723146285869593E-3</v>
      </c>
      <c r="AC248" s="1">
        <f t="shared" si="62"/>
        <v>8.0720735279557441E-3</v>
      </c>
      <c r="AK248" s="17" t="s">
        <v>837</v>
      </c>
      <c r="AL248" s="17">
        <f t="shared" si="63"/>
        <v>2.1090568167153857E-2</v>
      </c>
      <c r="AM248" s="17">
        <f t="shared" si="64"/>
        <v>1.6895924122851031E-2</v>
      </c>
      <c r="AO248" s="17" t="s">
        <v>1549</v>
      </c>
      <c r="AP248" s="17">
        <f t="shared" si="65"/>
        <v>0.81800872435383276</v>
      </c>
      <c r="AR248" s="1" t="s">
        <v>59</v>
      </c>
      <c r="AS248" s="17">
        <f t="shared" si="66"/>
        <v>0.81800872435383276</v>
      </c>
      <c r="AT248" s="17">
        <f t="shared" si="67"/>
        <v>298</v>
      </c>
    </row>
    <row r="249" spans="6:46" x14ac:dyDescent="0.3">
      <c r="F249" s="1">
        <v>247</v>
      </c>
      <c r="G249" s="1" t="s">
        <v>59</v>
      </c>
      <c r="H249" s="1">
        <v>3</v>
      </c>
      <c r="I249" s="1">
        <v>39</v>
      </c>
      <c r="J249" s="1">
        <v>2</v>
      </c>
      <c r="K249" s="1">
        <v>3</v>
      </c>
      <c r="M249" s="1" t="s">
        <v>59</v>
      </c>
      <c r="N249" s="1">
        <f t="shared" si="51"/>
        <v>0.42857142857142855</v>
      </c>
      <c r="O249" s="1">
        <f t="shared" si="52"/>
        <v>0.37142857142857144</v>
      </c>
      <c r="P249" s="1">
        <f t="shared" si="53"/>
        <v>0.5</v>
      </c>
      <c r="Q249" s="1">
        <f t="shared" si="54"/>
        <v>1</v>
      </c>
      <c r="S249" s="1" t="s">
        <v>59</v>
      </c>
      <c r="T249" s="1">
        <f t="shared" si="55"/>
        <v>4.2874646285627281E-2</v>
      </c>
      <c r="U249" s="1">
        <f t="shared" si="56"/>
        <v>2.829028333900193E-2</v>
      </c>
      <c r="V249" s="1">
        <f t="shared" si="57"/>
        <v>3.1574382095289864E-2</v>
      </c>
      <c r="W249" s="1">
        <f t="shared" si="58"/>
        <v>4.0360367639778717E-2</v>
      </c>
      <c r="Y249" s="1" t="s">
        <v>59</v>
      </c>
      <c r="Z249" s="1">
        <f t="shared" si="59"/>
        <v>1.2862393885688184E-2</v>
      </c>
      <c r="AA249" s="1">
        <f t="shared" si="60"/>
        <v>5.658056667800386E-3</v>
      </c>
      <c r="AB249" s="1">
        <f t="shared" si="61"/>
        <v>9.4723146285869593E-3</v>
      </c>
      <c r="AC249" s="1">
        <f t="shared" si="62"/>
        <v>8.0720735279557441E-3</v>
      </c>
      <c r="AK249" s="17" t="s">
        <v>838</v>
      </c>
      <c r="AL249" s="17">
        <f t="shared" si="63"/>
        <v>2.0447554612483942E-2</v>
      </c>
      <c r="AM249" s="17">
        <f t="shared" si="64"/>
        <v>1.7035492138110675E-2</v>
      </c>
      <c r="AO249" s="17" t="s">
        <v>1550</v>
      </c>
      <c r="AP249" s="17">
        <f t="shared" si="65"/>
        <v>0.85016651738598625</v>
      </c>
      <c r="AR249" s="1" t="s">
        <v>59</v>
      </c>
      <c r="AS249" s="17">
        <f t="shared" si="66"/>
        <v>0.85016651738598625</v>
      </c>
      <c r="AT249" s="17">
        <f t="shared" si="67"/>
        <v>257</v>
      </c>
    </row>
    <row r="250" spans="6:46" x14ac:dyDescent="0.3">
      <c r="F250" s="1">
        <v>248</v>
      </c>
      <c r="G250" s="1" t="s">
        <v>217</v>
      </c>
      <c r="H250" s="1">
        <v>3</v>
      </c>
      <c r="I250" s="1">
        <v>37</v>
      </c>
      <c r="J250" s="1">
        <v>2</v>
      </c>
      <c r="K250" s="1">
        <v>3</v>
      </c>
      <c r="M250" s="1" t="s">
        <v>217</v>
      </c>
      <c r="N250" s="1">
        <f t="shared" si="51"/>
        <v>0.42857142857142855</v>
      </c>
      <c r="O250" s="1">
        <f t="shared" si="52"/>
        <v>0.35238095238095241</v>
      </c>
      <c r="P250" s="1">
        <f t="shared" si="53"/>
        <v>0.5</v>
      </c>
      <c r="Q250" s="1">
        <f t="shared" si="54"/>
        <v>1</v>
      </c>
      <c r="S250" s="1" t="s">
        <v>217</v>
      </c>
      <c r="T250" s="1">
        <f t="shared" si="55"/>
        <v>4.2874646285627281E-2</v>
      </c>
      <c r="U250" s="1">
        <f t="shared" si="56"/>
        <v>2.6839499578027472E-2</v>
      </c>
      <c r="V250" s="1">
        <f t="shared" si="57"/>
        <v>3.1574382095289864E-2</v>
      </c>
      <c r="W250" s="1">
        <f t="shared" si="58"/>
        <v>4.0360367639778717E-2</v>
      </c>
      <c r="Y250" s="1" t="s">
        <v>217</v>
      </c>
      <c r="Z250" s="1">
        <f t="shared" si="59"/>
        <v>1.2862393885688184E-2</v>
      </c>
      <c r="AA250" s="1">
        <f t="shared" si="60"/>
        <v>5.3678999156054948E-3</v>
      </c>
      <c r="AB250" s="1">
        <f t="shared" si="61"/>
        <v>9.4723146285869593E-3</v>
      </c>
      <c r="AC250" s="1">
        <f t="shared" si="62"/>
        <v>8.0720735279557441E-3</v>
      </c>
      <c r="AK250" s="17" t="s">
        <v>839</v>
      </c>
      <c r="AL250" s="17">
        <f t="shared" si="63"/>
        <v>2.0585025690221536E-2</v>
      </c>
      <c r="AM250" s="17">
        <f t="shared" si="64"/>
        <v>1.6995909429451603E-2</v>
      </c>
      <c r="AO250" s="17" t="s">
        <v>1551</v>
      </c>
      <c r="AP250" s="17">
        <f t="shared" si="65"/>
        <v>0.84264022414726791</v>
      </c>
      <c r="AR250" s="1" t="s">
        <v>217</v>
      </c>
      <c r="AS250" s="17">
        <f t="shared" si="66"/>
        <v>0.84264022414726791</v>
      </c>
      <c r="AT250" s="17">
        <f t="shared" si="67"/>
        <v>269</v>
      </c>
    </row>
    <row r="251" spans="6:46" x14ac:dyDescent="0.3">
      <c r="F251" s="1">
        <v>249</v>
      </c>
      <c r="G251" s="1" t="s">
        <v>218</v>
      </c>
      <c r="H251" s="1">
        <v>1</v>
      </c>
      <c r="I251" s="1">
        <v>79</v>
      </c>
      <c r="J251" s="1">
        <v>1</v>
      </c>
      <c r="K251" s="1">
        <v>2</v>
      </c>
      <c r="M251" s="1" t="s">
        <v>218</v>
      </c>
      <c r="N251" s="1">
        <f t="shared" si="51"/>
        <v>0.14285714285714285</v>
      </c>
      <c r="O251" s="1">
        <f t="shared" si="52"/>
        <v>0.75238095238095237</v>
      </c>
      <c r="P251" s="1">
        <f t="shared" si="53"/>
        <v>1</v>
      </c>
      <c r="Q251" s="1">
        <f t="shared" si="54"/>
        <v>0.66666666666666663</v>
      </c>
      <c r="S251" s="1" t="s">
        <v>218</v>
      </c>
      <c r="T251" s="1">
        <f t="shared" si="55"/>
        <v>1.4291548761875762E-2</v>
      </c>
      <c r="U251" s="1">
        <f t="shared" si="56"/>
        <v>5.7305958558491084E-2</v>
      </c>
      <c r="V251" s="1">
        <f t="shared" si="57"/>
        <v>6.3148764190579729E-2</v>
      </c>
      <c r="W251" s="1">
        <f t="shared" si="58"/>
        <v>2.6906911759852478E-2</v>
      </c>
      <c r="Y251" s="1" t="s">
        <v>218</v>
      </c>
      <c r="Z251" s="1">
        <f t="shared" si="59"/>
        <v>4.2874646285627283E-3</v>
      </c>
      <c r="AA251" s="1">
        <f t="shared" si="60"/>
        <v>1.1461191711698217E-2</v>
      </c>
      <c r="AB251" s="1">
        <f t="shared" si="61"/>
        <v>1.8944629257173919E-2</v>
      </c>
      <c r="AC251" s="1">
        <f t="shared" si="62"/>
        <v>5.3813823519704958E-3</v>
      </c>
      <c r="AK251" s="17" t="s">
        <v>840</v>
      </c>
      <c r="AL251" s="17">
        <f t="shared" si="63"/>
        <v>3.0214700720217265E-2</v>
      </c>
      <c r="AM251" s="17">
        <f t="shared" si="64"/>
        <v>9.6956827323543375E-3</v>
      </c>
      <c r="AO251" s="17" t="s">
        <v>1552</v>
      </c>
      <c r="AP251" s="17">
        <f t="shared" si="65"/>
        <v>0.33058857596782365</v>
      </c>
      <c r="AR251" s="1" t="s">
        <v>218</v>
      </c>
      <c r="AS251" s="17">
        <f t="shared" si="66"/>
        <v>0.33058857596782365</v>
      </c>
      <c r="AT251" s="17">
        <f t="shared" si="67"/>
        <v>638</v>
      </c>
    </row>
    <row r="252" spans="6:46" x14ac:dyDescent="0.3">
      <c r="F252" s="1">
        <v>250</v>
      </c>
      <c r="G252" s="1" t="s">
        <v>219</v>
      </c>
      <c r="H252" s="1">
        <v>1</v>
      </c>
      <c r="I252" s="1">
        <v>63</v>
      </c>
      <c r="J252" s="1">
        <v>2</v>
      </c>
      <c r="K252" s="1">
        <v>2</v>
      </c>
      <c r="M252" s="1" t="s">
        <v>219</v>
      </c>
      <c r="N252" s="1">
        <f t="shared" si="51"/>
        <v>0.14285714285714285</v>
      </c>
      <c r="O252" s="1">
        <f t="shared" si="52"/>
        <v>0.6</v>
      </c>
      <c r="P252" s="1">
        <f t="shared" si="53"/>
        <v>0.5</v>
      </c>
      <c r="Q252" s="1">
        <f t="shared" si="54"/>
        <v>0.66666666666666663</v>
      </c>
      <c r="S252" s="1" t="s">
        <v>219</v>
      </c>
      <c r="T252" s="1">
        <f t="shared" si="55"/>
        <v>1.4291548761875762E-2</v>
      </c>
      <c r="U252" s="1">
        <f t="shared" si="56"/>
        <v>4.5699688470695422E-2</v>
      </c>
      <c r="V252" s="1">
        <f t="shared" si="57"/>
        <v>3.1574382095289864E-2</v>
      </c>
      <c r="W252" s="1">
        <f t="shared" si="58"/>
        <v>2.6906911759852478E-2</v>
      </c>
      <c r="Y252" s="1" t="s">
        <v>219</v>
      </c>
      <c r="Z252" s="1">
        <f t="shared" si="59"/>
        <v>4.2874646285627283E-3</v>
      </c>
      <c r="AA252" s="1">
        <f t="shared" si="60"/>
        <v>9.1399376941390855E-3</v>
      </c>
      <c r="AB252" s="1">
        <f t="shared" si="61"/>
        <v>9.4723146285869593E-3</v>
      </c>
      <c r="AC252" s="1">
        <f t="shared" si="62"/>
        <v>5.3813823519704958E-3</v>
      </c>
      <c r="AK252" s="17" t="s">
        <v>841</v>
      </c>
      <c r="AL252" s="17">
        <f t="shared" si="63"/>
        <v>2.7174135456191986E-2</v>
      </c>
      <c r="AM252" s="17">
        <f t="shared" si="64"/>
        <v>1.2277139701838365E-2</v>
      </c>
      <c r="AO252" s="17" t="s">
        <v>1553</v>
      </c>
      <c r="AP252" s="17">
        <f t="shared" si="65"/>
        <v>0.46407218288290325</v>
      </c>
      <c r="AR252" s="1" t="s">
        <v>219</v>
      </c>
      <c r="AS252" s="17">
        <f t="shared" si="66"/>
        <v>0.46407218288290325</v>
      </c>
      <c r="AT252" s="17">
        <f t="shared" si="67"/>
        <v>563</v>
      </c>
    </row>
    <row r="253" spans="6:46" x14ac:dyDescent="0.3">
      <c r="F253" s="1">
        <v>251</v>
      </c>
      <c r="G253" s="1" t="s">
        <v>62</v>
      </c>
      <c r="H253" s="1">
        <v>3</v>
      </c>
      <c r="I253" s="1">
        <v>43</v>
      </c>
      <c r="J253" s="1">
        <v>2</v>
      </c>
      <c r="K253" s="1">
        <v>3</v>
      </c>
      <c r="M253" s="1" t="s">
        <v>62</v>
      </c>
      <c r="N253" s="1">
        <f t="shared" si="51"/>
        <v>0.42857142857142855</v>
      </c>
      <c r="O253" s="1">
        <f t="shared" si="52"/>
        <v>0.40952380952380951</v>
      </c>
      <c r="P253" s="1">
        <f t="shared" si="53"/>
        <v>0.5</v>
      </c>
      <c r="Q253" s="1">
        <f t="shared" si="54"/>
        <v>1</v>
      </c>
      <c r="S253" s="1" t="s">
        <v>62</v>
      </c>
      <c r="T253" s="1">
        <f t="shared" si="55"/>
        <v>4.2874646285627281E-2</v>
      </c>
      <c r="U253" s="1">
        <f t="shared" si="56"/>
        <v>3.1191850860950845E-2</v>
      </c>
      <c r="V253" s="1">
        <f t="shared" si="57"/>
        <v>3.1574382095289864E-2</v>
      </c>
      <c r="W253" s="1">
        <f t="shared" si="58"/>
        <v>4.0360367639778717E-2</v>
      </c>
      <c r="Y253" s="1" t="s">
        <v>62</v>
      </c>
      <c r="Z253" s="1">
        <f t="shared" si="59"/>
        <v>1.2862393885688184E-2</v>
      </c>
      <c r="AA253" s="1">
        <f t="shared" si="60"/>
        <v>6.2383701721901693E-3</v>
      </c>
      <c r="AB253" s="1">
        <f t="shared" si="61"/>
        <v>9.4723146285869593E-3</v>
      </c>
      <c r="AC253" s="1">
        <f t="shared" si="62"/>
        <v>8.0720735279557441E-3</v>
      </c>
      <c r="AK253" s="17" t="s">
        <v>842</v>
      </c>
      <c r="AL253" s="17">
        <f t="shared" si="63"/>
        <v>2.0182320213554348E-2</v>
      </c>
      <c r="AM253" s="17">
        <f t="shared" si="64"/>
        <v>1.7129134483087973E-2</v>
      </c>
      <c r="AO253" s="17" t="s">
        <v>1554</v>
      </c>
      <c r="AP253" s="17">
        <f t="shared" si="65"/>
        <v>0.86584892001023117</v>
      </c>
      <c r="AR253" s="1" t="s">
        <v>62</v>
      </c>
      <c r="AS253" s="17">
        <f t="shared" si="66"/>
        <v>0.86584892001023117</v>
      </c>
      <c r="AT253" s="17">
        <f t="shared" si="67"/>
        <v>222</v>
      </c>
    </row>
    <row r="254" spans="6:46" x14ac:dyDescent="0.3">
      <c r="F254" s="1">
        <v>252</v>
      </c>
      <c r="G254" s="1" t="s">
        <v>62</v>
      </c>
      <c r="H254" s="1">
        <v>3</v>
      </c>
      <c r="I254" s="1">
        <v>42</v>
      </c>
      <c r="J254" s="1">
        <v>1</v>
      </c>
      <c r="K254" s="1">
        <v>3</v>
      </c>
      <c r="M254" s="1" t="s">
        <v>62</v>
      </c>
      <c r="N254" s="1">
        <f t="shared" si="51"/>
        <v>0.42857142857142855</v>
      </c>
      <c r="O254" s="1">
        <f t="shared" si="52"/>
        <v>0.4</v>
      </c>
      <c r="P254" s="1">
        <f t="shared" si="53"/>
        <v>1</v>
      </c>
      <c r="Q254" s="1">
        <f t="shared" si="54"/>
        <v>1</v>
      </c>
      <c r="S254" s="1" t="s">
        <v>62</v>
      </c>
      <c r="T254" s="1">
        <f t="shared" si="55"/>
        <v>4.2874646285627281E-2</v>
      </c>
      <c r="U254" s="1">
        <f t="shared" si="56"/>
        <v>3.0466458980463618E-2</v>
      </c>
      <c r="V254" s="1">
        <f t="shared" si="57"/>
        <v>6.3148764190579729E-2</v>
      </c>
      <c r="W254" s="1">
        <f t="shared" si="58"/>
        <v>4.0360367639778717E-2</v>
      </c>
      <c r="Y254" s="1" t="s">
        <v>62</v>
      </c>
      <c r="Z254" s="1">
        <f t="shared" si="59"/>
        <v>1.2862393885688184E-2</v>
      </c>
      <c r="AA254" s="1">
        <f t="shared" si="60"/>
        <v>6.0932917960927237E-3</v>
      </c>
      <c r="AB254" s="1">
        <f t="shared" si="61"/>
        <v>1.8944629257173919E-2</v>
      </c>
      <c r="AC254" s="1">
        <f t="shared" si="62"/>
        <v>8.0720735279557441E-3</v>
      </c>
      <c r="AK254" s="17" t="s">
        <v>843</v>
      </c>
      <c r="AL254" s="17">
        <f t="shared" si="63"/>
        <v>2.4644501492915249E-2</v>
      </c>
      <c r="AM254" s="17">
        <f t="shared" si="64"/>
        <v>1.4241472766996995E-2</v>
      </c>
      <c r="AO254" s="17" t="s">
        <v>1555</v>
      </c>
      <c r="AP254" s="17">
        <f t="shared" si="65"/>
        <v>0.59211774959455232</v>
      </c>
      <c r="AR254" s="1" t="s">
        <v>62</v>
      </c>
      <c r="AS254" s="17">
        <f t="shared" si="66"/>
        <v>0.59211774959455232</v>
      </c>
      <c r="AT254" s="17">
        <f t="shared" si="67"/>
        <v>451</v>
      </c>
    </row>
    <row r="255" spans="6:46" x14ac:dyDescent="0.3">
      <c r="F255" s="1">
        <v>253</v>
      </c>
      <c r="G255" s="1" t="s">
        <v>220</v>
      </c>
      <c r="H255" s="1">
        <v>2</v>
      </c>
      <c r="I255" s="1">
        <v>32</v>
      </c>
      <c r="J255" s="1">
        <v>5</v>
      </c>
      <c r="K255" s="1">
        <v>3</v>
      </c>
      <c r="M255" s="1" t="s">
        <v>220</v>
      </c>
      <c r="N255" s="1">
        <f t="shared" si="51"/>
        <v>0.2857142857142857</v>
      </c>
      <c r="O255" s="1">
        <f t="shared" si="52"/>
        <v>0.30476190476190479</v>
      </c>
      <c r="P255" s="1">
        <f t="shared" si="53"/>
        <v>0.2</v>
      </c>
      <c r="Q255" s="1">
        <f t="shared" si="54"/>
        <v>1</v>
      </c>
      <c r="S255" s="1" t="s">
        <v>220</v>
      </c>
      <c r="T255" s="1">
        <f t="shared" si="55"/>
        <v>2.8583097523751523E-2</v>
      </c>
      <c r="U255" s="1">
        <f t="shared" si="56"/>
        <v>2.321254017559133E-2</v>
      </c>
      <c r="V255" s="1">
        <f t="shared" si="57"/>
        <v>1.2629752838115946E-2</v>
      </c>
      <c r="W255" s="1">
        <f t="shared" si="58"/>
        <v>4.0360367639778717E-2</v>
      </c>
      <c r="Y255" s="1" t="s">
        <v>220</v>
      </c>
      <c r="Z255" s="1">
        <f t="shared" si="59"/>
        <v>8.5749292571254566E-3</v>
      </c>
      <c r="AA255" s="1">
        <f t="shared" si="60"/>
        <v>4.642508035118266E-3</v>
      </c>
      <c r="AB255" s="1">
        <f t="shared" si="61"/>
        <v>3.7889258514347836E-3</v>
      </c>
      <c r="AC255" s="1">
        <f t="shared" si="62"/>
        <v>8.0720735279557441E-3</v>
      </c>
      <c r="AK255" s="17" t="s">
        <v>844</v>
      </c>
      <c r="AL255" s="17">
        <f t="shared" si="63"/>
        <v>2.3910713173580074E-2</v>
      </c>
      <c r="AM255" s="17">
        <f t="shared" si="64"/>
        <v>1.8283566583865568E-2</v>
      </c>
      <c r="AO255" s="17" t="s">
        <v>1556</v>
      </c>
      <c r="AP255" s="17">
        <f t="shared" si="65"/>
        <v>0.78294359370793432</v>
      </c>
      <c r="AR255" s="1" t="s">
        <v>220</v>
      </c>
      <c r="AS255" s="17">
        <f t="shared" si="66"/>
        <v>0.78294359370793432</v>
      </c>
      <c r="AT255" s="17">
        <f t="shared" si="67"/>
        <v>312</v>
      </c>
    </row>
    <row r="256" spans="6:46" x14ac:dyDescent="0.3">
      <c r="F256" s="1">
        <v>254</v>
      </c>
      <c r="G256" s="1" t="s">
        <v>221</v>
      </c>
      <c r="H256" s="1">
        <v>1</v>
      </c>
      <c r="I256" s="1">
        <v>60</v>
      </c>
      <c r="J256" s="1">
        <v>1</v>
      </c>
      <c r="K256" s="1">
        <v>2</v>
      </c>
      <c r="M256" s="1" t="s">
        <v>221</v>
      </c>
      <c r="N256" s="1">
        <f t="shared" si="51"/>
        <v>0.14285714285714285</v>
      </c>
      <c r="O256" s="1">
        <f t="shared" si="52"/>
        <v>0.5714285714285714</v>
      </c>
      <c r="P256" s="1">
        <f t="shared" si="53"/>
        <v>1</v>
      </c>
      <c r="Q256" s="1">
        <f t="shared" si="54"/>
        <v>0.66666666666666663</v>
      </c>
      <c r="S256" s="1" t="s">
        <v>221</v>
      </c>
      <c r="T256" s="1">
        <f t="shared" si="55"/>
        <v>1.4291548761875762E-2</v>
      </c>
      <c r="U256" s="1">
        <f t="shared" si="56"/>
        <v>4.3523512829233738E-2</v>
      </c>
      <c r="V256" s="1">
        <f t="shared" si="57"/>
        <v>6.3148764190579729E-2</v>
      </c>
      <c r="W256" s="1">
        <f t="shared" si="58"/>
        <v>2.6906911759852478E-2</v>
      </c>
      <c r="Y256" s="1" t="s">
        <v>221</v>
      </c>
      <c r="Z256" s="1">
        <f t="shared" si="59"/>
        <v>4.2874646285627283E-3</v>
      </c>
      <c r="AA256" s="1">
        <f t="shared" si="60"/>
        <v>8.7047025658467479E-3</v>
      </c>
      <c r="AB256" s="1">
        <f t="shared" si="61"/>
        <v>1.8944629257173919E-2</v>
      </c>
      <c r="AC256" s="1">
        <f t="shared" si="62"/>
        <v>5.3813823519704958E-3</v>
      </c>
      <c r="AK256" s="17" t="s">
        <v>845</v>
      </c>
      <c r="AL256" s="17">
        <f t="shared" si="63"/>
        <v>3.0680963713873684E-2</v>
      </c>
      <c r="AM256" s="17">
        <f t="shared" si="64"/>
        <v>7.4843237229885555E-3</v>
      </c>
      <c r="AO256" s="17" t="s">
        <v>1557</v>
      </c>
      <c r="AP256" s="17">
        <f t="shared" si="65"/>
        <v>0.2514246312304807</v>
      </c>
      <c r="AR256" s="1" t="s">
        <v>221</v>
      </c>
      <c r="AS256" s="17">
        <f t="shared" si="66"/>
        <v>0.2514246312304807</v>
      </c>
      <c r="AT256" s="17">
        <f t="shared" si="67"/>
        <v>665</v>
      </c>
    </row>
    <row r="257" spans="6:46" x14ac:dyDescent="0.3">
      <c r="F257" s="1">
        <v>255</v>
      </c>
      <c r="G257" s="1" t="s">
        <v>222</v>
      </c>
      <c r="H257" s="1">
        <v>3</v>
      </c>
      <c r="I257" s="1">
        <v>83</v>
      </c>
      <c r="J257" s="1">
        <v>2</v>
      </c>
      <c r="K257" s="1">
        <v>3</v>
      </c>
      <c r="M257" s="1" t="s">
        <v>222</v>
      </c>
      <c r="N257" s="1">
        <f t="shared" si="51"/>
        <v>0.42857142857142855</v>
      </c>
      <c r="O257" s="1">
        <f t="shared" si="52"/>
        <v>0.79047619047619044</v>
      </c>
      <c r="P257" s="1">
        <f t="shared" si="53"/>
        <v>0.5</v>
      </c>
      <c r="Q257" s="1">
        <f t="shared" si="54"/>
        <v>1</v>
      </c>
      <c r="S257" s="1" t="s">
        <v>222</v>
      </c>
      <c r="T257" s="1">
        <f t="shared" si="55"/>
        <v>4.2874646285627281E-2</v>
      </c>
      <c r="U257" s="1">
        <f t="shared" si="56"/>
        <v>6.0207526080439999E-2</v>
      </c>
      <c r="V257" s="1">
        <f t="shared" si="57"/>
        <v>3.1574382095289864E-2</v>
      </c>
      <c r="W257" s="1">
        <f t="shared" si="58"/>
        <v>4.0360367639778717E-2</v>
      </c>
      <c r="Y257" s="1" t="s">
        <v>222</v>
      </c>
      <c r="Z257" s="1">
        <f t="shared" si="59"/>
        <v>1.2862393885688184E-2</v>
      </c>
      <c r="AA257" s="1">
        <f t="shared" si="60"/>
        <v>1.2041505216088001E-2</v>
      </c>
      <c r="AB257" s="1">
        <f t="shared" si="61"/>
        <v>9.4723146285869593E-3</v>
      </c>
      <c r="AC257" s="1">
        <f t="shared" si="62"/>
        <v>8.0720735279557441E-3</v>
      </c>
      <c r="AK257" s="17" t="s">
        <v>846</v>
      </c>
      <c r="AL257" s="17">
        <f t="shared" si="63"/>
        <v>1.8346816042388466E-2</v>
      </c>
      <c r="AM257" s="17">
        <f t="shared" si="64"/>
        <v>1.9037957338749065E-2</v>
      </c>
      <c r="AO257" s="17" t="s">
        <v>1558</v>
      </c>
      <c r="AP257" s="17">
        <f t="shared" si="65"/>
        <v>1.0567088695430131</v>
      </c>
      <c r="AR257" s="1" t="s">
        <v>222</v>
      </c>
      <c r="AS257" s="17">
        <f t="shared" si="66"/>
        <v>1.0567088695430131</v>
      </c>
      <c r="AT257" s="17">
        <f t="shared" si="67"/>
        <v>119</v>
      </c>
    </row>
    <row r="258" spans="6:46" x14ac:dyDescent="0.3">
      <c r="F258" s="1">
        <v>256</v>
      </c>
      <c r="G258" s="1" t="s">
        <v>223</v>
      </c>
      <c r="H258" s="1">
        <v>3</v>
      </c>
      <c r="I258" s="1">
        <v>40</v>
      </c>
      <c r="J258" s="1">
        <v>1</v>
      </c>
      <c r="K258" s="1">
        <v>3</v>
      </c>
      <c r="M258" s="1" t="s">
        <v>223</v>
      </c>
      <c r="N258" s="1">
        <f t="shared" si="51"/>
        <v>0.42857142857142855</v>
      </c>
      <c r="O258" s="1">
        <f t="shared" si="52"/>
        <v>0.38095238095238093</v>
      </c>
      <c r="P258" s="1">
        <f t="shared" si="53"/>
        <v>1</v>
      </c>
      <c r="Q258" s="1">
        <f t="shared" si="54"/>
        <v>1</v>
      </c>
      <c r="S258" s="1" t="s">
        <v>223</v>
      </c>
      <c r="T258" s="1">
        <f t="shared" si="55"/>
        <v>4.2874646285627281E-2</v>
      </c>
      <c r="U258" s="1">
        <f t="shared" si="56"/>
        <v>2.9015675219489157E-2</v>
      </c>
      <c r="V258" s="1">
        <f t="shared" si="57"/>
        <v>6.3148764190579729E-2</v>
      </c>
      <c r="W258" s="1">
        <f t="shared" si="58"/>
        <v>4.0360367639778717E-2</v>
      </c>
      <c r="Y258" s="1" t="s">
        <v>223</v>
      </c>
      <c r="Z258" s="1">
        <f t="shared" si="59"/>
        <v>1.2862393885688184E-2</v>
      </c>
      <c r="AA258" s="1">
        <f t="shared" si="60"/>
        <v>5.8031350438978316E-3</v>
      </c>
      <c r="AB258" s="1">
        <f t="shared" si="61"/>
        <v>1.8944629257173919E-2</v>
      </c>
      <c r="AC258" s="1">
        <f t="shared" si="62"/>
        <v>8.0720735279557441E-3</v>
      </c>
      <c r="AK258" s="17" t="s">
        <v>847</v>
      </c>
      <c r="AL258" s="17">
        <f t="shared" si="63"/>
        <v>2.4753579014929063E-2</v>
      </c>
      <c r="AM258" s="17">
        <f t="shared" si="64"/>
        <v>1.4185200692872681E-2</v>
      </c>
      <c r="AO258" s="17" t="s">
        <v>1559</v>
      </c>
      <c r="AP258" s="17">
        <f t="shared" si="65"/>
        <v>0.58724175483065955</v>
      </c>
      <c r="AR258" s="1" t="s">
        <v>223</v>
      </c>
      <c r="AS258" s="17">
        <f t="shared" si="66"/>
        <v>0.58724175483065955</v>
      </c>
      <c r="AT258" s="17">
        <f t="shared" si="67"/>
        <v>457</v>
      </c>
    </row>
    <row r="259" spans="6:46" x14ac:dyDescent="0.3">
      <c r="F259" s="1">
        <v>257</v>
      </c>
      <c r="G259" s="1" t="s">
        <v>69</v>
      </c>
      <c r="H259" s="1">
        <v>3</v>
      </c>
      <c r="I259" s="1">
        <v>40</v>
      </c>
      <c r="J259" s="1">
        <v>2</v>
      </c>
      <c r="K259" s="1">
        <v>3</v>
      </c>
      <c r="M259" s="1" t="s">
        <v>69</v>
      </c>
      <c r="N259" s="1">
        <f t="shared" si="51"/>
        <v>0.42857142857142855</v>
      </c>
      <c r="O259" s="1">
        <f t="shared" si="52"/>
        <v>0.38095238095238093</v>
      </c>
      <c r="P259" s="1">
        <f t="shared" si="53"/>
        <v>0.5</v>
      </c>
      <c r="Q259" s="1">
        <f t="shared" si="54"/>
        <v>1</v>
      </c>
      <c r="S259" s="1" t="s">
        <v>69</v>
      </c>
      <c r="T259" s="1">
        <f t="shared" si="55"/>
        <v>4.2874646285627281E-2</v>
      </c>
      <c r="U259" s="1">
        <f t="shared" si="56"/>
        <v>2.9015675219489157E-2</v>
      </c>
      <c r="V259" s="1">
        <f t="shared" si="57"/>
        <v>3.1574382095289864E-2</v>
      </c>
      <c r="W259" s="1">
        <f t="shared" si="58"/>
        <v>4.0360367639778717E-2</v>
      </c>
      <c r="Y259" s="1" t="s">
        <v>69</v>
      </c>
      <c r="Z259" s="1">
        <f t="shared" si="59"/>
        <v>1.2862393885688184E-2</v>
      </c>
      <c r="AA259" s="1">
        <f t="shared" si="60"/>
        <v>5.8031350438978316E-3</v>
      </c>
      <c r="AB259" s="1">
        <f t="shared" si="61"/>
        <v>9.4723146285869593E-3</v>
      </c>
      <c r="AC259" s="1">
        <f t="shared" si="62"/>
        <v>8.0720735279557441E-3</v>
      </c>
      <c r="AK259" s="17" t="s">
        <v>848</v>
      </c>
      <c r="AL259" s="17">
        <f t="shared" si="63"/>
        <v>2.0380020518092293E-2</v>
      </c>
      <c r="AM259" s="17">
        <f t="shared" si="64"/>
        <v>1.7057100079439589E-2</v>
      </c>
      <c r="AO259" s="17" t="s">
        <v>1560</v>
      </c>
      <c r="AP259" s="17">
        <f t="shared" si="65"/>
        <v>0.85400915634931462</v>
      </c>
      <c r="AR259" s="1" t="s">
        <v>69</v>
      </c>
      <c r="AS259" s="17">
        <f t="shared" si="66"/>
        <v>0.85400915634931462</v>
      </c>
      <c r="AT259" s="17">
        <f t="shared" si="67"/>
        <v>247</v>
      </c>
    </row>
    <row r="260" spans="6:46" x14ac:dyDescent="0.3">
      <c r="F260" s="1">
        <v>258</v>
      </c>
      <c r="G260" s="1" t="s">
        <v>224</v>
      </c>
      <c r="H260" s="1">
        <v>3</v>
      </c>
      <c r="I260" s="1">
        <v>41</v>
      </c>
      <c r="J260" s="1">
        <v>1</v>
      </c>
      <c r="K260" s="1">
        <v>2</v>
      </c>
      <c r="M260" s="1" t="s">
        <v>224</v>
      </c>
      <c r="N260" s="1">
        <f t="shared" ref="N260:N323" si="68">H260/MAX($H$3:$H$712)</f>
        <v>0.42857142857142855</v>
      </c>
      <c r="O260" s="1">
        <f t="shared" ref="O260:O323" si="69">I260/MAX($I$3:$I$712)</f>
        <v>0.39047619047619048</v>
      </c>
      <c r="P260" s="1">
        <f t="shared" ref="P260:P323" si="70">MIN($J$3:$J$712)/J260</f>
        <v>1</v>
      </c>
      <c r="Q260" s="1">
        <f t="shared" ref="Q260:Q323" si="71">K260/MAX($K$3:$K$712)</f>
        <v>0.66666666666666663</v>
      </c>
      <c r="S260" s="1" t="s">
        <v>224</v>
      </c>
      <c r="T260" s="1">
        <f t="shared" ref="T260:T323" si="72">N260/SQRT(SUMSQ($N$3:$N$712))</f>
        <v>4.2874646285627281E-2</v>
      </c>
      <c r="U260" s="1">
        <f t="shared" ref="U260:U323" si="73">O260/SQRT(SUMSQ($O$3:$O$712))</f>
        <v>2.9741067099976388E-2</v>
      </c>
      <c r="V260" s="1">
        <f t="shared" ref="V260:V323" si="74">P260/SQRT(SUMSQ($P$3:$P$712))</f>
        <v>6.3148764190579729E-2</v>
      </c>
      <c r="W260" s="1">
        <f t="shared" ref="W260:W323" si="75">Q260/SQRT(SUMSQ($Q$3:$Q$712))</f>
        <v>2.6906911759852478E-2</v>
      </c>
      <c r="Y260" s="1" t="s">
        <v>224</v>
      </c>
      <c r="Z260" s="1">
        <f t="shared" ref="Z260:Z323" si="76">T260*$D$3</f>
        <v>1.2862393885688184E-2</v>
      </c>
      <c r="AA260" s="1">
        <f t="shared" ref="AA260:AA323" si="77">U260*$D$4</f>
        <v>5.9482134199952781E-3</v>
      </c>
      <c r="AB260" s="1">
        <f t="shared" ref="AB260:AB323" si="78">V260*$D$5</f>
        <v>1.8944629257173919E-2</v>
      </c>
      <c r="AC260" s="1">
        <f t="shared" ref="AC260:AC323" si="79">W260*$D$6</f>
        <v>5.3813823519704958E-3</v>
      </c>
      <c r="AK260" s="17" t="s">
        <v>849</v>
      </c>
      <c r="AL260" s="17">
        <f t="shared" ref="AL260:AL323" si="80">SQRT( ($AF$3-Z260)^2 + ($AG$3-AA260)^2 + ($AH$3-AB260)^2 + ($AI$3-AC260)^2 )</f>
        <v>2.4844804994417505E-2</v>
      </c>
      <c r="AM260" s="17">
        <f t="shared" ref="AM260:AM323" si="81">SQRT( (Z260-$AF$4)^2 + (AA260-$AG$4)^2 + (AB260-$AH$4)^2 + (AC260-$AI$4)^2 )</f>
        <v>1.3426810041343051E-2</v>
      </c>
      <c r="AO260" s="17" t="s">
        <v>1561</v>
      </c>
      <c r="AP260" s="17">
        <f t="shared" ref="AP260:AP323" si="82">AM260/AL260+AM260</f>
        <v>0.55385407619859339</v>
      </c>
      <c r="AR260" s="1" t="s">
        <v>224</v>
      </c>
      <c r="AS260" s="17">
        <f t="shared" ref="AS260:AS323" si="83">AP260</f>
        <v>0.55385407619859339</v>
      </c>
      <c r="AT260" s="17">
        <f t="shared" ref="AT260:AT323" si="84">RANK(AS260,$AS$3:$AS$712,0)</f>
        <v>507</v>
      </c>
    </row>
    <row r="261" spans="6:46" x14ac:dyDescent="0.3">
      <c r="F261" s="1">
        <v>259</v>
      </c>
      <c r="G261" s="1" t="s">
        <v>72</v>
      </c>
      <c r="H261" s="1">
        <v>3</v>
      </c>
      <c r="I261" s="1">
        <v>39</v>
      </c>
      <c r="J261" s="1">
        <v>2</v>
      </c>
      <c r="K261" s="1">
        <v>3</v>
      </c>
      <c r="M261" s="1" t="s">
        <v>72</v>
      </c>
      <c r="N261" s="1">
        <f t="shared" si="68"/>
        <v>0.42857142857142855</v>
      </c>
      <c r="O261" s="1">
        <f t="shared" si="69"/>
        <v>0.37142857142857144</v>
      </c>
      <c r="P261" s="1">
        <f t="shared" si="70"/>
        <v>0.5</v>
      </c>
      <c r="Q261" s="1">
        <f t="shared" si="71"/>
        <v>1</v>
      </c>
      <c r="S261" s="1" t="s">
        <v>72</v>
      </c>
      <c r="T261" s="1">
        <f t="shared" si="72"/>
        <v>4.2874646285627281E-2</v>
      </c>
      <c r="U261" s="1">
        <f t="shared" si="73"/>
        <v>2.829028333900193E-2</v>
      </c>
      <c r="V261" s="1">
        <f t="shared" si="74"/>
        <v>3.1574382095289864E-2</v>
      </c>
      <c r="W261" s="1">
        <f t="shared" si="75"/>
        <v>4.0360367639778717E-2</v>
      </c>
      <c r="Y261" s="1" t="s">
        <v>72</v>
      </c>
      <c r="Z261" s="1">
        <f t="shared" si="76"/>
        <v>1.2862393885688184E-2</v>
      </c>
      <c r="AA261" s="1">
        <f t="shared" si="77"/>
        <v>5.658056667800386E-3</v>
      </c>
      <c r="AB261" s="1">
        <f t="shared" si="78"/>
        <v>9.4723146285869593E-3</v>
      </c>
      <c r="AC261" s="1">
        <f t="shared" si="79"/>
        <v>8.0720735279557441E-3</v>
      </c>
      <c r="AK261" s="17" t="s">
        <v>850</v>
      </c>
      <c r="AL261" s="17">
        <f t="shared" si="80"/>
        <v>2.0447554612483942E-2</v>
      </c>
      <c r="AM261" s="17">
        <f t="shared" si="81"/>
        <v>1.7035492138110675E-2</v>
      </c>
      <c r="AO261" s="17" t="s">
        <v>1562</v>
      </c>
      <c r="AP261" s="17">
        <f t="shared" si="82"/>
        <v>0.85016651738598625</v>
      </c>
      <c r="AR261" s="1" t="s">
        <v>72</v>
      </c>
      <c r="AS261" s="17">
        <f t="shared" si="83"/>
        <v>0.85016651738598625</v>
      </c>
      <c r="AT261" s="17">
        <f t="shared" si="84"/>
        <v>257</v>
      </c>
    </row>
    <row r="262" spans="6:46" x14ac:dyDescent="0.3">
      <c r="F262" s="1">
        <v>260</v>
      </c>
      <c r="G262" s="1" t="s">
        <v>225</v>
      </c>
      <c r="H262" s="1">
        <v>2</v>
      </c>
      <c r="I262" s="1">
        <v>33</v>
      </c>
      <c r="J262" s="1">
        <v>2</v>
      </c>
      <c r="K262" s="1">
        <v>3</v>
      </c>
      <c r="M262" s="1" t="s">
        <v>225</v>
      </c>
      <c r="N262" s="1">
        <f t="shared" si="68"/>
        <v>0.2857142857142857</v>
      </c>
      <c r="O262" s="1">
        <f t="shared" si="69"/>
        <v>0.31428571428571428</v>
      </c>
      <c r="P262" s="1">
        <f t="shared" si="70"/>
        <v>0.5</v>
      </c>
      <c r="Q262" s="1">
        <f t="shared" si="71"/>
        <v>1</v>
      </c>
      <c r="S262" s="1" t="s">
        <v>225</v>
      </c>
      <c r="T262" s="1">
        <f t="shared" si="72"/>
        <v>2.8583097523751523E-2</v>
      </c>
      <c r="U262" s="1">
        <f t="shared" si="73"/>
        <v>2.3937932056078554E-2</v>
      </c>
      <c r="V262" s="1">
        <f t="shared" si="74"/>
        <v>3.1574382095289864E-2</v>
      </c>
      <c r="W262" s="1">
        <f t="shared" si="75"/>
        <v>4.0360367639778717E-2</v>
      </c>
      <c r="Y262" s="1" t="s">
        <v>225</v>
      </c>
      <c r="Z262" s="1">
        <f t="shared" si="76"/>
        <v>8.5749292571254566E-3</v>
      </c>
      <c r="AA262" s="1">
        <f t="shared" si="77"/>
        <v>4.7875864112157107E-3</v>
      </c>
      <c r="AB262" s="1">
        <f t="shared" si="78"/>
        <v>9.4723146285869593E-3</v>
      </c>
      <c r="AC262" s="1">
        <f t="shared" si="79"/>
        <v>8.0720735279557441E-3</v>
      </c>
      <c r="AK262" s="17" t="s">
        <v>851</v>
      </c>
      <c r="AL262" s="17">
        <f t="shared" si="80"/>
        <v>2.4514713762470684E-2</v>
      </c>
      <c r="AM262" s="17">
        <f t="shared" si="81"/>
        <v>1.3955651477673404E-2</v>
      </c>
      <c r="AO262" s="17" t="s">
        <v>1563</v>
      </c>
      <c r="AP262" s="17">
        <f t="shared" si="82"/>
        <v>0.58323219343093757</v>
      </c>
      <c r="AR262" s="1" t="s">
        <v>225</v>
      </c>
      <c r="AS262" s="17">
        <f t="shared" si="83"/>
        <v>0.58323219343093757</v>
      </c>
      <c r="AT262" s="17">
        <f t="shared" si="84"/>
        <v>463</v>
      </c>
    </row>
    <row r="263" spans="6:46" x14ac:dyDescent="0.3">
      <c r="F263" s="1">
        <v>261</v>
      </c>
      <c r="G263" s="1" t="s">
        <v>226</v>
      </c>
      <c r="H263" s="1">
        <v>2</v>
      </c>
      <c r="I263" s="1">
        <v>30</v>
      </c>
      <c r="J263" s="1">
        <v>5</v>
      </c>
      <c r="K263" s="1">
        <v>3</v>
      </c>
      <c r="M263" s="1" t="s">
        <v>226</v>
      </c>
      <c r="N263" s="1">
        <f t="shared" si="68"/>
        <v>0.2857142857142857</v>
      </c>
      <c r="O263" s="1">
        <f t="shared" si="69"/>
        <v>0.2857142857142857</v>
      </c>
      <c r="P263" s="1">
        <f t="shared" si="70"/>
        <v>0.2</v>
      </c>
      <c r="Q263" s="1">
        <f t="shared" si="71"/>
        <v>1</v>
      </c>
      <c r="S263" s="1" t="s">
        <v>226</v>
      </c>
      <c r="T263" s="1">
        <f t="shared" si="72"/>
        <v>2.8583097523751523E-2</v>
      </c>
      <c r="U263" s="1">
        <f t="shared" si="73"/>
        <v>2.1761756414616869E-2</v>
      </c>
      <c r="V263" s="1">
        <f t="shared" si="74"/>
        <v>1.2629752838115946E-2</v>
      </c>
      <c r="W263" s="1">
        <f t="shared" si="75"/>
        <v>4.0360367639778717E-2</v>
      </c>
      <c r="Y263" s="1" t="s">
        <v>226</v>
      </c>
      <c r="Z263" s="1">
        <f t="shared" si="76"/>
        <v>8.5749292571254566E-3</v>
      </c>
      <c r="AA263" s="1">
        <f t="shared" si="77"/>
        <v>4.3523512829233739E-3</v>
      </c>
      <c r="AB263" s="1">
        <f t="shared" si="78"/>
        <v>3.7889258514347836E-3</v>
      </c>
      <c r="AC263" s="1">
        <f t="shared" si="79"/>
        <v>8.0720735279557441E-3</v>
      </c>
      <c r="AK263" s="17" t="s">
        <v>852</v>
      </c>
      <c r="AL263" s="17">
        <f t="shared" si="80"/>
        <v>2.4040639219698238E-2</v>
      </c>
      <c r="AM263" s="17">
        <f t="shared" si="81"/>
        <v>1.8262833530398481E-2</v>
      </c>
      <c r="AO263" s="17" t="s">
        <v>1564</v>
      </c>
      <c r="AP263" s="17">
        <f t="shared" si="82"/>
        <v>0.77792788916812117</v>
      </c>
      <c r="AR263" s="1" t="s">
        <v>226</v>
      </c>
      <c r="AS263" s="17">
        <f t="shared" si="83"/>
        <v>0.77792788916812117</v>
      </c>
      <c r="AT263" s="17">
        <f t="shared" si="84"/>
        <v>315</v>
      </c>
    </row>
    <row r="264" spans="6:46" x14ac:dyDescent="0.3">
      <c r="F264" s="1">
        <v>262</v>
      </c>
      <c r="G264" s="1" t="s">
        <v>226</v>
      </c>
      <c r="H264" s="1">
        <v>3</v>
      </c>
      <c r="I264" s="1">
        <v>51</v>
      </c>
      <c r="J264" s="1">
        <v>5</v>
      </c>
      <c r="K264" s="1">
        <v>3</v>
      </c>
      <c r="M264" s="1" t="s">
        <v>226</v>
      </c>
      <c r="N264" s="1">
        <f t="shared" si="68"/>
        <v>0.42857142857142855</v>
      </c>
      <c r="O264" s="1">
        <f t="shared" si="69"/>
        <v>0.48571428571428571</v>
      </c>
      <c r="P264" s="1">
        <f t="shared" si="70"/>
        <v>0.2</v>
      </c>
      <c r="Q264" s="1">
        <f t="shared" si="71"/>
        <v>1</v>
      </c>
      <c r="S264" s="1" t="s">
        <v>226</v>
      </c>
      <c r="T264" s="1">
        <f t="shared" si="72"/>
        <v>4.2874646285627281E-2</v>
      </c>
      <c r="U264" s="1">
        <f t="shared" si="73"/>
        <v>3.6994985904848676E-2</v>
      </c>
      <c r="V264" s="1">
        <f t="shared" si="74"/>
        <v>1.2629752838115946E-2</v>
      </c>
      <c r="W264" s="1">
        <f t="shared" si="75"/>
        <v>4.0360367639778717E-2</v>
      </c>
      <c r="Y264" s="1" t="s">
        <v>226</v>
      </c>
      <c r="Z264" s="1">
        <f t="shared" si="76"/>
        <v>1.2862393885688184E-2</v>
      </c>
      <c r="AA264" s="1">
        <f t="shared" si="77"/>
        <v>7.3989971809697358E-3</v>
      </c>
      <c r="AB264" s="1">
        <f t="shared" si="78"/>
        <v>3.7889258514347836E-3</v>
      </c>
      <c r="AC264" s="1">
        <f t="shared" si="79"/>
        <v>8.0720735279557441E-3</v>
      </c>
      <c r="AK264" s="17" t="s">
        <v>853</v>
      </c>
      <c r="AL264" s="17">
        <f t="shared" si="80"/>
        <v>1.8854517838818113E-2</v>
      </c>
      <c r="AM264" s="17">
        <f t="shared" si="81"/>
        <v>2.1018966281050374E-2</v>
      </c>
      <c r="AO264" s="17" t="s">
        <v>1565</v>
      </c>
      <c r="AP264" s="17">
        <f t="shared" si="82"/>
        <v>1.135816303488796</v>
      </c>
      <c r="AR264" s="1" t="s">
        <v>226</v>
      </c>
      <c r="AS264" s="17">
        <f t="shared" si="83"/>
        <v>1.135816303488796</v>
      </c>
      <c r="AT264" s="17">
        <f t="shared" si="84"/>
        <v>97</v>
      </c>
    </row>
    <row r="265" spans="6:46" x14ac:dyDescent="0.3">
      <c r="F265" s="1">
        <v>263</v>
      </c>
      <c r="G265" s="1" t="s">
        <v>227</v>
      </c>
      <c r="H265" s="1">
        <v>1</v>
      </c>
      <c r="I265" s="1">
        <v>35</v>
      </c>
      <c r="J265" s="1">
        <v>2</v>
      </c>
      <c r="K265" s="1">
        <v>3</v>
      </c>
      <c r="M265" s="1" t="s">
        <v>227</v>
      </c>
      <c r="N265" s="1">
        <f t="shared" si="68"/>
        <v>0.14285714285714285</v>
      </c>
      <c r="O265" s="1">
        <f t="shared" si="69"/>
        <v>0.33333333333333331</v>
      </c>
      <c r="P265" s="1">
        <f t="shared" si="70"/>
        <v>0.5</v>
      </c>
      <c r="Q265" s="1">
        <f t="shared" si="71"/>
        <v>1</v>
      </c>
      <c r="S265" s="1" t="s">
        <v>227</v>
      </c>
      <c r="T265" s="1">
        <f t="shared" si="72"/>
        <v>1.4291548761875762E-2</v>
      </c>
      <c r="U265" s="1">
        <f t="shared" si="73"/>
        <v>2.5388715817053011E-2</v>
      </c>
      <c r="V265" s="1">
        <f t="shared" si="74"/>
        <v>3.1574382095289864E-2</v>
      </c>
      <c r="W265" s="1">
        <f t="shared" si="75"/>
        <v>4.0360367639778717E-2</v>
      </c>
      <c r="Y265" s="1" t="s">
        <v>227</v>
      </c>
      <c r="Z265" s="1">
        <f t="shared" si="76"/>
        <v>4.2874646285627283E-3</v>
      </c>
      <c r="AA265" s="1">
        <f t="shared" si="77"/>
        <v>5.0777431634106028E-3</v>
      </c>
      <c r="AB265" s="1">
        <f t="shared" si="78"/>
        <v>9.4723146285869593E-3</v>
      </c>
      <c r="AC265" s="1">
        <f t="shared" si="79"/>
        <v>8.0720735279557441E-3</v>
      </c>
      <c r="AK265" s="17" t="s">
        <v>854</v>
      </c>
      <c r="AL265" s="17">
        <f t="shared" si="80"/>
        <v>2.8234721822764024E-2</v>
      </c>
      <c r="AM265" s="17">
        <f t="shared" si="81"/>
        <v>1.1858475476758794E-2</v>
      </c>
      <c r="AO265" s="17" t="s">
        <v>1566</v>
      </c>
      <c r="AP265" s="17">
        <f t="shared" si="82"/>
        <v>0.43185466142104495</v>
      </c>
      <c r="AR265" s="1" t="s">
        <v>227</v>
      </c>
      <c r="AS265" s="17">
        <f t="shared" si="83"/>
        <v>0.43185466142104495</v>
      </c>
      <c r="AT265" s="17">
        <f t="shared" si="84"/>
        <v>578</v>
      </c>
    </row>
    <row r="266" spans="6:46" x14ac:dyDescent="0.3">
      <c r="F266" s="1">
        <v>264</v>
      </c>
      <c r="G266" s="1" t="s">
        <v>228</v>
      </c>
      <c r="H266" s="1">
        <v>3</v>
      </c>
      <c r="I266" s="1">
        <v>37</v>
      </c>
      <c r="J266" s="1">
        <v>2</v>
      </c>
      <c r="K266" s="1">
        <v>3</v>
      </c>
      <c r="M266" s="1" t="s">
        <v>228</v>
      </c>
      <c r="N266" s="1">
        <f t="shared" si="68"/>
        <v>0.42857142857142855</v>
      </c>
      <c r="O266" s="1">
        <f t="shared" si="69"/>
        <v>0.35238095238095241</v>
      </c>
      <c r="P266" s="1">
        <f t="shared" si="70"/>
        <v>0.5</v>
      </c>
      <c r="Q266" s="1">
        <f t="shared" si="71"/>
        <v>1</v>
      </c>
      <c r="S266" s="1" t="s">
        <v>228</v>
      </c>
      <c r="T266" s="1">
        <f t="shared" si="72"/>
        <v>4.2874646285627281E-2</v>
      </c>
      <c r="U266" s="1">
        <f t="shared" si="73"/>
        <v>2.6839499578027472E-2</v>
      </c>
      <c r="V266" s="1">
        <f t="shared" si="74"/>
        <v>3.1574382095289864E-2</v>
      </c>
      <c r="W266" s="1">
        <f t="shared" si="75"/>
        <v>4.0360367639778717E-2</v>
      </c>
      <c r="Y266" s="1" t="s">
        <v>228</v>
      </c>
      <c r="Z266" s="1">
        <f t="shared" si="76"/>
        <v>1.2862393885688184E-2</v>
      </c>
      <c r="AA266" s="1">
        <f t="shared" si="77"/>
        <v>5.3678999156054948E-3</v>
      </c>
      <c r="AB266" s="1">
        <f t="shared" si="78"/>
        <v>9.4723146285869593E-3</v>
      </c>
      <c r="AC266" s="1">
        <f t="shared" si="79"/>
        <v>8.0720735279557441E-3</v>
      </c>
      <c r="AK266" s="17" t="s">
        <v>855</v>
      </c>
      <c r="AL266" s="17">
        <f t="shared" si="80"/>
        <v>2.0585025690221536E-2</v>
      </c>
      <c r="AM266" s="17">
        <f t="shared" si="81"/>
        <v>1.6995909429451603E-2</v>
      </c>
      <c r="AO266" s="17" t="s">
        <v>1567</v>
      </c>
      <c r="AP266" s="17">
        <f t="shared" si="82"/>
        <v>0.84264022414726791</v>
      </c>
      <c r="AR266" s="1" t="s">
        <v>228</v>
      </c>
      <c r="AS266" s="17">
        <f t="shared" si="83"/>
        <v>0.84264022414726791</v>
      </c>
      <c r="AT266" s="17">
        <f t="shared" si="84"/>
        <v>269</v>
      </c>
    </row>
    <row r="267" spans="6:46" x14ac:dyDescent="0.3">
      <c r="F267" s="1">
        <v>265</v>
      </c>
      <c r="G267" s="1" t="s">
        <v>229</v>
      </c>
      <c r="H267" s="1">
        <v>3</v>
      </c>
      <c r="I267" s="1">
        <v>38</v>
      </c>
      <c r="J267" s="1">
        <v>2</v>
      </c>
      <c r="K267" s="1">
        <v>3</v>
      </c>
      <c r="M267" s="1" t="s">
        <v>229</v>
      </c>
      <c r="N267" s="1">
        <f t="shared" si="68"/>
        <v>0.42857142857142855</v>
      </c>
      <c r="O267" s="1">
        <f t="shared" si="69"/>
        <v>0.3619047619047619</v>
      </c>
      <c r="P267" s="1">
        <f t="shared" si="70"/>
        <v>0.5</v>
      </c>
      <c r="Q267" s="1">
        <f t="shared" si="71"/>
        <v>1</v>
      </c>
      <c r="S267" s="1" t="s">
        <v>229</v>
      </c>
      <c r="T267" s="1">
        <f t="shared" si="72"/>
        <v>4.2874646285627281E-2</v>
      </c>
      <c r="U267" s="1">
        <f t="shared" si="73"/>
        <v>2.75648914585147E-2</v>
      </c>
      <c r="V267" s="1">
        <f t="shared" si="74"/>
        <v>3.1574382095289864E-2</v>
      </c>
      <c r="W267" s="1">
        <f t="shared" si="75"/>
        <v>4.0360367639778717E-2</v>
      </c>
      <c r="Y267" s="1" t="s">
        <v>229</v>
      </c>
      <c r="Z267" s="1">
        <f t="shared" si="76"/>
        <v>1.2862393885688184E-2</v>
      </c>
      <c r="AA267" s="1">
        <f t="shared" si="77"/>
        <v>5.5129782917029404E-3</v>
      </c>
      <c r="AB267" s="1">
        <f t="shared" si="78"/>
        <v>9.4723146285869593E-3</v>
      </c>
      <c r="AC267" s="1">
        <f t="shared" si="79"/>
        <v>8.0720735279557441E-3</v>
      </c>
      <c r="AK267" s="17" t="s">
        <v>856</v>
      </c>
      <c r="AL267" s="17">
        <f t="shared" si="80"/>
        <v>2.0515892337736274E-2</v>
      </c>
      <c r="AM267" s="17">
        <f t="shared" si="81"/>
        <v>1.701509380302281E-2</v>
      </c>
      <c r="AO267" s="17" t="s">
        <v>1568</v>
      </c>
      <c r="AP267" s="17">
        <f t="shared" si="82"/>
        <v>0.84637671858235508</v>
      </c>
      <c r="AR267" s="1" t="s">
        <v>229</v>
      </c>
      <c r="AS267" s="17">
        <f t="shared" si="83"/>
        <v>0.84637671858235508</v>
      </c>
      <c r="AT267" s="17">
        <f t="shared" si="84"/>
        <v>267</v>
      </c>
    </row>
    <row r="268" spans="6:46" x14ac:dyDescent="0.3">
      <c r="F268" s="1">
        <v>266</v>
      </c>
      <c r="G268" s="1" t="s">
        <v>230</v>
      </c>
      <c r="H268" s="1">
        <v>2</v>
      </c>
      <c r="I268" s="1">
        <v>49</v>
      </c>
      <c r="J268" s="1">
        <v>2</v>
      </c>
      <c r="K268" s="1">
        <v>3</v>
      </c>
      <c r="M268" s="1" t="s">
        <v>230</v>
      </c>
      <c r="N268" s="1">
        <f t="shared" si="68"/>
        <v>0.2857142857142857</v>
      </c>
      <c r="O268" s="1">
        <f t="shared" si="69"/>
        <v>0.46666666666666667</v>
      </c>
      <c r="P268" s="1">
        <f t="shared" si="70"/>
        <v>0.5</v>
      </c>
      <c r="Q268" s="1">
        <f t="shared" si="71"/>
        <v>1</v>
      </c>
      <c r="S268" s="1" t="s">
        <v>230</v>
      </c>
      <c r="T268" s="1">
        <f t="shared" si="72"/>
        <v>2.8583097523751523E-2</v>
      </c>
      <c r="U268" s="1">
        <f t="shared" si="73"/>
        <v>3.5544202143874222E-2</v>
      </c>
      <c r="V268" s="1">
        <f t="shared" si="74"/>
        <v>3.1574382095289864E-2</v>
      </c>
      <c r="W268" s="1">
        <f t="shared" si="75"/>
        <v>4.0360367639778717E-2</v>
      </c>
      <c r="Y268" s="1" t="s">
        <v>230</v>
      </c>
      <c r="Z268" s="1">
        <f t="shared" si="76"/>
        <v>8.5749292571254566E-3</v>
      </c>
      <c r="AA268" s="1">
        <f t="shared" si="77"/>
        <v>7.1088404287748446E-3</v>
      </c>
      <c r="AB268" s="1">
        <f t="shared" si="78"/>
        <v>9.4723146285869593E-3</v>
      </c>
      <c r="AC268" s="1">
        <f t="shared" si="79"/>
        <v>8.0720735279557441E-3</v>
      </c>
      <c r="AK268" s="17" t="s">
        <v>857</v>
      </c>
      <c r="AL268" s="17">
        <f t="shared" si="80"/>
        <v>2.3619175030969948E-2</v>
      </c>
      <c r="AM268" s="17">
        <f t="shared" si="81"/>
        <v>1.4406846677001168E-2</v>
      </c>
      <c r="AO268" s="17" t="s">
        <v>1569</v>
      </c>
      <c r="AP268" s="17">
        <f t="shared" si="82"/>
        <v>0.62437085507740531</v>
      </c>
      <c r="AR268" s="1" t="s">
        <v>230</v>
      </c>
      <c r="AS268" s="17">
        <f t="shared" si="83"/>
        <v>0.62437085507740531</v>
      </c>
      <c r="AT268" s="17">
        <f t="shared" si="84"/>
        <v>408</v>
      </c>
    </row>
    <row r="269" spans="6:46" x14ac:dyDescent="0.3">
      <c r="F269" s="1">
        <v>267</v>
      </c>
      <c r="G269" s="1" t="s">
        <v>231</v>
      </c>
      <c r="H269" s="1">
        <v>3</v>
      </c>
      <c r="I269" s="1">
        <v>66</v>
      </c>
      <c r="J269" s="1">
        <v>2</v>
      </c>
      <c r="K269" s="1">
        <v>3</v>
      </c>
      <c r="M269" s="1" t="s">
        <v>231</v>
      </c>
      <c r="N269" s="1">
        <f t="shared" si="68"/>
        <v>0.42857142857142855</v>
      </c>
      <c r="O269" s="1">
        <f t="shared" si="69"/>
        <v>0.62857142857142856</v>
      </c>
      <c r="P269" s="1">
        <f t="shared" si="70"/>
        <v>0.5</v>
      </c>
      <c r="Q269" s="1">
        <f t="shared" si="71"/>
        <v>1</v>
      </c>
      <c r="S269" s="1" t="s">
        <v>231</v>
      </c>
      <c r="T269" s="1">
        <f t="shared" si="72"/>
        <v>4.2874646285627281E-2</v>
      </c>
      <c r="U269" s="1">
        <f t="shared" si="73"/>
        <v>4.7875864112157107E-2</v>
      </c>
      <c r="V269" s="1">
        <f t="shared" si="74"/>
        <v>3.1574382095289864E-2</v>
      </c>
      <c r="W269" s="1">
        <f t="shared" si="75"/>
        <v>4.0360367639778717E-2</v>
      </c>
      <c r="Y269" s="1" t="s">
        <v>231</v>
      </c>
      <c r="Z269" s="1">
        <f t="shared" si="76"/>
        <v>1.2862393885688184E-2</v>
      </c>
      <c r="AA269" s="1">
        <f t="shared" si="77"/>
        <v>9.5751728224314214E-3</v>
      </c>
      <c r="AB269" s="1">
        <f t="shared" si="78"/>
        <v>9.4723146285869593E-3</v>
      </c>
      <c r="AC269" s="1">
        <f t="shared" si="79"/>
        <v>8.0720735279557441E-3</v>
      </c>
      <c r="AK269" s="17" t="s">
        <v>858</v>
      </c>
      <c r="AL269" s="17">
        <f t="shared" si="80"/>
        <v>1.8932304675002575E-2</v>
      </c>
      <c r="AM269" s="17">
        <f t="shared" si="81"/>
        <v>1.8024250671810634E-2</v>
      </c>
      <c r="AO269" s="17" t="s">
        <v>1570</v>
      </c>
      <c r="AP269" s="17">
        <f t="shared" si="82"/>
        <v>0.97006104604459498</v>
      </c>
      <c r="AR269" s="1" t="s">
        <v>231</v>
      </c>
      <c r="AS269" s="17">
        <f t="shared" si="83"/>
        <v>0.97006104604459498</v>
      </c>
      <c r="AT269" s="17">
        <f t="shared" si="84"/>
        <v>150</v>
      </c>
    </row>
    <row r="270" spans="6:46" x14ac:dyDescent="0.3">
      <c r="F270" s="1">
        <v>268</v>
      </c>
      <c r="G270" s="1" t="s">
        <v>232</v>
      </c>
      <c r="H270" s="1">
        <v>1</v>
      </c>
      <c r="I270" s="1">
        <v>23</v>
      </c>
      <c r="J270" s="1">
        <v>2</v>
      </c>
      <c r="K270" s="1">
        <v>3</v>
      </c>
      <c r="M270" s="1" t="s">
        <v>232</v>
      </c>
      <c r="N270" s="1">
        <f t="shared" si="68"/>
        <v>0.14285714285714285</v>
      </c>
      <c r="O270" s="1">
        <f t="shared" si="69"/>
        <v>0.21904761904761905</v>
      </c>
      <c r="P270" s="1">
        <f t="shared" si="70"/>
        <v>0.5</v>
      </c>
      <c r="Q270" s="1">
        <f t="shared" si="71"/>
        <v>1</v>
      </c>
      <c r="S270" s="1" t="s">
        <v>232</v>
      </c>
      <c r="T270" s="1">
        <f t="shared" si="72"/>
        <v>1.4291548761875762E-2</v>
      </c>
      <c r="U270" s="1">
        <f t="shared" si="73"/>
        <v>1.6684013251206265E-2</v>
      </c>
      <c r="V270" s="1">
        <f t="shared" si="74"/>
        <v>3.1574382095289864E-2</v>
      </c>
      <c r="W270" s="1">
        <f t="shared" si="75"/>
        <v>4.0360367639778717E-2</v>
      </c>
      <c r="Y270" s="1" t="s">
        <v>232</v>
      </c>
      <c r="Z270" s="1">
        <f t="shared" si="76"/>
        <v>4.2874646285627283E-3</v>
      </c>
      <c r="AA270" s="1">
        <f t="shared" si="77"/>
        <v>3.336802650241253E-3</v>
      </c>
      <c r="AB270" s="1">
        <f t="shared" si="78"/>
        <v>9.4723146285869593E-3</v>
      </c>
      <c r="AC270" s="1">
        <f t="shared" si="79"/>
        <v>8.0720735279557441E-3</v>
      </c>
      <c r="AK270" s="17" t="s">
        <v>859</v>
      </c>
      <c r="AL270" s="17">
        <f t="shared" si="80"/>
        <v>2.8906583773145214E-2</v>
      </c>
      <c r="AM270" s="17">
        <f t="shared" si="81"/>
        <v>1.1708433760218726E-2</v>
      </c>
      <c r="AO270" s="17" t="s">
        <v>1571</v>
      </c>
      <c r="AP270" s="17">
        <f t="shared" si="82"/>
        <v>0.41675227609402266</v>
      </c>
      <c r="AR270" s="1" t="s">
        <v>232</v>
      </c>
      <c r="AS270" s="17">
        <f t="shared" si="83"/>
        <v>0.41675227609402266</v>
      </c>
      <c r="AT270" s="17">
        <f t="shared" si="84"/>
        <v>586</v>
      </c>
    </row>
    <row r="271" spans="6:46" x14ac:dyDescent="0.3">
      <c r="F271" s="1">
        <v>269</v>
      </c>
      <c r="G271" s="1" t="s">
        <v>233</v>
      </c>
      <c r="H271" s="1">
        <v>3</v>
      </c>
      <c r="I271" s="1">
        <v>75</v>
      </c>
      <c r="J271" s="1">
        <v>2</v>
      </c>
      <c r="K271" s="1">
        <v>3</v>
      </c>
      <c r="M271" s="1" t="s">
        <v>233</v>
      </c>
      <c r="N271" s="1">
        <f t="shared" si="68"/>
        <v>0.42857142857142855</v>
      </c>
      <c r="O271" s="1">
        <f t="shared" si="69"/>
        <v>0.7142857142857143</v>
      </c>
      <c r="P271" s="1">
        <f t="shared" si="70"/>
        <v>0.5</v>
      </c>
      <c r="Q271" s="1">
        <f t="shared" si="71"/>
        <v>1</v>
      </c>
      <c r="S271" s="1" t="s">
        <v>233</v>
      </c>
      <c r="T271" s="1">
        <f t="shared" si="72"/>
        <v>4.2874646285627281E-2</v>
      </c>
      <c r="U271" s="1">
        <f t="shared" si="73"/>
        <v>5.4404391036542175E-2</v>
      </c>
      <c r="V271" s="1">
        <f t="shared" si="74"/>
        <v>3.1574382095289864E-2</v>
      </c>
      <c r="W271" s="1">
        <f t="shared" si="75"/>
        <v>4.0360367639778717E-2</v>
      </c>
      <c r="Y271" s="1" t="s">
        <v>233</v>
      </c>
      <c r="Z271" s="1">
        <f t="shared" si="76"/>
        <v>1.2862393885688184E-2</v>
      </c>
      <c r="AA271" s="1">
        <f t="shared" si="77"/>
        <v>1.0880878207308436E-2</v>
      </c>
      <c r="AB271" s="1">
        <f t="shared" si="78"/>
        <v>9.4723146285869593E-3</v>
      </c>
      <c r="AC271" s="1">
        <f t="shared" si="79"/>
        <v>8.0720735279557441E-3</v>
      </c>
      <c r="AK271" s="17" t="s">
        <v>860</v>
      </c>
      <c r="AL271" s="17">
        <f t="shared" si="80"/>
        <v>1.858390477647388E-2</v>
      </c>
      <c r="AM271" s="17">
        <f t="shared" si="81"/>
        <v>1.8526961033033234E-2</v>
      </c>
      <c r="AO271" s="17" t="s">
        <v>1572</v>
      </c>
      <c r="AP271" s="17">
        <f t="shared" si="82"/>
        <v>1.0154628179411715</v>
      </c>
      <c r="AR271" s="1" t="s">
        <v>233</v>
      </c>
      <c r="AS271" s="17">
        <f t="shared" si="83"/>
        <v>1.0154628179411715</v>
      </c>
      <c r="AT271" s="17">
        <f t="shared" si="84"/>
        <v>131</v>
      </c>
    </row>
    <row r="272" spans="6:46" x14ac:dyDescent="0.3">
      <c r="F272" s="1">
        <v>270</v>
      </c>
      <c r="G272" s="1" t="s">
        <v>234</v>
      </c>
      <c r="H272" s="1">
        <v>3</v>
      </c>
      <c r="I272" s="1">
        <v>44</v>
      </c>
      <c r="J272" s="1">
        <v>3</v>
      </c>
      <c r="K272" s="1">
        <v>3</v>
      </c>
      <c r="M272" s="1" t="s">
        <v>234</v>
      </c>
      <c r="N272" s="1">
        <f t="shared" si="68"/>
        <v>0.42857142857142855</v>
      </c>
      <c r="O272" s="1">
        <f t="shared" si="69"/>
        <v>0.41904761904761906</v>
      </c>
      <c r="P272" s="1">
        <f t="shared" si="70"/>
        <v>0.33333333333333331</v>
      </c>
      <c r="Q272" s="1">
        <f t="shared" si="71"/>
        <v>1</v>
      </c>
      <c r="S272" s="1" t="s">
        <v>234</v>
      </c>
      <c r="T272" s="1">
        <f t="shared" si="72"/>
        <v>4.2874646285627281E-2</v>
      </c>
      <c r="U272" s="1">
        <f t="shared" si="73"/>
        <v>3.1917242741438076E-2</v>
      </c>
      <c r="V272" s="1">
        <f t="shared" si="74"/>
        <v>2.1049588063526574E-2</v>
      </c>
      <c r="W272" s="1">
        <f t="shared" si="75"/>
        <v>4.0360367639778717E-2</v>
      </c>
      <c r="Y272" s="1" t="s">
        <v>234</v>
      </c>
      <c r="Z272" s="1">
        <f t="shared" si="76"/>
        <v>1.2862393885688184E-2</v>
      </c>
      <c r="AA272" s="1">
        <f t="shared" si="77"/>
        <v>6.3834485482876157E-3</v>
      </c>
      <c r="AB272" s="1">
        <f t="shared" si="78"/>
        <v>6.314876419057972E-3</v>
      </c>
      <c r="AC272" s="1">
        <f t="shared" si="79"/>
        <v>8.0720735279557441E-3</v>
      </c>
      <c r="AK272" s="17" t="s">
        <v>861</v>
      </c>
      <c r="AL272" s="17">
        <f t="shared" si="80"/>
        <v>1.9463213918808456E-2</v>
      </c>
      <c r="AM272" s="17">
        <f t="shared" si="81"/>
        <v>1.9081357736878812E-2</v>
      </c>
      <c r="AO272" s="17" t="s">
        <v>1573</v>
      </c>
      <c r="AP272" s="17">
        <f t="shared" si="82"/>
        <v>0.99946197814609938</v>
      </c>
      <c r="AR272" s="1" t="s">
        <v>234</v>
      </c>
      <c r="AS272" s="17">
        <f t="shared" si="83"/>
        <v>0.99946197814609938</v>
      </c>
      <c r="AT272" s="17">
        <f t="shared" si="84"/>
        <v>139</v>
      </c>
    </row>
    <row r="273" spans="6:46" x14ac:dyDescent="0.3">
      <c r="F273" s="1">
        <v>271</v>
      </c>
      <c r="G273" s="1" t="s">
        <v>235</v>
      </c>
      <c r="H273" s="1">
        <v>3</v>
      </c>
      <c r="I273" s="1">
        <v>40</v>
      </c>
      <c r="J273" s="1">
        <v>2</v>
      </c>
      <c r="K273" s="1">
        <v>3</v>
      </c>
      <c r="M273" s="1" t="s">
        <v>235</v>
      </c>
      <c r="N273" s="1">
        <f t="shared" si="68"/>
        <v>0.42857142857142855</v>
      </c>
      <c r="O273" s="1">
        <f t="shared" si="69"/>
        <v>0.38095238095238093</v>
      </c>
      <c r="P273" s="1">
        <f t="shared" si="70"/>
        <v>0.5</v>
      </c>
      <c r="Q273" s="1">
        <f t="shared" si="71"/>
        <v>1</v>
      </c>
      <c r="S273" s="1" t="s">
        <v>235</v>
      </c>
      <c r="T273" s="1">
        <f t="shared" si="72"/>
        <v>4.2874646285627281E-2</v>
      </c>
      <c r="U273" s="1">
        <f t="shared" si="73"/>
        <v>2.9015675219489157E-2</v>
      </c>
      <c r="V273" s="1">
        <f t="shared" si="74"/>
        <v>3.1574382095289864E-2</v>
      </c>
      <c r="W273" s="1">
        <f t="shared" si="75"/>
        <v>4.0360367639778717E-2</v>
      </c>
      <c r="Y273" s="1" t="s">
        <v>235</v>
      </c>
      <c r="Z273" s="1">
        <f t="shared" si="76"/>
        <v>1.2862393885688184E-2</v>
      </c>
      <c r="AA273" s="1">
        <f t="shared" si="77"/>
        <v>5.8031350438978316E-3</v>
      </c>
      <c r="AB273" s="1">
        <f t="shared" si="78"/>
        <v>9.4723146285869593E-3</v>
      </c>
      <c r="AC273" s="1">
        <f t="shared" si="79"/>
        <v>8.0720735279557441E-3</v>
      </c>
      <c r="AK273" s="17" t="s">
        <v>862</v>
      </c>
      <c r="AL273" s="17">
        <f t="shared" si="80"/>
        <v>2.0380020518092293E-2</v>
      </c>
      <c r="AM273" s="17">
        <f t="shared" si="81"/>
        <v>1.7057100079439589E-2</v>
      </c>
      <c r="AO273" s="17" t="s">
        <v>1574</v>
      </c>
      <c r="AP273" s="17">
        <f t="shared" si="82"/>
        <v>0.85400915634931462</v>
      </c>
      <c r="AR273" s="1" t="s">
        <v>235</v>
      </c>
      <c r="AS273" s="17">
        <f t="shared" si="83"/>
        <v>0.85400915634931462</v>
      </c>
      <c r="AT273" s="17">
        <f t="shared" si="84"/>
        <v>247</v>
      </c>
    </row>
    <row r="274" spans="6:46" x14ac:dyDescent="0.3">
      <c r="F274" s="1">
        <v>272</v>
      </c>
      <c r="G274" s="1" t="s">
        <v>236</v>
      </c>
      <c r="H274" s="1">
        <v>0</v>
      </c>
      <c r="I274" s="1">
        <v>64</v>
      </c>
      <c r="J274" s="1">
        <v>2</v>
      </c>
      <c r="K274" s="1">
        <v>2</v>
      </c>
      <c r="M274" s="1" t="s">
        <v>236</v>
      </c>
      <c r="N274" s="1">
        <f t="shared" si="68"/>
        <v>0</v>
      </c>
      <c r="O274" s="1">
        <f t="shared" si="69"/>
        <v>0.60952380952380958</v>
      </c>
      <c r="P274" s="1">
        <f t="shared" si="70"/>
        <v>0.5</v>
      </c>
      <c r="Q274" s="1">
        <f t="shared" si="71"/>
        <v>0.66666666666666663</v>
      </c>
      <c r="S274" s="1" t="s">
        <v>236</v>
      </c>
      <c r="T274" s="1">
        <f t="shared" si="72"/>
        <v>0</v>
      </c>
      <c r="U274" s="1">
        <f t="shared" si="73"/>
        <v>4.642508035118266E-2</v>
      </c>
      <c r="V274" s="1">
        <f t="shared" si="74"/>
        <v>3.1574382095289864E-2</v>
      </c>
      <c r="W274" s="1">
        <f t="shared" si="75"/>
        <v>2.6906911759852478E-2</v>
      </c>
      <c r="Y274" s="1" t="s">
        <v>236</v>
      </c>
      <c r="Z274" s="1">
        <f t="shared" si="76"/>
        <v>0</v>
      </c>
      <c r="AA274" s="1">
        <f t="shared" si="77"/>
        <v>9.285016070236532E-3</v>
      </c>
      <c r="AB274" s="1">
        <f t="shared" si="78"/>
        <v>9.4723146285869593E-3</v>
      </c>
      <c r="AC274" s="1">
        <f t="shared" si="79"/>
        <v>5.3813823519704958E-3</v>
      </c>
      <c r="AK274" s="17" t="s">
        <v>863</v>
      </c>
      <c r="AL274" s="17">
        <f t="shared" si="80"/>
        <v>3.1235512866035132E-2</v>
      </c>
      <c r="AM274" s="17">
        <f t="shared" si="81"/>
        <v>1.1579843191502995E-2</v>
      </c>
      <c r="AO274" s="17" t="s">
        <v>1575</v>
      </c>
      <c r="AP274" s="17">
        <f t="shared" si="82"/>
        <v>0.3823066899433834</v>
      </c>
      <c r="AR274" s="1" t="s">
        <v>236</v>
      </c>
      <c r="AS274" s="17">
        <f t="shared" si="83"/>
        <v>0.3823066899433834</v>
      </c>
      <c r="AT274" s="17">
        <f t="shared" si="84"/>
        <v>612</v>
      </c>
    </row>
    <row r="275" spans="6:46" x14ac:dyDescent="0.3">
      <c r="F275" s="1">
        <v>273</v>
      </c>
      <c r="G275" s="1" t="s">
        <v>237</v>
      </c>
      <c r="H275" s="1">
        <v>5</v>
      </c>
      <c r="I275" s="1">
        <v>41</v>
      </c>
      <c r="J275" s="1">
        <v>2</v>
      </c>
      <c r="K275" s="1">
        <v>3</v>
      </c>
      <c r="M275" s="1" t="s">
        <v>237</v>
      </c>
      <c r="N275" s="1">
        <f t="shared" si="68"/>
        <v>0.7142857142857143</v>
      </c>
      <c r="O275" s="1">
        <f t="shared" si="69"/>
        <v>0.39047619047619048</v>
      </c>
      <c r="P275" s="1">
        <f t="shared" si="70"/>
        <v>0.5</v>
      </c>
      <c r="Q275" s="1">
        <f t="shared" si="71"/>
        <v>1</v>
      </c>
      <c r="S275" s="1" t="s">
        <v>237</v>
      </c>
      <c r="T275" s="1">
        <f t="shared" si="72"/>
        <v>7.1457743809378804E-2</v>
      </c>
      <c r="U275" s="1">
        <f t="shared" si="73"/>
        <v>2.9741067099976388E-2</v>
      </c>
      <c r="V275" s="1">
        <f t="shared" si="74"/>
        <v>3.1574382095289864E-2</v>
      </c>
      <c r="W275" s="1">
        <f t="shared" si="75"/>
        <v>4.0360367639778717E-2</v>
      </c>
      <c r="Y275" s="1" t="s">
        <v>237</v>
      </c>
      <c r="Z275" s="1">
        <f t="shared" si="76"/>
        <v>2.1437323142813641E-2</v>
      </c>
      <c r="AA275" s="1">
        <f t="shared" si="77"/>
        <v>5.9482134199952781E-3</v>
      </c>
      <c r="AB275" s="1">
        <f t="shared" si="78"/>
        <v>9.4723146285869593E-3</v>
      </c>
      <c r="AC275" s="1">
        <f t="shared" si="79"/>
        <v>8.0720735279557441E-3</v>
      </c>
      <c r="AK275" s="17" t="s">
        <v>864</v>
      </c>
      <c r="AL275" s="17">
        <f t="shared" si="80"/>
        <v>1.3857916264053414E-2</v>
      </c>
      <c r="AM275" s="17">
        <f t="shared" si="81"/>
        <v>2.4204154114152641E-2</v>
      </c>
      <c r="AO275" s="17" t="s">
        <v>1576</v>
      </c>
      <c r="AP275" s="17">
        <f t="shared" si="82"/>
        <v>1.7707982056987139</v>
      </c>
      <c r="AR275" s="1" t="s">
        <v>237</v>
      </c>
      <c r="AS275" s="17">
        <f t="shared" si="83"/>
        <v>1.7707982056987139</v>
      </c>
      <c r="AT275" s="17">
        <f t="shared" si="84"/>
        <v>22</v>
      </c>
    </row>
    <row r="276" spans="6:46" x14ac:dyDescent="0.3">
      <c r="F276" s="1">
        <v>274</v>
      </c>
      <c r="G276" s="1" t="s">
        <v>238</v>
      </c>
      <c r="H276" s="1">
        <v>3</v>
      </c>
      <c r="I276" s="1">
        <v>71</v>
      </c>
      <c r="J276" s="1">
        <v>2</v>
      </c>
      <c r="K276" s="1">
        <v>3</v>
      </c>
      <c r="M276" s="1" t="s">
        <v>238</v>
      </c>
      <c r="N276" s="1">
        <f t="shared" si="68"/>
        <v>0.42857142857142855</v>
      </c>
      <c r="O276" s="1">
        <f t="shared" si="69"/>
        <v>0.67619047619047623</v>
      </c>
      <c r="P276" s="1">
        <f t="shared" si="70"/>
        <v>0.5</v>
      </c>
      <c r="Q276" s="1">
        <f t="shared" si="71"/>
        <v>1</v>
      </c>
      <c r="S276" s="1" t="s">
        <v>238</v>
      </c>
      <c r="T276" s="1">
        <f t="shared" si="72"/>
        <v>4.2874646285627281E-2</v>
      </c>
      <c r="U276" s="1">
        <f t="shared" si="73"/>
        <v>5.150282351459326E-2</v>
      </c>
      <c r="V276" s="1">
        <f t="shared" si="74"/>
        <v>3.1574382095289864E-2</v>
      </c>
      <c r="W276" s="1">
        <f t="shared" si="75"/>
        <v>4.0360367639778717E-2</v>
      </c>
      <c r="Y276" s="1" t="s">
        <v>238</v>
      </c>
      <c r="Z276" s="1">
        <f t="shared" si="76"/>
        <v>1.2862393885688184E-2</v>
      </c>
      <c r="AA276" s="1">
        <f t="shared" si="77"/>
        <v>1.0300564702918652E-2</v>
      </c>
      <c r="AB276" s="1">
        <f t="shared" si="78"/>
        <v>9.4723146285869593E-3</v>
      </c>
      <c r="AC276" s="1">
        <f t="shared" si="79"/>
        <v>8.0720735279557441E-3</v>
      </c>
      <c r="AK276" s="17" t="s">
        <v>865</v>
      </c>
      <c r="AL276" s="17">
        <f t="shared" si="80"/>
        <v>1.8728313777675851E-2</v>
      </c>
      <c r="AM276" s="17">
        <f t="shared" si="81"/>
        <v>1.8293736883245437E-2</v>
      </c>
      <c r="AO276" s="17" t="s">
        <v>1577</v>
      </c>
      <c r="AP276" s="17">
        <f t="shared" si="82"/>
        <v>0.99508946448641977</v>
      </c>
      <c r="AR276" s="1" t="s">
        <v>238</v>
      </c>
      <c r="AS276" s="17">
        <f t="shared" si="83"/>
        <v>0.99508946448641977</v>
      </c>
      <c r="AT276" s="17">
        <f t="shared" si="84"/>
        <v>140</v>
      </c>
    </row>
    <row r="277" spans="6:46" x14ac:dyDescent="0.3">
      <c r="F277" s="1">
        <v>275</v>
      </c>
      <c r="G277" s="1" t="s">
        <v>239</v>
      </c>
      <c r="H277" s="1">
        <v>1</v>
      </c>
      <c r="I277" s="1">
        <v>60</v>
      </c>
      <c r="J277" s="1">
        <v>2</v>
      </c>
      <c r="K277" s="1">
        <v>3</v>
      </c>
      <c r="M277" s="1" t="s">
        <v>239</v>
      </c>
      <c r="N277" s="1">
        <f t="shared" si="68"/>
        <v>0.14285714285714285</v>
      </c>
      <c r="O277" s="1">
        <f t="shared" si="69"/>
        <v>0.5714285714285714</v>
      </c>
      <c r="P277" s="1">
        <f t="shared" si="70"/>
        <v>0.5</v>
      </c>
      <c r="Q277" s="1">
        <f t="shared" si="71"/>
        <v>1</v>
      </c>
      <c r="S277" s="1" t="s">
        <v>239</v>
      </c>
      <c r="T277" s="1">
        <f t="shared" si="72"/>
        <v>1.4291548761875762E-2</v>
      </c>
      <c r="U277" s="1">
        <f t="shared" si="73"/>
        <v>4.3523512829233738E-2</v>
      </c>
      <c r="V277" s="1">
        <f t="shared" si="74"/>
        <v>3.1574382095289864E-2</v>
      </c>
      <c r="W277" s="1">
        <f t="shared" si="75"/>
        <v>4.0360367639778717E-2</v>
      </c>
      <c r="Y277" s="1" t="s">
        <v>239</v>
      </c>
      <c r="Z277" s="1">
        <f t="shared" si="76"/>
        <v>4.2874646285627283E-3</v>
      </c>
      <c r="AA277" s="1">
        <f t="shared" si="77"/>
        <v>8.7047025658467479E-3</v>
      </c>
      <c r="AB277" s="1">
        <f t="shared" si="78"/>
        <v>9.4723146285869593E-3</v>
      </c>
      <c r="AC277" s="1">
        <f t="shared" si="79"/>
        <v>8.0720735279557441E-3</v>
      </c>
      <c r="AK277" s="17" t="s">
        <v>866</v>
      </c>
      <c r="AL277" s="17">
        <f t="shared" si="80"/>
        <v>2.7141983672477499E-2</v>
      </c>
      <c r="AM277" s="17">
        <f t="shared" si="81"/>
        <v>1.2940606748796844E-2</v>
      </c>
      <c r="AO277" s="17" t="s">
        <v>1578</v>
      </c>
      <c r="AP277" s="17">
        <f t="shared" si="82"/>
        <v>0.48971514559427082</v>
      </c>
      <c r="AR277" s="1" t="s">
        <v>239</v>
      </c>
      <c r="AS277" s="17">
        <f t="shared" si="83"/>
        <v>0.48971514559427082</v>
      </c>
      <c r="AT277" s="17">
        <f t="shared" si="84"/>
        <v>544</v>
      </c>
    </row>
    <row r="278" spans="6:46" x14ac:dyDescent="0.3">
      <c r="F278" s="1">
        <v>276</v>
      </c>
      <c r="G278" s="1" t="s">
        <v>240</v>
      </c>
      <c r="H278" s="1">
        <v>2</v>
      </c>
      <c r="I278" s="1">
        <v>32</v>
      </c>
      <c r="J278" s="1">
        <v>5</v>
      </c>
      <c r="K278" s="1">
        <v>3</v>
      </c>
      <c r="M278" s="1" t="s">
        <v>240</v>
      </c>
      <c r="N278" s="1">
        <f t="shared" si="68"/>
        <v>0.2857142857142857</v>
      </c>
      <c r="O278" s="1">
        <f t="shared" si="69"/>
        <v>0.30476190476190479</v>
      </c>
      <c r="P278" s="1">
        <f t="shared" si="70"/>
        <v>0.2</v>
      </c>
      <c r="Q278" s="1">
        <f t="shared" si="71"/>
        <v>1</v>
      </c>
      <c r="S278" s="1" t="s">
        <v>240</v>
      </c>
      <c r="T278" s="1">
        <f t="shared" si="72"/>
        <v>2.8583097523751523E-2</v>
      </c>
      <c r="U278" s="1">
        <f t="shared" si="73"/>
        <v>2.321254017559133E-2</v>
      </c>
      <c r="V278" s="1">
        <f t="shared" si="74"/>
        <v>1.2629752838115946E-2</v>
      </c>
      <c r="W278" s="1">
        <f t="shared" si="75"/>
        <v>4.0360367639778717E-2</v>
      </c>
      <c r="Y278" s="1" t="s">
        <v>240</v>
      </c>
      <c r="Z278" s="1">
        <f t="shared" si="76"/>
        <v>8.5749292571254566E-3</v>
      </c>
      <c r="AA278" s="1">
        <f t="shared" si="77"/>
        <v>4.642508035118266E-3</v>
      </c>
      <c r="AB278" s="1">
        <f t="shared" si="78"/>
        <v>3.7889258514347836E-3</v>
      </c>
      <c r="AC278" s="1">
        <f t="shared" si="79"/>
        <v>8.0720735279557441E-3</v>
      </c>
      <c r="AK278" s="17" t="s">
        <v>867</v>
      </c>
      <c r="AL278" s="17">
        <f t="shared" si="80"/>
        <v>2.3910713173580074E-2</v>
      </c>
      <c r="AM278" s="17">
        <f t="shared" si="81"/>
        <v>1.8283566583865568E-2</v>
      </c>
      <c r="AO278" s="17" t="s">
        <v>1579</v>
      </c>
      <c r="AP278" s="17">
        <f t="shared" si="82"/>
        <v>0.78294359370793432</v>
      </c>
      <c r="AR278" s="1" t="s">
        <v>240</v>
      </c>
      <c r="AS278" s="17">
        <f t="shared" si="83"/>
        <v>0.78294359370793432</v>
      </c>
      <c r="AT278" s="17">
        <f t="shared" si="84"/>
        <v>312</v>
      </c>
    </row>
    <row r="279" spans="6:46" x14ac:dyDescent="0.3">
      <c r="F279" s="1">
        <v>277</v>
      </c>
      <c r="G279" s="1" t="s">
        <v>241</v>
      </c>
      <c r="H279" s="1">
        <v>3</v>
      </c>
      <c r="I279" s="1">
        <v>36</v>
      </c>
      <c r="J279" s="1">
        <v>3</v>
      </c>
      <c r="K279" s="1">
        <v>3</v>
      </c>
      <c r="M279" s="1" t="s">
        <v>241</v>
      </c>
      <c r="N279" s="1">
        <f t="shared" si="68"/>
        <v>0.42857142857142855</v>
      </c>
      <c r="O279" s="1">
        <f t="shared" si="69"/>
        <v>0.34285714285714286</v>
      </c>
      <c r="P279" s="1">
        <f t="shared" si="70"/>
        <v>0.33333333333333331</v>
      </c>
      <c r="Q279" s="1">
        <f t="shared" si="71"/>
        <v>1</v>
      </c>
      <c r="S279" s="1" t="s">
        <v>241</v>
      </c>
      <c r="T279" s="1">
        <f t="shared" si="72"/>
        <v>4.2874646285627281E-2</v>
      </c>
      <c r="U279" s="1">
        <f t="shared" si="73"/>
        <v>2.6114107697540242E-2</v>
      </c>
      <c r="V279" s="1">
        <f t="shared" si="74"/>
        <v>2.1049588063526574E-2</v>
      </c>
      <c r="W279" s="1">
        <f t="shared" si="75"/>
        <v>4.0360367639778717E-2</v>
      </c>
      <c r="Y279" s="1" t="s">
        <v>241</v>
      </c>
      <c r="Z279" s="1">
        <f t="shared" si="76"/>
        <v>1.2862393885688184E-2</v>
      </c>
      <c r="AA279" s="1">
        <f t="shared" si="77"/>
        <v>5.2228215395080484E-3</v>
      </c>
      <c r="AB279" s="1">
        <f t="shared" si="78"/>
        <v>6.314876419057972E-3</v>
      </c>
      <c r="AC279" s="1">
        <f t="shared" si="79"/>
        <v>8.0720735279557441E-3</v>
      </c>
      <c r="AK279" s="17" t="s">
        <v>868</v>
      </c>
      <c r="AL279" s="17">
        <f t="shared" si="80"/>
        <v>2.0017650728015361E-2</v>
      </c>
      <c r="AM279" s="17">
        <f t="shared" si="81"/>
        <v>1.8921851530491307E-2</v>
      </c>
      <c r="AO279" s="17" t="s">
        <v>1580</v>
      </c>
      <c r="AP279" s="17">
        <f t="shared" si="82"/>
        <v>0.96418020315162101</v>
      </c>
      <c r="AR279" s="1" t="s">
        <v>241</v>
      </c>
      <c r="AS279" s="17">
        <f t="shared" si="83"/>
        <v>0.96418020315162101</v>
      </c>
      <c r="AT279" s="17">
        <f t="shared" si="84"/>
        <v>153</v>
      </c>
    </row>
    <row r="280" spans="6:46" x14ac:dyDescent="0.3">
      <c r="F280" s="1">
        <v>278</v>
      </c>
      <c r="G280" s="1" t="s">
        <v>242</v>
      </c>
      <c r="H280" s="1">
        <v>3</v>
      </c>
      <c r="I280" s="1">
        <v>39</v>
      </c>
      <c r="J280" s="1">
        <v>5</v>
      </c>
      <c r="K280" s="1">
        <v>3</v>
      </c>
      <c r="M280" s="1" t="s">
        <v>242</v>
      </c>
      <c r="N280" s="1">
        <f t="shared" si="68"/>
        <v>0.42857142857142855</v>
      </c>
      <c r="O280" s="1">
        <f t="shared" si="69"/>
        <v>0.37142857142857144</v>
      </c>
      <c r="P280" s="1">
        <f t="shared" si="70"/>
        <v>0.2</v>
      </c>
      <c r="Q280" s="1">
        <f t="shared" si="71"/>
        <v>1</v>
      </c>
      <c r="S280" s="1" t="s">
        <v>242</v>
      </c>
      <c r="T280" s="1">
        <f t="shared" si="72"/>
        <v>4.2874646285627281E-2</v>
      </c>
      <c r="U280" s="1">
        <f t="shared" si="73"/>
        <v>2.829028333900193E-2</v>
      </c>
      <c r="V280" s="1">
        <f t="shared" si="74"/>
        <v>1.2629752838115946E-2</v>
      </c>
      <c r="W280" s="1">
        <f t="shared" si="75"/>
        <v>4.0360367639778717E-2</v>
      </c>
      <c r="Y280" s="1" t="s">
        <v>242</v>
      </c>
      <c r="Z280" s="1">
        <f t="shared" si="76"/>
        <v>1.2862393885688184E-2</v>
      </c>
      <c r="AA280" s="1">
        <f t="shared" si="77"/>
        <v>5.658056667800386E-3</v>
      </c>
      <c r="AB280" s="1">
        <f t="shared" si="78"/>
        <v>3.7889258514347836E-3</v>
      </c>
      <c r="AC280" s="1">
        <f t="shared" si="79"/>
        <v>8.0720735279557441E-3</v>
      </c>
      <c r="AK280" s="17" t="s">
        <v>869</v>
      </c>
      <c r="AL280" s="17">
        <f t="shared" si="80"/>
        <v>1.9641832440947408E-2</v>
      </c>
      <c r="AM280" s="17">
        <f t="shared" si="81"/>
        <v>2.0740747182476836E-2</v>
      </c>
      <c r="AO280" s="17" t="s">
        <v>1581</v>
      </c>
      <c r="AP280" s="17">
        <f t="shared" si="82"/>
        <v>1.0766884162624</v>
      </c>
      <c r="AR280" s="1" t="s">
        <v>242</v>
      </c>
      <c r="AS280" s="17">
        <f t="shared" si="83"/>
        <v>1.0766884162624</v>
      </c>
      <c r="AT280" s="17">
        <f t="shared" si="84"/>
        <v>114</v>
      </c>
    </row>
    <row r="281" spans="6:46" x14ac:dyDescent="0.3">
      <c r="F281" s="1">
        <v>279</v>
      </c>
      <c r="G281" s="1" t="s">
        <v>243</v>
      </c>
      <c r="H281" s="1">
        <v>2</v>
      </c>
      <c r="I281" s="1">
        <v>40</v>
      </c>
      <c r="J281" s="1">
        <v>2</v>
      </c>
      <c r="K281" s="1">
        <v>3</v>
      </c>
      <c r="M281" s="1" t="s">
        <v>243</v>
      </c>
      <c r="N281" s="1">
        <f t="shared" si="68"/>
        <v>0.2857142857142857</v>
      </c>
      <c r="O281" s="1">
        <f t="shared" si="69"/>
        <v>0.38095238095238093</v>
      </c>
      <c r="P281" s="1">
        <f t="shared" si="70"/>
        <v>0.5</v>
      </c>
      <c r="Q281" s="1">
        <f t="shared" si="71"/>
        <v>1</v>
      </c>
      <c r="S281" s="1" t="s">
        <v>243</v>
      </c>
      <c r="T281" s="1">
        <f t="shared" si="72"/>
        <v>2.8583097523751523E-2</v>
      </c>
      <c r="U281" s="1">
        <f t="shared" si="73"/>
        <v>2.9015675219489157E-2</v>
      </c>
      <c r="V281" s="1">
        <f t="shared" si="74"/>
        <v>3.1574382095289864E-2</v>
      </c>
      <c r="W281" s="1">
        <f t="shared" si="75"/>
        <v>4.0360367639778717E-2</v>
      </c>
      <c r="Y281" s="1" t="s">
        <v>243</v>
      </c>
      <c r="Z281" s="1">
        <f t="shared" si="76"/>
        <v>8.5749292571254566E-3</v>
      </c>
      <c r="AA281" s="1">
        <f t="shared" si="77"/>
        <v>5.8031350438978316E-3</v>
      </c>
      <c r="AB281" s="1">
        <f t="shared" si="78"/>
        <v>9.4723146285869593E-3</v>
      </c>
      <c r="AC281" s="1">
        <f t="shared" si="79"/>
        <v>8.0720735279557441E-3</v>
      </c>
      <c r="AK281" s="17" t="s">
        <v>870</v>
      </c>
      <c r="AL281" s="17">
        <f t="shared" si="80"/>
        <v>2.4099510633796103E-2</v>
      </c>
      <c r="AM281" s="17">
        <f t="shared" si="81"/>
        <v>1.4107901984850032E-2</v>
      </c>
      <c r="AO281" s="17" t="s">
        <v>1582</v>
      </c>
      <c r="AP281" s="17">
        <f t="shared" si="82"/>
        <v>0.5995099128068343</v>
      </c>
      <c r="AR281" s="1" t="s">
        <v>243</v>
      </c>
      <c r="AS281" s="17">
        <f t="shared" si="83"/>
        <v>0.5995099128068343</v>
      </c>
      <c r="AT281" s="17">
        <f t="shared" si="84"/>
        <v>433</v>
      </c>
    </row>
    <row r="282" spans="6:46" x14ac:dyDescent="0.3">
      <c r="F282" s="1">
        <v>280</v>
      </c>
      <c r="G282" s="1" t="s">
        <v>244</v>
      </c>
      <c r="H282" s="1">
        <v>3</v>
      </c>
      <c r="I282" s="1">
        <v>40</v>
      </c>
      <c r="J282" s="1">
        <v>3</v>
      </c>
      <c r="K282" s="1">
        <v>3</v>
      </c>
      <c r="M282" s="1" t="s">
        <v>244</v>
      </c>
      <c r="N282" s="1">
        <f t="shared" si="68"/>
        <v>0.42857142857142855</v>
      </c>
      <c r="O282" s="1">
        <f t="shared" si="69"/>
        <v>0.38095238095238093</v>
      </c>
      <c r="P282" s="1">
        <f t="shared" si="70"/>
        <v>0.33333333333333331</v>
      </c>
      <c r="Q282" s="1">
        <f t="shared" si="71"/>
        <v>1</v>
      </c>
      <c r="S282" s="1" t="s">
        <v>244</v>
      </c>
      <c r="T282" s="1">
        <f t="shared" si="72"/>
        <v>4.2874646285627281E-2</v>
      </c>
      <c r="U282" s="1">
        <f t="shared" si="73"/>
        <v>2.9015675219489157E-2</v>
      </c>
      <c r="V282" s="1">
        <f t="shared" si="74"/>
        <v>2.1049588063526574E-2</v>
      </c>
      <c r="W282" s="1">
        <f t="shared" si="75"/>
        <v>4.0360367639778717E-2</v>
      </c>
      <c r="Y282" s="1" t="s">
        <v>244</v>
      </c>
      <c r="Z282" s="1">
        <f t="shared" si="76"/>
        <v>1.2862393885688184E-2</v>
      </c>
      <c r="AA282" s="1">
        <f t="shared" si="77"/>
        <v>5.8031350438978316E-3</v>
      </c>
      <c r="AB282" s="1">
        <f t="shared" si="78"/>
        <v>6.314876419057972E-3</v>
      </c>
      <c r="AC282" s="1">
        <f t="shared" si="79"/>
        <v>8.0720735279557441E-3</v>
      </c>
      <c r="AK282" s="17" t="s">
        <v>871</v>
      </c>
      <c r="AL282" s="17">
        <f t="shared" si="80"/>
        <v>1.973384794194177E-2</v>
      </c>
      <c r="AM282" s="17">
        <f t="shared" si="81"/>
        <v>1.8992908556852827E-2</v>
      </c>
      <c r="AO282" s="17" t="s">
        <v>1583</v>
      </c>
      <c r="AP282" s="17">
        <f t="shared" si="82"/>
        <v>0.98144628372885012</v>
      </c>
      <c r="AR282" s="1" t="s">
        <v>244</v>
      </c>
      <c r="AS282" s="17">
        <f t="shared" si="83"/>
        <v>0.98144628372885012</v>
      </c>
      <c r="AT282" s="17">
        <f t="shared" si="84"/>
        <v>142</v>
      </c>
    </row>
    <row r="283" spans="6:46" x14ac:dyDescent="0.3">
      <c r="F283" s="1">
        <v>281</v>
      </c>
      <c r="G283" s="1" t="s">
        <v>245</v>
      </c>
      <c r="H283" s="1">
        <v>0</v>
      </c>
      <c r="I283" s="1">
        <v>52</v>
      </c>
      <c r="J283" s="1">
        <v>2</v>
      </c>
      <c r="K283" s="1">
        <v>1</v>
      </c>
      <c r="M283" s="1" t="s">
        <v>245</v>
      </c>
      <c r="N283" s="1">
        <f t="shared" si="68"/>
        <v>0</v>
      </c>
      <c r="O283" s="1">
        <f t="shared" si="69"/>
        <v>0.49523809523809526</v>
      </c>
      <c r="P283" s="1">
        <f t="shared" si="70"/>
        <v>0.5</v>
      </c>
      <c r="Q283" s="1">
        <f t="shared" si="71"/>
        <v>0.33333333333333331</v>
      </c>
      <c r="S283" s="1" t="s">
        <v>245</v>
      </c>
      <c r="T283" s="1">
        <f t="shared" si="72"/>
        <v>0</v>
      </c>
      <c r="U283" s="1">
        <f t="shared" si="73"/>
        <v>3.7720377785335907E-2</v>
      </c>
      <c r="V283" s="1">
        <f t="shared" si="74"/>
        <v>3.1574382095289864E-2</v>
      </c>
      <c r="W283" s="1">
        <f t="shared" si="75"/>
        <v>1.3453455879926239E-2</v>
      </c>
      <c r="Y283" s="1" t="s">
        <v>245</v>
      </c>
      <c r="Z283" s="1">
        <f t="shared" si="76"/>
        <v>0</v>
      </c>
      <c r="AA283" s="1">
        <f t="shared" si="77"/>
        <v>7.5440755570671814E-3</v>
      </c>
      <c r="AB283" s="1">
        <f t="shared" si="78"/>
        <v>9.4723146285869593E-3</v>
      </c>
      <c r="AC283" s="1">
        <f t="shared" si="79"/>
        <v>2.6906911759852479E-3</v>
      </c>
      <c r="AK283" s="17" t="s">
        <v>872</v>
      </c>
      <c r="AL283" s="17">
        <f t="shared" si="80"/>
        <v>3.1954945882224715E-2</v>
      </c>
      <c r="AM283" s="17">
        <f t="shared" si="81"/>
        <v>1.0424380370693849E-2</v>
      </c>
      <c r="AO283" s="17" t="s">
        <v>1584</v>
      </c>
      <c r="AP283" s="17">
        <f t="shared" si="82"/>
        <v>0.33664556719775479</v>
      </c>
      <c r="AR283" s="1" t="s">
        <v>245</v>
      </c>
      <c r="AS283" s="17">
        <f t="shared" si="83"/>
        <v>0.33664556719775479</v>
      </c>
      <c r="AT283" s="17">
        <f t="shared" si="84"/>
        <v>636</v>
      </c>
    </row>
    <row r="284" spans="6:46" x14ac:dyDescent="0.3">
      <c r="F284" s="1">
        <v>282</v>
      </c>
      <c r="G284" s="1" t="s">
        <v>246</v>
      </c>
      <c r="H284" s="1">
        <v>3</v>
      </c>
      <c r="I284" s="1">
        <v>60</v>
      </c>
      <c r="J284" s="1">
        <v>4</v>
      </c>
      <c r="K284" s="1">
        <v>3</v>
      </c>
      <c r="M284" s="1" t="s">
        <v>246</v>
      </c>
      <c r="N284" s="1">
        <f t="shared" si="68"/>
        <v>0.42857142857142855</v>
      </c>
      <c r="O284" s="1">
        <f t="shared" si="69"/>
        <v>0.5714285714285714</v>
      </c>
      <c r="P284" s="1">
        <f t="shared" si="70"/>
        <v>0.25</v>
      </c>
      <c r="Q284" s="1">
        <f t="shared" si="71"/>
        <v>1</v>
      </c>
      <c r="S284" s="1" t="s">
        <v>246</v>
      </c>
      <c r="T284" s="1">
        <f t="shared" si="72"/>
        <v>4.2874646285627281E-2</v>
      </c>
      <c r="U284" s="1">
        <f t="shared" si="73"/>
        <v>4.3523512829233738E-2</v>
      </c>
      <c r="V284" s="1">
        <f t="shared" si="74"/>
        <v>1.5787191047644932E-2</v>
      </c>
      <c r="W284" s="1">
        <f t="shared" si="75"/>
        <v>4.0360367639778717E-2</v>
      </c>
      <c r="Y284" s="1" t="s">
        <v>246</v>
      </c>
      <c r="Z284" s="1">
        <f t="shared" si="76"/>
        <v>1.2862393885688184E-2</v>
      </c>
      <c r="AA284" s="1">
        <f t="shared" si="77"/>
        <v>8.7047025658467479E-3</v>
      </c>
      <c r="AB284" s="1">
        <f t="shared" si="78"/>
        <v>4.7361573142934797E-3</v>
      </c>
      <c r="AC284" s="1">
        <f t="shared" si="79"/>
        <v>8.0720735279557441E-3</v>
      </c>
      <c r="AK284" s="17" t="s">
        <v>873</v>
      </c>
      <c r="AL284" s="17">
        <f t="shared" si="80"/>
        <v>1.8374889341312362E-2</v>
      </c>
      <c r="AM284" s="17">
        <f t="shared" si="81"/>
        <v>2.0656090072545114E-2</v>
      </c>
      <c r="AO284" s="17" t="s">
        <v>1585</v>
      </c>
      <c r="AP284" s="17">
        <f t="shared" si="82"/>
        <v>1.1448038162906247</v>
      </c>
      <c r="AR284" s="1" t="s">
        <v>246</v>
      </c>
      <c r="AS284" s="17">
        <f t="shared" si="83"/>
        <v>1.1448038162906247</v>
      </c>
      <c r="AT284" s="17">
        <f t="shared" si="84"/>
        <v>96</v>
      </c>
    </row>
    <row r="285" spans="6:46" x14ac:dyDescent="0.3">
      <c r="F285" s="1">
        <v>283</v>
      </c>
      <c r="G285" s="1" t="s">
        <v>247</v>
      </c>
      <c r="H285" s="1">
        <v>2</v>
      </c>
      <c r="I285" s="1">
        <v>44</v>
      </c>
      <c r="J285" s="1">
        <v>2</v>
      </c>
      <c r="K285" s="1">
        <v>3</v>
      </c>
      <c r="M285" s="1" t="s">
        <v>247</v>
      </c>
      <c r="N285" s="1">
        <f t="shared" si="68"/>
        <v>0.2857142857142857</v>
      </c>
      <c r="O285" s="1">
        <f t="shared" si="69"/>
        <v>0.41904761904761906</v>
      </c>
      <c r="P285" s="1">
        <f t="shared" si="70"/>
        <v>0.5</v>
      </c>
      <c r="Q285" s="1">
        <f t="shared" si="71"/>
        <v>1</v>
      </c>
      <c r="S285" s="1" t="s">
        <v>247</v>
      </c>
      <c r="T285" s="1">
        <f t="shared" si="72"/>
        <v>2.8583097523751523E-2</v>
      </c>
      <c r="U285" s="1">
        <f t="shared" si="73"/>
        <v>3.1917242741438076E-2</v>
      </c>
      <c r="V285" s="1">
        <f t="shared" si="74"/>
        <v>3.1574382095289864E-2</v>
      </c>
      <c r="W285" s="1">
        <f t="shared" si="75"/>
        <v>4.0360367639778717E-2</v>
      </c>
      <c r="Y285" s="1" t="s">
        <v>247</v>
      </c>
      <c r="Z285" s="1">
        <f t="shared" si="76"/>
        <v>8.5749292571254566E-3</v>
      </c>
      <c r="AA285" s="1">
        <f t="shared" si="77"/>
        <v>6.3834485482876157E-3</v>
      </c>
      <c r="AB285" s="1">
        <f t="shared" si="78"/>
        <v>9.4723146285869593E-3</v>
      </c>
      <c r="AC285" s="1">
        <f t="shared" si="79"/>
        <v>8.0720735279557441E-3</v>
      </c>
      <c r="AK285" s="17" t="s">
        <v>874</v>
      </c>
      <c r="AL285" s="17">
        <f t="shared" si="80"/>
        <v>2.387840769905044E-2</v>
      </c>
      <c r="AM285" s="17">
        <f t="shared" si="81"/>
        <v>1.4226754234466376E-2</v>
      </c>
      <c r="AO285" s="17" t="s">
        <v>1586</v>
      </c>
      <c r="AP285" s="17">
        <f t="shared" si="82"/>
        <v>0.61002670931405589</v>
      </c>
      <c r="AR285" s="1" t="s">
        <v>247</v>
      </c>
      <c r="AS285" s="17">
        <f t="shared" si="83"/>
        <v>0.61002670931405589</v>
      </c>
      <c r="AT285" s="17">
        <f t="shared" si="84"/>
        <v>421</v>
      </c>
    </row>
    <row r="286" spans="6:46" x14ac:dyDescent="0.3">
      <c r="F286" s="1">
        <v>284</v>
      </c>
      <c r="G286" s="1" t="s">
        <v>248</v>
      </c>
      <c r="H286" s="1">
        <v>3</v>
      </c>
      <c r="I286" s="1">
        <v>50</v>
      </c>
      <c r="J286" s="1">
        <v>2</v>
      </c>
      <c r="K286" s="1">
        <v>3</v>
      </c>
      <c r="M286" s="1" t="s">
        <v>248</v>
      </c>
      <c r="N286" s="1">
        <f t="shared" si="68"/>
        <v>0.42857142857142855</v>
      </c>
      <c r="O286" s="1">
        <f t="shared" si="69"/>
        <v>0.47619047619047616</v>
      </c>
      <c r="P286" s="1">
        <f t="shared" si="70"/>
        <v>0.5</v>
      </c>
      <c r="Q286" s="1">
        <f t="shared" si="71"/>
        <v>1</v>
      </c>
      <c r="S286" s="1" t="s">
        <v>248</v>
      </c>
      <c r="T286" s="1">
        <f t="shared" si="72"/>
        <v>4.2874646285627281E-2</v>
      </c>
      <c r="U286" s="1">
        <f t="shared" si="73"/>
        <v>3.6269594024361446E-2</v>
      </c>
      <c r="V286" s="1">
        <f t="shared" si="74"/>
        <v>3.1574382095289864E-2</v>
      </c>
      <c r="W286" s="1">
        <f t="shared" si="75"/>
        <v>4.0360367639778717E-2</v>
      </c>
      <c r="Y286" s="1" t="s">
        <v>248</v>
      </c>
      <c r="Z286" s="1">
        <f t="shared" si="76"/>
        <v>1.2862393885688184E-2</v>
      </c>
      <c r="AA286" s="1">
        <f t="shared" si="77"/>
        <v>7.2539188048722893E-3</v>
      </c>
      <c r="AB286" s="1">
        <f t="shared" si="78"/>
        <v>9.4723146285869593E-3</v>
      </c>
      <c r="AC286" s="1">
        <f t="shared" si="79"/>
        <v>8.0720735279557441E-3</v>
      </c>
      <c r="AK286" s="17" t="s">
        <v>875</v>
      </c>
      <c r="AL286" s="17">
        <f t="shared" si="80"/>
        <v>1.9750644396185572E-2</v>
      </c>
      <c r="AM286" s="17">
        <f t="shared" si="81"/>
        <v>1.7338587639052702E-2</v>
      </c>
      <c r="AO286" s="17" t="s">
        <v>1587</v>
      </c>
      <c r="AP286" s="17">
        <f t="shared" si="82"/>
        <v>0.89521311624943523</v>
      </c>
      <c r="AR286" s="1" t="s">
        <v>248</v>
      </c>
      <c r="AS286" s="17">
        <f t="shared" si="83"/>
        <v>0.89521311624943523</v>
      </c>
      <c r="AT286" s="17">
        <f t="shared" si="84"/>
        <v>181</v>
      </c>
    </row>
    <row r="287" spans="6:46" x14ac:dyDescent="0.3">
      <c r="F287" s="1">
        <v>285</v>
      </c>
      <c r="G287" s="1" t="s">
        <v>248</v>
      </c>
      <c r="H287" s="1">
        <v>2</v>
      </c>
      <c r="I287" s="1">
        <v>38</v>
      </c>
      <c r="J287" s="1">
        <v>2</v>
      </c>
      <c r="K287" s="1">
        <v>3</v>
      </c>
      <c r="M287" s="1" t="s">
        <v>248</v>
      </c>
      <c r="N287" s="1">
        <f t="shared" si="68"/>
        <v>0.2857142857142857</v>
      </c>
      <c r="O287" s="1">
        <f t="shared" si="69"/>
        <v>0.3619047619047619</v>
      </c>
      <c r="P287" s="1">
        <f t="shared" si="70"/>
        <v>0.5</v>
      </c>
      <c r="Q287" s="1">
        <f t="shared" si="71"/>
        <v>1</v>
      </c>
      <c r="S287" s="1" t="s">
        <v>248</v>
      </c>
      <c r="T287" s="1">
        <f t="shared" si="72"/>
        <v>2.8583097523751523E-2</v>
      </c>
      <c r="U287" s="1">
        <f t="shared" si="73"/>
        <v>2.75648914585147E-2</v>
      </c>
      <c r="V287" s="1">
        <f t="shared" si="74"/>
        <v>3.1574382095289864E-2</v>
      </c>
      <c r="W287" s="1">
        <f t="shared" si="75"/>
        <v>4.0360367639778717E-2</v>
      </c>
      <c r="Y287" s="1" t="s">
        <v>248</v>
      </c>
      <c r="Z287" s="1">
        <f t="shared" si="76"/>
        <v>8.5749292571254566E-3</v>
      </c>
      <c r="AA287" s="1">
        <f t="shared" si="77"/>
        <v>5.5129782917029404E-3</v>
      </c>
      <c r="AB287" s="1">
        <f t="shared" si="78"/>
        <v>9.4723146285869593E-3</v>
      </c>
      <c r="AC287" s="1">
        <f t="shared" si="79"/>
        <v>8.0720735279557441E-3</v>
      </c>
      <c r="AK287" s="17" t="s">
        <v>876</v>
      </c>
      <c r="AL287" s="17">
        <f t="shared" si="80"/>
        <v>2.4214520744466009E-2</v>
      </c>
      <c r="AM287" s="17">
        <f t="shared" si="81"/>
        <v>1.40570854881011E-2</v>
      </c>
      <c r="AO287" s="17" t="s">
        <v>1588</v>
      </c>
      <c r="AP287" s="17">
        <f t="shared" si="82"/>
        <v>0.59458005500892919</v>
      </c>
      <c r="AR287" s="1" t="s">
        <v>248</v>
      </c>
      <c r="AS287" s="17">
        <f t="shared" si="83"/>
        <v>0.59458005500892919</v>
      </c>
      <c r="AT287" s="17">
        <f t="shared" si="84"/>
        <v>443</v>
      </c>
    </row>
    <row r="288" spans="6:46" x14ac:dyDescent="0.3">
      <c r="F288" s="1">
        <v>286</v>
      </c>
      <c r="G288" s="1" t="s">
        <v>96</v>
      </c>
      <c r="H288" s="1">
        <v>2</v>
      </c>
      <c r="I288" s="1">
        <v>54</v>
      </c>
      <c r="J288" s="1">
        <v>4</v>
      </c>
      <c r="K288" s="1">
        <v>3</v>
      </c>
      <c r="M288" s="1" t="s">
        <v>96</v>
      </c>
      <c r="N288" s="1">
        <f t="shared" si="68"/>
        <v>0.2857142857142857</v>
      </c>
      <c r="O288" s="1">
        <f t="shared" si="69"/>
        <v>0.51428571428571423</v>
      </c>
      <c r="P288" s="1">
        <f t="shared" si="70"/>
        <v>0.25</v>
      </c>
      <c r="Q288" s="1">
        <f t="shared" si="71"/>
        <v>1</v>
      </c>
      <c r="S288" s="1" t="s">
        <v>96</v>
      </c>
      <c r="T288" s="1">
        <f t="shared" si="72"/>
        <v>2.8583097523751523E-2</v>
      </c>
      <c r="U288" s="1">
        <f t="shared" si="73"/>
        <v>3.9171161546310361E-2</v>
      </c>
      <c r="V288" s="1">
        <f t="shared" si="74"/>
        <v>1.5787191047644932E-2</v>
      </c>
      <c r="W288" s="1">
        <f t="shared" si="75"/>
        <v>4.0360367639778717E-2</v>
      </c>
      <c r="Y288" s="1" t="s">
        <v>96</v>
      </c>
      <c r="Z288" s="1">
        <f t="shared" si="76"/>
        <v>8.5749292571254566E-3</v>
      </c>
      <c r="AA288" s="1">
        <f t="shared" si="77"/>
        <v>7.8342323092620725E-3</v>
      </c>
      <c r="AB288" s="1">
        <f t="shared" si="78"/>
        <v>4.7361573142934797E-3</v>
      </c>
      <c r="AC288" s="1">
        <f t="shared" si="79"/>
        <v>8.0720735279557441E-3</v>
      </c>
      <c r="AK288" s="17" t="s">
        <v>877</v>
      </c>
      <c r="AL288" s="17">
        <f t="shared" si="80"/>
        <v>2.2698044635114299E-2</v>
      </c>
      <c r="AM288" s="17">
        <f t="shared" si="81"/>
        <v>1.8053316692246992E-2</v>
      </c>
      <c r="AO288" s="17" t="s">
        <v>1589</v>
      </c>
      <c r="AP288" s="17">
        <f t="shared" si="82"/>
        <v>0.8134221241144588</v>
      </c>
      <c r="AR288" s="1" t="s">
        <v>96</v>
      </c>
      <c r="AS288" s="17">
        <f t="shared" si="83"/>
        <v>0.8134221241144588</v>
      </c>
      <c r="AT288" s="17">
        <f t="shared" si="84"/>
        <v>303</v>
      </c>
    </row>
    <row r="289" spans="6:46" x14ac:dyDescent="0.3">
      <c r="F289" s="1">
        <v>287</v>
      </c>
      <c r="G289" s="1" t="s">
        <v>98</v>
      </c>
      <c r="H289" s="1">
        <v>3</v>
      </c>
      <c r="I289" s="1">
        <v>44</v>
      </c>
      <c r="J289" s="1">
        <v>2</v>
      </c>
      <c r="K289" s="1">
        <v>3</v>
      </c>
      <c r="M289" s="1" t="s">
        <v>98</v>
      </c>
      <c r="N289" s="1">
        <f t="shared" si="68"/>
        <v>0.42857142857142855</v>
      </c>
      <c r="O289" s="1">
        <f t="shared" si="69"/>
        <v>0.41904761904761906</v>
      </c>
      <c r="P289" s="1">
        <f t="shared" si="70"/>
        <v>0.5</v>
      </c>
      <c r="Q289" s="1">
        <f t="shared" si="71"/>
        <v>1</v>
      </c>
      <c r="S289" s="1" t="s">
        <v>98</v>
      </c>
      <c r="T289" s="1">
        <f t="shared" si="72"/>
        <v>4.2874646285627281E-2</v>
      </c>
      <c r="U289" s="1">
        <f t="shared" si="73"/>
        <v>3.1917242741438076E-2</v>
      </c>
      <c r="V289" s="1">
        <f t="shared" si="74"/>
        <v>3.1574382095289864E-2</v>
      </c>
      <c r="W289" s="1">
        <f t="shared" si="75"/>
        <v>4.0360367639778717E-2</v>
      </c>
      <c r="Y289" s="1" t="s">
        <v>98</v>
      </c>
      <c r="Z289" s="1">
        <f t="shared" si="76"/>
        <v>1.2862393885688184E-2</v>
      </c>
      <c r="AA289" s="1">
        <f t="shared" si="77"/>
        <v>6.3834485482876157E-3</v>
      </c>
      <c r="AB289" s="1">
        <f t="shared" si="78"/>
        <v>9.4723146285869593E-3</v>
      </c>
      <c r="AC289" s="1">
        <f t="shared" si="79"/>
        <v>8.0720735279557441E-3</v>
      </c>
      <c r="AK289" s="17" t="s">
        <v>878</v>
      </c>
      <c r="AL289" s="17">
        <f t="shared" si="80"/>
        <v>2.0118080867008233E-2</v>
      </c>
      <c r="AM289" s="17">
        <f t="shared" si="81"/>
        <v>1.7155532657244704E-2</v>
      </c>
      <c r="AO289" s="17" t="s">
        <v>1590</v>
      </c>
      <c r="AP289" s="17">
        <f t="shared" si="82"/>
        <v>0.86989753974292894</v>
      </c>
      <c r="AR289" s="1" t="s">
        <v>98</v>
      </c>
      <c r="AS289" s="17">
        <f t="shared" si="83"/>
        <v>0.86989753974292894</v>
      </c>
      <c r="AT289" s="17">
        <f t="shared" si="84"/>
        <v>218</v>
      </c>
    </row>
    <row r="290" spans="6:46" x14ac:dyDescent="0.3">
      <c r="F290" s="1">
        <v>288</v>
      </c>
      <c r="G290" s="1" t="s">
        <v>249</v>
      </c>
      <c r="H290" s="1">
        <v>2</v>
      </c>
      <c r="I290" s="1">
        <v>39</v>
      </c>
      <c r="J290" s="1">
        <v>3</v>
      </c>
      <c r="K290" s="1">
        <v>3</v>
      </c>
      <c r="M290" s="1" t="s">
        <v>249</v>
      </c>
      <c r="N290" s="1">
        <f t="shared" si="68"/>
        <v>0.2857142857142857</v>
      </c>
      <c r="O290" s="1">
        <f t="shared" si="69"/>
        <v>0.37142857142857144</v>
      </c>
      <c r="P290" s="1">
        <f t="shared" si="70"/>
        <v>0.33333333333333331</v>
      </c>
      <c r="Q290" s="1">
        <f t="shared" si="71"/>
        <v>1</v>
      </c>
      <c r="S290" s="1" t="s">
        <v>249</v>
      </c>
      <c r="T290" s="1">
        <f t="shared" si="72"/>
        <v>2.8583097523751523E-2</v>
      </c>
      <c r="U290" s="1">
        <f t="shared" si="73"/>
        <v>2.829028333900193E-2</v>
      </c>
      <c r="V290" s="1">
        <f t="shared" si="74"/>
        <v>2.1049588063526574E-2</v>
      </c>
      <c r="W290" s="1">
        <f t="shared" si="75"/>
        <v>4.0360367639778717E-2</v>
      </c>
      <c r="Y290" s="1" t="s">
        <v>249</v>
      </c>
      <c r="Z290" s="1">
        <f t="shared" si="76"/>
        <v>8.5749292571254566E-3</v>
      </c>
      <c r="AA290" s="1">
        <f t="shared" si="77"/>
        <v>5.658056667800386E-3</v>
      </c>
      <c r="AB290" s="1">
        <f t="shared" si="78"/>
        <v>6.314876419057972E-3</v>
      </c>
      <c r="AC290" s="1">
        <f t="shared" si="79"/>
        <v>8.0720735279557441E-3</v>
      </c>
      <c r="AK290" s="17" t="s">
        <v>879</v>
      </c>
      <c r="AL290" s="17">
        <f t="shared" si="80"/>
        <v>2.3614046336426945E-2</v>
      </c>
      <c r="AM290" s="17">
        <f t="shared" si="81"/>
        <v>1.6373214101412809E-2</v>
      </c>
      <c r="AO290" s="17" t="s">
        <v>1591</v>
      </c>
      <c r="AP290" s="17">
        <f t="shared" si="82"/>
        <v>0.70974079152314196</v>
      </c>
      <c r="AR290" s="1" t="s">
        <v>249</v>
      </c>
      <c r="AS290" s="17">
        <f t="shared" si="83"/>
        <v>0.70974079152314196</v>
      </c>
      <c r="AT290" s="17">
        <f t="shared" si="84"/>
        <v>337</v>
      </c>
    </row>
    <row r="291" spans="6:46" x14ac:dyDescent="0.3">
      <c r="F291" s="1">
        <v>289</v>
      </c>
      <c r="G291" s="1" t="s">
        <v>250</v>
      </c>
      <c r="H291" s="1">
        <v>1</v>
      </c>
      <c r="I291" s="1">
        <v>38</v>
      </c>
      <c r="J291" s="1">
        <v>4</v>
      </c>
      <c r="K291" s="1">
        <v>3</v>
      </c>
      <c r="M291" s="1" t="s">
        <v>250</v>
      </c>
      <c r="N291" s="1">
        <f t="shared" si="68"/>
        <v>0.14285714285714285</v>
      </c>
      <c r="O291" s="1">
        <f t="shared" si="69"/>
        <v>0.3619047619047619</v>
      </c>
      <c r="P291" s="1">
        <f t="shared" si="70"/>
        <v>0.25</v>
      </c>
      <c r="Q291" s="1">
        <f t="shared" si="71"/>
        <v>1</v>
      </c>
      <c r="S291" s="1" t="s">
        <v>250</v>
      </c>
      <c r="T291" s="1">
        <f t="shared" si="72"/>
        <v>1.4291548761875762E-2</v>
      </c>
      <c r="U291" s="1">
        <f t="shared" si="73"/>
        <v>2.75648914585147E-2</v>
      </c>
      <c r="V291" s="1">
        <f t="shared" si="74"/>
        <v>1.5787191047644932E-2</v>
      </c>
      <c r="W291" s="1">
        <f t="shared" si="75"/>
        <v>4.0360367639778717E-2</v>
      </c>
      <c r="Y291" s="1" t="s">
        <v>250</v>
      </c>
      <c r="Z291" s="1">
        <f t="shared" si="76"/>
        <v>4.2874646285627283E-3</v>
      </c>
      <c r="AA291" s="1">
        <f t="shared" si="77"/>
        <v>5.5129782917029404E-3</v>
      </c>
      <c r="AB291" s="1">
        <f t="shared" si="78"/>
        <v>4.7361573142934797E-3</v>
      </c>
      <c r="AC291" s="1">
        <f t="shared" si="79"/>
        <v>8.0720735279557441E-3</v>
      </c>
      <c r="AK291" s="17" t="s">
        <v>880</v>
      </c>
      <c r="AL291" s="17">
        <f t="shared" si="80"/>
        <v>2.7516272216437432E-2</v>
      </c>
      <c r="AM291" s="17">
        <f t="shared" si="81"/>
        <v>1.5956519799910352E-2</v>
      </c>
      <c r="AO291" s="17" t="s">
        <v>1592</v>
      </c>
      <c r="AP291" s="17">
        <f t="shared" si="82"/>
        <v>0.59585047034668481</v>
      </c>
      <c r="AR291" s="1" t="s">
        <v>250</v>
      </c>
      <c r="AS291" s="17">
        <f t="shared" si="83"/>
        <v>0.59585047034668481</v>
      </c>
      <c r="AT291" s="17">
        <f t="shared" si="84"/>
        <v>441</v>
      </c>
    </row>
    <row r="292" spans="6:46" x14ac:dyDescent="0.3">
      <c r="F292" s="1">
        <v>290</v>
      </c>
      <c r="G292" s="1" t="s">
        <v>251</v>
      </c>
      <c r="H292" s="1">
        <v>2</v>
      </c>
      <c r="I292" s="1">
        <v>76</v>
      </c>
      <c r="J292" s="1">
        <v>1</v>
      </c>
      <c r="K292" s="1">
        <v>2</v>
      </c>
      <c r="M292" s="1" t="s">
        <v>251</v>
      </c>
      <c r="N292" s="1">
        <f t="shared" si="68"/>
        <v>0.2857142857142857</v>
      </c>
      <c r="O292" s="1">
        <f t="shared" si="69"/>
        <v>0.72380952380952379</v>
      </c>
      <c r="P292" s="1">
        <f t="shared" si="70"/>
        <v>1</v>
      </c>
      <c r="Q292" s="1">
        <f t="shared" si="71"/>
        <v>0.66666666666666663</v>
      </c>
      <c r="S292" s="1" t="s">
        <v>251</v>
      </c>
      <c r="T292" s="1">
        <f t="shared" si="72"/>
        <v>2.8583097523751523E-2</v>
      </c>
      <c r="U292" s="1">
        <f t="shared" si="73"/>
        <v>5.5129782917029399E-2</v>
      </c>
      <c r="V292" s="1">
        <f t="shared" si="74"/>
        <v>6.3148764190579729E-2</v>
      </c>
      <c r="W292" s="1">
        <f t="shared" si="75"/>
        <v>2.6906911759852478E-2</v>
      </c>
      <c r="Y292" s="1" t="s">
        <v>251</v>
      </c>
      <c r="Z292" s="1">
        <f t="shared" si="76"/>
        <v>8.5749292571254566E-3</v>
      </c>
      <c r="AA292" s="1">
        <f t="shared" si="77"/>
        <v>1.1025956583405881E-2</v>
      </c>
      <c r="AB292" s="1">
        <f t="shared" si="78"/>
        <v>1.8944629257173919E-2</v>
      </c>
      <c r="AC292" s="1">
        <f t="shared" si="79"/>
        <v>5.3813823519704958E-3</v>
      </c>
      <c r="AK292" s="17" t="s">
        <v>881</v>
      </c>
      <c r="AL292" s="17">
        <f t="shared" si="80"/>
        <v>2.6724429527478836E-2</v>
      </c>
      <c r="AM292" s="17">
        <f t="shared" si="81"/>
        <v>1.1922433755098695E-2</v>
      </c>
      <c r="AO292" s="17" t="s">
        <v>1593</v>
      </c>
      <c r="AP292" s="17">
        <f t="shared" si="82"/>
        <v>0.45804734515272844</v>
      </c>
      <c r="AR292" s="1" t="s">
        <v>251</v>
      </c>
      <c r="AS292" s="17">
        <f t="shared" si="83"/>
        <v>0.45804734515272844</v>
      </c>
      <c r="AT292" s="17">
        <f t="shared" si="84"/>
        <v>566</v>
      </c>
    </row>
    <row r="293" spans="6:46" x14ac:dyDescent="0.3">
      <c r="F293" s="1">
        <v>291</v>
      </c>
      <c r="G293" s="1" t="s">
        <v>252</v>
      </c>
      <c r="H293" s="1">
        <v>0</v>
      </c>
      <c r="I293" s="1">
        <v>52</v>
      </c>
      <c r="J293" s="1">
        <v>1</v>
      </c>
      <c r="K293" s="1">
        <v>1</v>
      </c>
      <c r="M293" s="1" t="s">
        <v>252</v>
      </c>
      <c r="N293" s="1">
        <f t="shared" si="68"/>
        <v>0</v>
      </c>
      <c r="O293" s="1">
        <f t="shared" si="69"/>
        <v>0.49523809523809526</v>
      </c>
      <c r="P293" s="1">
        <f t="shared" si="70"/>
        <v>1</v>
      </c>
      <c r="Q293" s="1">
        <f t="shared" si="71"/>
        <v>0.33333333333333331</v>
      </c>
      <c r="S293" s="1" t="s">
        <v>252</v>
      </c>
      <c r="T293" s="1">
        <f t="shared" si="72"/>
        <v>0</v>
      </c>
      <c r="U293" s="1">
        <f t="shared" si="73"/>
        <v>3.7720377785335907E-2</v>
      </c>
      <c r="V293" s="1">
        <f t="shared" si="74"/>
        <v>6.3148764190579729E-2</v>
      </c>
      <c r="W293" s="1">
        <f t="shared" si="75"/>
        <v>1.3453455879926239E-2</v>
      </c>
      <c r="Y293" s="1" t="s">
        <v>252</v>
      </c>
      <c r="Z293" s="1">
        <f t="shared" si="76"/>
        <v>0</v>
      </c>
      <c r="AA293" s="1">
        <f t="shared" si="77"/>
        <v>7.5440755570671814E-3</v>
      </c>
      <c r="AB293" s="1">
        <f t="shared" si="78"/>
        <v>1.8944629257173919E-2</v>
      </c>
      <c r="AC293" s="1">
        <f t="shared" si="79"/>
        <v>2.6906911759852479E-3</v>
      </c>
      <c r="AK293" s="17" t="s">
        <v>882</v>
      </c>
      <c r="AL293" s="17">
        <f t="shared" si="80"/>
        <v>3.4907205618129669E-2</v>
      </c>
      <c r="AM293" s="17">
        <f t="shared" si="81"/>
        <v>4.3523512829233731E-3</v>
      </c>
      <c r="AO293" s="17" t="s">
        <v>1594</v>
      </c>
      <c r="AP293" s="17">
        <f t="shared" si="82"/>
        <v>0.12903581436319075</v>
      </c>
      <c r="AR293" s="1" t="s">
        <v>252</v>
      </c>
      <c r="AS293" s="17">
        <f t="shared" si="83"/>
        <v>0.12903581436319075</v>
      </c>
      <c r="AT293" s="17">
        <f t="shared" si="84"/>
        <v>702</v>
      </c>
    </row>
    <row r="294" spans="6:46" x14ac:dyDescent="0.3">
      <c r="F294" s="1">
        <v>292</v>
      </c>
      <c r="G294" s="1" t="s">
        <v>101</v>
      </c>
      <c r="H294" s="1">
        <v>1</v>
      </c>
      <c r="I294" s="1">
        <v>39</v>
      </c>
      <c r="J294" s="1">
        <v>1</v>
      </c>
      <c r="K294" s="1">
        <v>2</v>
      </c>
      <c r="M294" s="1" t="s">
        <v>101</v>
      </c>
      <c r="N294" s="1">
        <f t="shared" si="68"/>
        <v>0.14285714285714285</v>
      </c>
      <c r="O294" s="1">
        <f t="shared" si="69"/>
        <v>0.37142857142857144</v>
      </c>
      <c r="P294" s="1">
        <f t="shared" si="70"/>
        <v>1</v>
      </c>
      <c r="Q294" s="1">
        <f t="shared" si="71"/>
        <v>0.66666666666666663</v>
      </c>
      <c r="S294" s="1" t="s">
        <v>101</v>
      </c>
      <c r="T294" s="1">
        <f t="shared" si="72"/>
        <v>1.4291548761875762E-2</v>
      </c>
      <c r="U294" s="1">
        <f t="shared" si="73"/>
        <v>2.829028333900193E-2</v>
      </c>
      <c r="V294" s="1">
        <f t="shared" si="74"/>
        <v>6.3148764190579729E-2</v>
      </c>
      <c r="W294" s="1">
        <f t="shared" si="75"/>
        <v>2.6906911759852478E-2</v>
      </c>
      <c r="Y294" s="1" t="s">
        <v>101</v>
      </c>
      <c r="Z294" s="1">
        <f t="shared" si="76"/>
        <v>4.2874646285627283E-3</v>
      </c>
      <c r="AA294" s="1">
        <f t="shared" si="77"/>
        <v>5.658056667800386E-3</v>
      </c>
      <c r="AB294" s="1">
        <f t="shared" si="78"/>
        <v>1.8944629257173919E-2</v>
      </c>
      <c r="AC294" s="1">
        <f t="shared" si="79"/>
        <v>5.3813823519704958E-3</v>
      </c>
      <c r="AK294" s="17" t="s">
        <v>883</v>
      </c>
      <c r="AL294" s="17">
        <f t="shared" si="80"/>
        <v>3.1470363918916514E-2</v>
      </c>
      <c r="AM294" s="17">
        <f t="shared" si="81"/>
        <v>5.6307164217088033E-3</v>
      </c>
      <c r="AO294" s="17" t="s">
        <v>1595</v>
      </c>
      <c r="AP294" s="17">
        <f t="shared" si="82"/>
        <v>0.18455195280195408</v>
      </c>
      <c r="AR294" s="1" t="s">
        <v>101</v>
      </c>
      <c r="AS294" s="17">
        <f t="shared" si="83"/>
        <v>0.18455195280195408</v>
      </c>
      <c r="AT294" s="17">
        <f t="shared" si="84"/>
        <v>693</v>
      </c>
    </row>
    <row r="295" spans="6:46" x14ac:dyDescent="0.3">
      <c r="F295" s="1">
        <v>293</v>
      </c>
      <c r="G295" s="1" t="s">
        <v>253</v>
      </c>
      <c r="H295" s="1">
        <v>2</v>
      </c>
      <c r="I295" s="1">
        <v>56</v>
      </c>
      <c r="J295" s="1">
        <v>1</v>
      </c>
      <c r="K295" s="1">
        <v>2</v>
      </c>
      <c r="M295" s="1" t="s">
        <v>253</v>
      </c>
      <c r="N295" s="1">
        <f t="shared" si="68"/>
        <v>0.2857142857142857</v>
      </c>
      <c r="O295" s="1">
        <f t="shared" si="69"/>
        <v>0.53333333333333333</v>
      </c>
      <c r="P295" s="1">
        <f t="shared" si="70"/>
        <v>1</v>
      </c>
      <c r="Q295" s="1">
        <f t="shared" si="71"/>
        <v>0.66666666666666663</v>
      </c>
      <c r="S295" s="1" t="s">
        <v>253</v>
      </c>
      <c r="T295" s="1">
        <f t="shared" si="72"/>
        <v>2.8583097523751523E-2</v>
      </c>
      <c r="U295" s="1">
        <f t="shared" si="73"/>
        <v>4.0621945307284822E-2</v>
      </c>
      <c r="V295" s="1">
        <f t="shared" si="74"/>
        <v>6.3148764190579729E-2</v>
      </c>
      <c r="W295" s="1">
        <f t="shared" si="75"/>
        <v>2.6906911759852478E-2</v>
      </c>
      <c r="Y295" s="1" t="s">
        <v>253</v>
      </c>
      <c r="Z295" s="1">
        <f t="shared" si="76"/>
        <v>8.5749292571254566E-3</v>
      </c>
      <c r="AA295" s="1">
        <f t="shared" si="77"/>
        <v>8.1243890614569655E-3</v>
      </c>
      <c r="AB295" s="1">
        <f t="shared" si="78"/>
        <v>1.8944629257173919E-2</v>
      </c>
      <c r="AC295" s="1">
        <f t="shared" si="79"/>
        <v>5.3813823519704958E-3</v>
      </c>
      <c r="AK295" s="17" t="s">
        <v>884</v>
      </c>
      <c r="AL295" s="17">
        <f t="shared" si="80"/>
        <v>2.7331842244869901E-2</v>
      </c>
      <c r="AM295" s="17">
        <f t="shared" si="81"/>
        <v>1.0251849231881542E-2</v>
      </c>
      <c r="AO295" s="17" t="s">
        <v>1596</v>
      </c>
      <c r="AP295" s="17">
        <f t="shared" si="82"/>
        <v>0.38533996587011443</v>
      </c>
      <c r="AR295" s="1" t="s">
        <v>253</v>
      </c>
      <c r="AS295" s="17">
        <f t="shared" si="83"/>
        <v>0.38533996587011443</v>
      </c>
      <c r="AT295" s="17">
        <f t="shared" si="84"/>
        <v>609</v>
      </c>
    </row>
    <row r="296" spans="6:46" x14ac:dyDescent="0.3">
      <c r="F296" s="1">
        <v>294</v>
      </c>
      <c r="G296" s="1" t="s">
        <v>254</v>
      </c>
      <c r="H296" s="1">
        <v>4</v>
      </c>
      <c r="I296" s="1">
        <v>54</v>
      </c>
      <c r="J296" s="1">
        <v>3</v>
      </c>
      <c r="K296" s="1">
        <v>3</v>
      </c>
      <c r="M296" s="1" t="s">
        <v>254</v>
      </c>
      <c r="N296" s="1">
        <f t="shared" si="68"/>
        <v>0.5714285714285714</v>
      </c>
      <c r="O296" s="1">
        <f t="shared" si="69"/>
        <v>0.51428571428571423</v>
      </c>
      <c r="P296" s="1">
        <f t="shared" si="70"/>
        <v>0.33333333333333331</v>
      </c>
      <c r="Q296" s="1">
        <f t="shared" si="71"/>
        <v>1</v>
      </c>
      <c r="S296" s="1" t="s">
        <v>254</v>
      </c>
      <c r="T296" s="1">
        <f t="shared" si="72"/>
        <v>5.7166195047503046E-2</v>
      </c>
      <c r="U296" s="1">
        <f t="shared" si="73"/>
        <v>3.9171161546310361E-2</v>
      </c>
      <c r="V296" s="1">
        <f t="shared" si="74"/>
        <v>2.1049588063526574E-2</v>
      </c>
      <c r="W296" s="1">
        <f t="shared" si="75"/>
        <v>4.0360367639778717E-2</v>
      </c>
      <c r="Y296" s="1" t="s">
        <v>254</v>
      </c>
      <c r="Z296" s="1">
        <f t="shared" si="76"/>
        <v>1.7149858514250913E-2</v>
      </c>
      <c r="AA296" s="1">
        <f t="shared" si="77"/>
        <v>7.8342323092620725E-3</v>
      </c>
      <c r="AB296" s="1">
        <f t="shared" si="78"/>
        <v>6.314876419057972E-3</v>
      </c>
      <c r="AC296" s="1">
        <f t="shared" si="79"/>
        <v>8.0720735279557441E-3</v>
      </c>
      <c r="AK296" s="17" t="s">
        <v>885</v>
      </c>
      <c r="AL296" s="17">
        <f t="shared" si="80"/>
        <v>1.5052134799577861E-2</v>
      </c>
      <c r="AM296" s="17">
        <f t="shared" si="81"/>
        <v>2.2453072410807379E-2</v>
      </c>
      <c r="AO296" s="17" t="s">
        <v>1597</v>
      </c>
      <c r="AP296" s="17">
        <f t="shared" si="82"/>
        <v>1.5141399799341893</v>
      </c>
      <c r="AR296" s="1" t="s">
        <v>254</v>
      </c>
      <c r="AS296" s="17">
        <f t="shared" si="83"/>
        <v>1.5141399799341893</v>
      </c>
      <c r="AT296" s="17">
        <f t="shared" si="84"/>
        <v>41</v>
      </c>
    </row>
    <row r="297" spans="6:46" x14ac:dyDescent="0.3">
      <c r="F297" s="1">
        <v>295</v>
      </c>
      <c r="G297" s="1" t="s">
        <v>255</v>
      </c>
      <c r="H297" s="1">
        <v>1</v>
      </c>
      <c r="I297" s="1">
        <v>60</v>
      </c>
      <c r="J297" s="1">
        <v>2</v>
      </c>
      <c r="K297" s="1">
        <v>3</v>
      </c>
      <c r="M297" s="1" t="s">
        <v>255</v>
      </c>
      <c r="N297" s="1">
        <f t="shared" si="68"/>
        <v>0.14285714285714285</v>
      </c>
      <c r="O297" s="1">
        <f t="shared" si="69"/>
        <v>0.5714285714285714</v>
      </c>
      <c r="P297" s="1">
        <f t="shared" si="70"/>
        <v>0.5</v>
      </c>
      <c r="Q297" s="1">
        <f t="shared" si="71"/>
        <v>1</v>
      </c>
      <c r="S297" s="1" t="s">
        <v>255</v>
      </c>
      <c r="T297" s="1">
        <f t="shared" si="72"/>
        <v>1.4291548761875762E-2</v>
      </c>
      <c r="U297" s="1">
        <f t="shared" si="73"/>
        <v>4.3523512829233738E-2</v>
      </c>
      <c r="V297" s="1">
        <f t="shared" si="74"/>
        <v>3.1574382095289864E-2</v>
      </c>
      <c r="W297" s="1">
        <f t="shared" si="75"/>
        <v>4.0360367639778717E-2</v>
      </c>
      <c r="Y297" s="1" t="s">
        <v>255</v>
      </c>
      <c r="Z297" s="1">
        <f t="shared" si="76"/>
        <v>4.2874646285627283E-3</v>
      </c>
      <c r="AA297" s="1">
        <f t="shared" si="77"/>
        <v>8.7047025658467479E-3</v>
      </c>
      <c r="AB297" s="1">
        <f t="shared" si="78"/>
        <v>9.4723146285869593E-3</v>
      </c>
      <c r="AC297" s="1">
        <f t="shared" si="79"/>
        <v>8.0720735279557441E-3</v>
      </c>
      <c r="AK297" s="17" t="s">
        <v>886</v>
      </c>
      <c r="AL297" s="17">
        <f t="shared" si="80"/>
        <v>2.7141983672477499E-2</v>
      </c>
      <c r="AM297" s="17">
        <f t="shared" si="81"/>
        <v>1.2940606748796844E-2</v>
      </c>
      <c r="AO297" s="17" t="s">
        <v>1598</v>
      </c>
      <c r="AP297" s="17">
        <f t="shared" si="82"/>
        <v>0.48971514559427082</v>
      </c>
      <c r="AR297" s="1" t="s">
        <v>255</v>
      </c>
      <c r="AS297" s="17">
        <f t="shared" si="83"/>
        <v>0.48971514559427082</v>
      </c>
      <c r="AT297" s="17">
        <f t="shared" si="84"/>
        <v>544</v>
      </c>
    </row>
    <row r="298" spans="6:46" x14ac:dyDescent="0.3">
      <c r="F298" s="1">
        <v>296</v>
      </c>
      <c r="G298" s="1" t="s">
        <v>256</v>
      </c>
      <c r="H298" s="1">
        <v>3</v>
      </c>
      <c r="I298" s="1">
        <v>34</v>
      </c>
      <c r="J298" s="1">
        <v>2</v>
      </c>
      <c r="K298" s="1">
        <v>3</v>
      </c>
      <c r="M298" s="1" t="s">
        <v>256</v>
      </c>
      <c r="N298" s="1">
        <f t="shared" si="68"/>
        <v>0.42857142857142855</v>
      </c>
      <c r="O298" s="1">
        <f t="shared" si="69"/>
        <v>0.32380952380952382</v>
      </c>
      <c r="P298" s="1">
        <f t="shared" si="70"/>
        <v>0.5</v>
      </c>
      <c r="Q298" s="1">
        <f t="shared" si="71"/>
        <v>1</v>
      </c>
      <c r="S298" s="1" t="s">
        <v>256</v>
      </c>
      <c r="T298" s="1">
        <f t="shared" si="72"/>
        <v>4.2874646285627281E-2</v>
      </c>
      <c r="U298" s="1">
        <f t="shared" si="73"/>
        <v>2.4663323936565784E-2</v>
      </c>
      <c r="V298" s="1">
        <f t="shared" si="74"/>
        <v>3.1574382095289864E-2</v>
      </c>
      <c r="W298" s="1">
        <f t="shared" si="75"/>
        <v>4.0360367639778717E-2</v>
      </c>
      <c r="Y298" s="1" t="s">
        <v>256</v>
      </c>
      <c r="Z298" s="1">
        <f t="shared" si="76"/>
        <v>1.2862393885688184E-2</v>
      </c>
      <c r="AA298" s="1">
        <f t="shared" si="77"/>
        <v>4.9326647873131572E-3</v>
      </c>
      <c r="AB298" s="1">
        <f t="shared" si="78"/>
        <v>9.4723146285869593E-3</v>
      </c>
      <c r="AC298" s="1">
        <f t="shared" si="79"/>
        <v>8.0720735279557441E-3</v>
      </c>
      <c r="AK298" s="17" t="s">
        <v>887</v>
      </c>
      <c r="AL298" s="17">
        <f t="shared" si="80"/>
        <v>2.0797119710433402E-2</v>
      </c>
      <c r="AM298" s="17">
        <f t="shared" si="81"/>
        <v>1.6945680003529664E-2</v>
      </c>
      <c r="AO298" s="17" t="s">
        <v>1599</v>
      </c>
      <c r="AP298" s="17">
        <f t="shared" si="82"/>
        <v>0.83175466506834295</v>
      </c>
      <c r="AR298" s="1" t="s">
        <v>256</v>
      </c>
      <c r="AS298" s="17">
        <f t="shared" si="83"/>
        <v>0.83175466506834295</v>
      </c>
      <c r="AT298" s="17">
        <f t="shared" si="84"/>
        <v>290</v>
      </c>
    </row>
    <row r="299" spans="6:46" x14ac:dyDescent="0.3">
      <c r="F299" s="1">
        <v>297</v>
      </c>
      <c r="G299" s="1" t="s">
        <v>257</v>
      </c>
      <c r="H299" s="1">
        <v>2</v>
      </c>
      <c r="I299" s="1">
        <v>65</v>
      </c>
      <c r="J299" s="1">
        <v>2</v>
      </c>
      <c r="K299" s="1">
        <v>3</v>
      </c>
      <c r="M299" s="1" t="s">
        <v>257</v>
      </c>
      <c r="N299" s="1">
        <f t="shared" si="68"/>
        <v>0.2857142857142857</v>
      </c>
      <c r="O299" s="1">
        <f t="shared" si="69"/>
        <v>0.61904761904761907</v>
      </c>
      <c r="P299" s="1">
        <f t="shared" si="70"/>
        <v>0.5</v>
      </c>
      <c r="Q299" s="1">
        <f t="shared" si="71"/>
        <v>1</v>
      </c>
      <c r="S299" s="1" t="s">
        <v>257</v>
      </c>
      <c r="T299" s="1">
        <f t="shared" si="72"/>
        <v>2.8583097523751523E-2</v>
      </c>
      <c r="U299" s="1">
        <f t="shared" si="73"/>
        <v>4.7150472231669883E-2</v>
      </c>
      <c r="V299" s="1">
        <f t="shared" si="74"/>
        <v>3.1574382095289864E-2</v>
      </c>
      <c r="W299" s="1">
        <f t="shared" si="75"/>
        <v>4.0360367639778717E-2</v>
      </c>
      <c r="Y299" s="1" t="s">
        <v>257</v>
      </c>
      <c r="Z299" s="1">
        <f t="shared" si="76"/>
        <v>8.5749292571254566E-3</v>
      </c>
      <c r="AA299" s="1">
        <f t="shared" si="77"/>
        <v>9.4300944463339767E-3</v>
      </c>
      <c r="AB299" s="1">
        <f t="shared" si="78"/>
        <v>9.4723146285869593E-3</v>
      </c>
      <c r="AC299" s="1">
        <f t="shared" si="79"/>
        <v>8.0720735279557441E-3</v>
      </c>
      <c r="AK299" s="17" t="s">
        <v>888</v>
      </c>
      <c r="AL299" s="17">
        <f t="shared" si="80"/>
        <v>2.2924574322315951E-2</v>
      </c>
      <c r="AM299" s="17">
        <f t="shared" si="81"/>
        <v>1.5202983082639412E-2</v>
      </c>
      <c r="AO299" s="17" t="s">
        <v>1600</v>
      </c>
      <c r="AP299" s="17">
        <f t="shared" si="82"/>
        <v>0.67837704550525346</v>
      </c>
      <c r="AR299" s="1" t="s">
        <v>257</v>
      </c>
      <c r="AS299" s="17">
        <f t="shared" si="83"/>
        <v>0.67837704550525346</v>
      </c>
      <c r="AT299" s="17">
        <f t="shared" si="84"/>
        <v>361</v>
      </c>
    </row>
    <row r="300" spans="6:46" x14ac:dyDescent="0.3">
      <c r="F300" s="1">
        <v>298</v>
      </c>
      <c r="G300" s="1" t="s">
        <v>258</v>
      </c>
      <c r="H300" s="1">
        <v>3</v>
      </c>
      <c r="I300" s="1">
        <v>53</v>
      </c>
      <c r="J300" s="1">
        <v>5</v>
      </c>
      <c r="K300" s="1">
        <v>3</v>
      </c>
      <c r="M300" s="1" t="s">
        <v>258</v>
      </c>
      <c r="N300" s="1">
        <f t="shared" si="68"/>
        <v>0.42857142857142855</v>
      </c>
      <c r="O300" s="1">
        <f t="shared" si="69"/>
        <v>0.50476190476190474</v>
      </c>
      <c r="P300" s="1">
        <f t="shared" si="70"/>
        <v>0.2</v>
      </c>
      <c r="Q300" s="1">
        <f t="shared" si="71"/>
        <v>1</v>
      </c>
      <c r="S300" s="1" t="s">
        <v>258</v>
      </c>
      <c r="T300" s="1">
        <f t="shared" si="72"/>
        <v>4.2874646285627281E-2</v>
      </c>
      <c r="U300" s="1">
        <f t="shared" si="73"/>
        <v>3.844576966582313E-2</v>
      </c>
      <c r="V300" s="1">
        <f t="shared" si="74"/>
        <v>1.2629752838115946E-2</v>
      </c>
      <c r="W300" s="1">
        <f t="shared" si="75"/>
        <v>4.0360367639778717E-2</v>
      </c>
      <c r="Y300" s="1" t="s">
        <v>258</v>
      </c>
      <c r="Z300" s="1">
        <f t="shared" si="76"/>
        <v>1.2862393885688184E-2</v>
      </c>
      <c r="AA300" s="1">
        <f t="shared" si="77"/>
        <v>7.6891539331646261E-3</v>
      </c>
      <c r="AB300" s="1">
        <f t="shared" si="78"/>
        <v>3.7889258514347836E-3</v>
      </c>
      <c r="AC300" s="1">
        <f t="shared" si="79"/>
        <v>8.0720735279557441E-3</v>
      </c>
      <c r="AK300" s="17" t="s">
        <v>889</v>
      </c>
      <c r="AL300" s="17">
        <f t="shared" si="80"/>
        <v>1.8735813915321725E-2</v>
      </c>
      <c r="AM300" s="17">
        <f t="shared" si="81"/>
        <v>2.1078962776883998E-2</v>
      </c>
      <c r="AO300" s="17" t="s">
        <v>1601</v>
      </c>
      <c r="AP300" s="17">
        <f t="shared" si="82"/>
        <v>1.1461415232907934</v>
      </c>
      <c r="AR300" s="1" t="s">
        <v>258</v>
      </c>
      <c r="AS300" s="17">
        <f t="shared" si="83"/>
        <v>1.1461415232907934</v>
      </c>
      <c r="AT300" s="17">
        <f t="shared" si="84"/>
        <v>95</v>
      </c>
    </row>
    <row r="301" spans="6:46" x14ac:dyDescent="0.3">
      <c r="F301" s="1">
        <v>299</v>
      </c>
      <c r="G301" s="1" t="s">
        <v>108</v>
      </c>
      <c r="H301" s="1">
        <v>0</v>
      </c>
      <c r="I301" s="1">
        <v>63</v>
      </c>
      <c r="J301" s="1">
        <v>2</v>
      </c>
      <c r="K301" s="1">
        <v>1</v>
      </c>
      <c r="M301" s="1" t="s">
        <v>108</v>
      </c>
      <c r="N301" s="1">
        <f t="shared" si="68"/>
        <v>0</v>
      </c>
      <c r="O301" s="1">
        <f t="shared" si="69"/>
        <v>0.6</v>
      </c>
      <c r="P301" s="1">
        <f t="shared" si="70"/>
        <v>0.5</v>
      </c>
      <c r="Q301" s="1">
        <f t="shared" si="71"/>
        <v>0.33333333333333331</v>
      </c>
      <c r="S301" s="1" t="s">
        <v>108</v>
      </c>
      <c r="T301" s="1">
        <f t="shared" si="72"/>
        <v>0</v>
      </c>
      <c r="U301" s="1">
        <f t="shared" si="73"/>
        <v>4.5699688470695422E-2</v>
      </c>
      <c r="V301" s="1">
        <f t="shared" si="74"/>
        <v>3.1574382095289864E-2</v>
      </c>
      <c r="W301" s="1">
        <f t="shared" si="75"/>
        <v>1.3453455879926239E-2</v>
      </c>
      <c r="Y301" s="1" t="s">
        <v>108</v>
      </c>
      <c r="Z301" s="1">
        <f t="shared" si="76"/>
        <v>0</v>
      </c>
      <c r="AA301" s="1">
        <f t="shared" si="77"/>
        <v>9.1399376941390855E-3</v>
      </c>
      <c r="AB301" s="1">
        <f t="shared" si="78"/>
        <v>9.4723146285869593E-3</v>
      </c>
      <c r="AC301" s="1">
        <f t="shared" si="79"/>
        <v>2.6906911759852479E-3</v>
      </c>
      <c r="AK301" s="17" t="s">
        <v>890</v>
      </c>
      <c r="AL301" s="17">
        <f t="shared" si="80"/>
        <v>3.160891777711379E-2</v>
      </c>
      <c r="AM301" s="17">
        <f t="shared" si="81"/>
        <v>1.1185078779908276E-2</v>
      </c>
      <c r="AO301" s="17" t="s">
        <v>1602</v>
      </c>
      <c r="AP301" s="17">
        <f t="shared" si="82"/>
        <v>0.36504340631830795</v>
      </c>
      <c r="AR301" s="1" t="s">
        <v>108</v>
      </c>
      <c r="AS301" s="17">
        <f t="shared" si="83"/>
        <v>0.36504340631830795</v>
      </c>
      <c r="AT301" s="17">
        <f t="shared" si="84"/>
        <v>622</v>
      </c>
    </row>
    <row r="302" spans="6:46" x14ac:dyDescent="0.3">
      <c r="F302" s="1">
        <v>300</v>
      </c>
      <c r="G302" s="1" t="s">
        <v>259</v>
      </c>
      <c r="H302" s="1">
        <v>1</v>
      </c>
      <c r="I302" s="1">
        <v>83</v>
      </c>
      <c r="J302" s="1">
        <v>2</v>
      </c>
      <c r="K302" s="1">
        <v>3</v>
      </c>
      <c r="M302" s="1" t="s">
        <v>259</v>
      </c>
      <c r="N302" s="1">
        <f t="shared" si="68"/>
        <v>0.14285714285714285</v>
      </c>
      <c r="O302" s="1">
        <f t="shared" si="69"/>
        <v>0.79047619047619044</v>
      </c>
      <c r="P302" s="1">
        <f t="shared" si="70"/>
        <v>0.5</v>
      </c>
      <c r="Q302" s="1">
        <f t="shared" si="71"/>
        <v>1</v>
      </c>
      <c r="S302" s="1" t="s">
        <v>259</v>
      </c>
      <c r="T302" s="1">
        <f t="shared" si="72"/>
        <v>1.4291548761875762E-2</v>
      </c>
      <c r="U302" s="1">
        <f t="shared" si="73"/>
        <v>6.0207526080439999E-2</v>
      </c>
      <c r="V302" s="1">
        <f t="shared" si="74"/>
        <v>3.1574382095289864E-2</v>
      </c>
      <c r="W302" s="1">
        <f t="shared" si="75"/>
        <v>4.0360367639778717E-2</v>
      </c>
      <c r="Y302" s="1" t="s">
        <v>259</v>
      </c>
      <c r="Z302" s="1">
        <f t="shared" si="76"/>
        <v>4.2874646285627283E-3</v>
      </c>
      <c r="AA302" s="1">
        <f t="shared" si="77"/>
        <v>1.2041505216088001E-2</v>
      </c>
      <c r="AB302" s="1">
        <f t="shared" si="78"/>
        <v>9.4723146285869593E-3</v>
      </c>
      <c r="AC302" s="1">
        <f t="shared" si="79"/>
        <v>8.0720735279557441E-3</v>
      </c>
      <c r="AK302" s="17" t="s">
        <v>891</v>
      </c>
      <c r="AL302" s="17">
        <f t="shared" si="80"/>
        <v>2.6537760224193248E-2</v>
      </c>
      <c r="AM302" s="17">
        <f t="shared" si="81"/>
        <v>1.4676000684880647E-2</v>
      </c>
      <c r="AO302" s="17" t="s">
        <v>1603</v>
      </c>
      <c r="AP302" s="17">
        <f t="shared" si="82"/>
        <v>0.56769933652394722</v>
      </c>
      <c r="AR302" s="1" t="s">
        <v>259</v>
      </c>
      <c r="AS302" s="17">
        <f t="shared" si="83"/>
        <v>0.56769933652394722</v>
      </c>
      <c r="AT302" s="17">
        <f t="shared" si="84"/>
        <v>499</v>
      </c>
    </row>
    <row r="303" spans="6:46" x14ac:dyDescent="0.3">
      <c r="F303" s="1">
        <v>301</v>
      </c>
      <c r="G303" s="1" t="s">
        <v>260</v>
      </c>
      <c r="H303" s="1">
        <v>2</v>
      </c>
      <c r="I303" s="1">
        <v>41</v>
      </c>
      <c r="J303" s="1">
        <v>2</v>
      </c>
      <c r="K303" s="1">
        <v>3</v>
      </c>
      <c r="M303" s="1" t="s">
        <v>260</v>
      </c>
      <c r="N303" s="1">
        <f t="shared" si="68"/>
        <v>0.2857142857142857</v>
      </c>
      <c r="O303" s="1">
        <f t="shared" si="69"/>
        <v>0.39047619047619048</v>
      </c>
      <c r="P303" s="1">
        <f t="shared" si="70"/>
        <v>0.5</v>
      </c>
      <c r="Q303" s="1">
        <f t="shared" si="71"/>
        <v>1</v>
      </c>
      <c r="S303" s="1" t="s">
        <v>260</v>
      </c>
      <c r="T303" s="1">
        <f t="shared" si="72"/>
        <v>2.8583097523751523E-2</v>
      </c>
      <c r="U303" s="1">
        <f t="shared" si="73"/>
        <v>2.9741067099976388E-2</v>
      </c>
      <c r="V303" s="1">
        <f t="shared" si="74"/>
        <v>3.1574382095289864E-2</v>
      </c>
      <c r="W303" s="1">
        <f t="shared" si="75"/>
        <v>4.0360367639778717E-2</v>
      </c>
      <c r="Y303" s="1" t="s">
        <v>260</v>
      </c>
      <c r="Z303" s="1">
        <f t="shared" si="76"/>
        <v>8.5749292571254566E-3</v>
      </c>
      <c r="AA303" s="1">
        <f t="shared" si="77"/>
        <v>5.9482134199952781E-3</v>
      </c>
      <c r="AB303" s="1">
        <f t="shared" si="78"/>
        <v>9.4723146285869593E-3</v>
      </c>
      <c r="AC303" s="1">
        <f t="shared" si="79"/>
        <v>8.0720735279557441E-3</v>
      </c>
      <c r="AK303" s="17" t="s">
        <v>892</v>
      </c>
      <c r="AL303" s="17">
        <f t="shared" si="80"/>
        <v>2.4043112422193251E-2</v>
      </c>
      <c r="AM303" s="17">
        <f t="shared" si="81"/>
        <v>1.4135475394090753E-2</v>
      </c>
      <c r="AO303" s="17" t="s">
        <v>1604</v>
      </c>
      <c r="AP303" s="17">
        <f t="shared" si="82"/>
        <v>0.6020575025374173</v>
      </c>
      <c r="AR303" s="1" t="s">
        <v>260</v>
      </c>
      <c r="AS303" s="17">
        <f t="shared" si="83"/>
        <v>0.6020575025374173</v>
      </c>
      <c r="AT303" s="17">
        <f t="shared" si="84"/>
        <v>428</v>
      </c>
    </row>
    <row r="304" spans="6:46" x14ac:dyDescent="0.3">
      <c r="F304" s="1">
        <v>302</v>
      </c>
      <c r="G304" s="1" t="s">
        <v>261</v>
      </c>
      <c r="H304" s="1">
        <v>1</v>
      </c>
      <c r="I304" s="1">
        <v>30</v>
      </c>
      <c r="J304" s="1">
        <v>5</v>
      </c>
      <c r="K304" s="1">
        <v>3</v>
      </c>
      <c r="M304" s="1" t="s">
        <v>261</v>
      </c>
      <c r="N304" s="1">
        <f t="shared" si="68"/>
        <v>0.14285714285714285</v>
      </c>
      <c r="O304" s="1">
        <f t="shared" si="69"/>
        <v>0.2857142857142857</v>
      </c>
      <c r="P304" s="1">
        <f t="shared" si="70"/>
        <v>0.2</v>
      </c>
      <c r="Q304" s="1">
        <f t="shared" si="71"/>
        <v>1</v>
      </c>
      <c r="S304" s="1" t="s">
        <v>261</v>
      </c>
      <c r="T304" s="1">
        <f t="shared" si="72"/>
        <v>1.4291548761875762E-2</v>
      </c>
      <c r="U304" s="1">
        <f t="shared" si="73"/>
        <v>2.1761756414616869E-2</v>
      </c>
      <c r="V304" s="1">
        <f t="shared" si="74"/>
        <v>1.2629752838115946E-2</v>
      </c>
      <c r="W304" s="1">
        <f t="shared" si="75"/>
        <v>4.0360367639778717E-2</v>
      </c>
      <c r="Y304" s="1" t="s">
        <v>261</v>
      </c>
      <c r="Z304" s="1">
        <f t="shared" si="76"/>
        <v>4.2874646285627283E-3</v>
      </c>
      <c r="AA304" s="1">
        <f t="shared" si="77"/>
        <v>4.3523512829233739E-3</v>
      </c>
      <c r="AB304" s="1">
        <f t="shared" si="78"/>
        <v>3.7889258514347836E-3</v>
      </c>
      <c r="AC304" s="1">
        <f t="shared" si="79"/>
        <v>8.0720735279557441E-3</v>
      </c>
      <c r="AK304" s="17" t="s">
        <v>893</v>
      </c>
      <c r="AL304" s="17">
        <f t="shared" si="80"/>
        <v>2.7931312472646803E-2</v>
      </c>
      <c r="AM304" s="17">
        <f t="shared" si="81"/>
        <v>1.6684844312594514E-2</v>
      </c>
      <c r="AO304" s="17" t="s">
        <v>1605</v>
      </c>
      <c r="AP304" s="17">
        <f t="shared" si="82"/>
        <v>0.61403752256335764</v>
      </c>
      <c r="AR304" s="1" t="s">
        <v>261</v>
      </c>
      <c r="AS304" s="17">
        <f t="shared" si="83"/>
        <v>0.61403752256335764</v>
      </c>
      <c r="AT304" s="17">
        <f t="shared" si="84"/>
        <v>420</v>
      </c>
    </row>
    <row r="305" spans="6:46" x14ac:dyDescent="0.3">
      <c r="F305" s="1">
        <v>303</v>
      </c>
      <c r="G305" s="1" t="s">
        <v>262</v>
      </c>
      <c r="H305" s="1">
        <v>0</v>
      </c>
      <c r="I305" s="1">
        <v>43</v>
      </c>
      <c r="J305" s="1">
        <v>1</v>
      </c>
      <c r="K305" s="1">
        <v>1</v>
      </c>
      <c r="M305" s="1" t="s">
        <v>262</v>
      </c>
      <c r="N305" s="1">
        <f t="shared" si="68"/>
        <v>0</v>
      </c>
      <c r="O305" s="1">
        <f t="shared" si="69"/>
        <v>0.40952380952380951</v>
      </c>
      <c r="P305" s="1">
        <f t="shared" si="70"/>
        <v>1</v>
      </c>
      <c r="Q305" s="1">
        <f t="shared" si="71"/>
        <v>0.33333333333333331</v>
      </c>
      <c r="S305" s="1" t="s">
        <v>262</v>
      </c>
      <c r="T305" s="1">
        <f t="shared" si="72"/>
        <v>0</v>
      </c>
      <c r="U305" s="1">
        <f t="shared" si="73"/>
        <v>3.1191850860950845E-2</v>
      </c>
      <c r="V305" s="1">
        <f t="shared" si="74"/>
        <v>6.3148764190579729E-2</v>
      </c>
      <c r="W305" s="1">
        <f t="shared" si="75"/>
        <v>1.3453455879926239E-2</v>
      </c>
      <c r="Y305" s="1" t="s">
        <v>262</v>
      </c>
      <c r="Z305" s="1">
        <f t="shared" si="76"/>
        <v>0</v>
      </c>
      <c r="AA305" s="1">
        <f t="shared" si="77"/>
        <v>6.2383701721901693E-3</v>
      </c>
      <c r="AB305" s="1">
        <f t="shared" si="78"/>
        <v>1.8944629257173919E-2</v>
      </c>
      <c r="AC305" s="1">
        <f t="shared" si="79"/>
        <v>2.6906911759852479E-3</v>
      </c>
      <c r="AK305" s="17" t="s">
        <v>894</v>
      </c>
      <c r="AL305" s="17">
        <f t="shared" si="80"/>
        <v>3.5217856408501683E-2</v>
      </c>
      <c r="AM305" s="17">
        <f t="shared" si="81"/>
        <v>3.0466458980463614E-3</v>
      </c>
      <c r="AO305" s="17" t="s">
        <v>1606</v>
      </c>
      <c r="AP305" s="17">
        <f t="shared" si="82"/>
        <v>8.9555201748449942E-2</v>
      </c>
      <c r="AR305" s="1" t="s">
        <v>262</v>
      </c>
      <c r="AS305" s="17">
        <f t="shared" si="83"/>
        <v>8.9555201748449942E-2</v>
      </c>
      <c r="AT305" s="17">
        <f t="shared" si="84"/>
        <v>705</v>
      </c>
    </row>
    <row r="306" spans="6:46" x14ac:dyDescent="0.3">
      <c r="F306" s="1">
        <v>304</v>
      </c>
      <c r="G306" s="1" t="s">
        <v>263</v>
      </c>
      <c r="H306" s="1">
        <v>1</v>
      </c>
      <c r="I306" s="1">
        <v>39</v>
      </c>
      <c r="J306" s="1">
        <v>2</v>
      </c>
      <c r="K306" s="1">
        <v>3</v>
      </c>
      <c r="M306" s="1" t="s">
        <v>263</v>
      </c>
      <c r="N306" s="1">
        <f t="shared" si="68"/>
        <v>0.14285714285714285</v>
      </c>
      <c r="O306" s="1">
        <f t="shared" si="69"/>
        <v>0.37142857142857144</v>
      </c>
      <c r="P306" s="1">
        <f t="shared" si="70"/>
        <v>0.5</v>
      </c>
      <c r="Q306" s="1">
        <f t="shared" si="71"/>
        <v>1</v>
      </c>
      <c r="S306" s="1" t="s">
        <v>263</v>
      </c>
      <c r="T306" s="1">
        <f t="shared" si="72"/>
        <v>1.4291548761875762E-2</v>
      </c>
      <c r="U306" s="1">
        <f t="shared" si="73"/>
        <v>2.829028333900193E-2</v>
      </c>
      <c r="V306" s="1">
        <f t="shared" si="74"/>
        <v>3.1574382095289864E-2</v>
      </c>
      <c r="W306" s="1">
        <f t="shared" si="75"/>
        <v>4.0360367639778717E-2</v>
      </c>
      <c r="Y306" s="1" t="s">
        <v>263</v>
      </c>
      <c r="Z306" s="1">
        <f t="shared" si="76"/>
        <v>4.2874646285627283E-3</v>
      </c>
      <c r="AA306" s="1">
        <f t="shared" si="77"/>
        <v>5.658056667800386E-3</v>
      </c>
      <c r="AB306" s="1">
        <f t="shared" si="78"/>
        <v>9.4723146285869593E-3</v>
      </c>
      <c r="AC306" s="1">
        <f t="shared" si="79"/>
        <v>8.0720735279557441E-3</v>
      </c>
      <c r="AK306" s="17" t="s">
        <v>895</v>
      </c>
      <c r="AL306" s="17">
        <f t="shared" si="80"/>
        <v>2.8031224526481963E-2</v>
      </c>
      <c r="AM306" s="17">
        <f t="shared" si="81"/>
        <v>1.1964496180709756E-2</v>
      </c>
      <c r="AO306" s="17" t="s">
        <v>1607</v>
      </c>
      <c r="AP306" s="17">
        <f t="shared" si="82"/>
        <v>0.43879194959454576</v>
      </c>
      <c r="AR306" s="1" t="s">
        <v>263</v>
      </c>
      <c r="AS306" s="17">
        <f t="shared" si="83"/>
        <v>0.43879194959454576</v>
      </c>
      <c r="AT306" s="17">
        <f t="shared" si="84"/>
        <v>573</v>
      </c>
    </row>
    <row r="307" spans="6:46" x14ac:dyDescent="0.3">
      <c r="F307" s="1">
        <v>305</v>
      </c>
      <c r="G307" s="1" t="s">
        <v>264</v>
      </c>
      <c r="H307" s="1">
        <v>1</v>
      </c>
      <c r="I307" s="1">
        <v>32</v>
      </c>
      <c r="J307" s="1">
        <v>3</v>
      </c>
      <c r="K307" s="1">
        <v>3</v>
      </c>
      <c r="M307" s="1" t="s">
        <v>264</v>
      </c>
      <c r="N307" s="1">
        <f t="shared" si="68"/>
        <v>0.14285714285714285</v>
      </c>
      <c r="O307" s="1">
        <f t="shared" si="69"/>
        <v>0.30476190476190479</v>
      </c>
      <c r="P307" s="1">
        <f t="shared" si="70"/>
        <v>0.33333333333333331</v>
      </c>
      <c r="Q307" s="1">
        <f t="shared" si="71"/>
        <v>1</v>
      </c>
      <c r="S307" s="1" t="s">
        <v>264</v>
      </c>
      <c r="T307" s="1">
        <f t="shared" si="72"/>
        <v>1.4291548761875762E-2</v>
      </c>
      <c r="U307" s="1">
        <f t="shared" si="73"/>
        <v>2.321254017559133E-2</v>
      </c>
      <c r="V307" s="1">
        <f t="shared" si="74"/>
        <v>2.1049588063526574E-2</v>
      </c>
      <c r="W307" s="1">
        <f t="shared" si="75"/>
        <v>4.0360367639778717E-2</v>
      </c>
      <c r="Y307" s="1" t="s">
        <v>264</v>
      </c>
      <c r="Z307" s="1">
        <f t="shared" si="76"/>
        <v>4.2874646285627283E-3</v>
      </c>
      <c r="AA307" s="1">
        <f t="shared" si="77"/>
        <v>4.642508035118266E-3</v>
      </c>
      <c r="AB307" s="1">
        <f t="shared" si="78"/>
        <v>6.314876419057972E-3</v>
      </c>
      <c r="AC307" s="1">
        <f t="shared" si="79"/>
        <v>8.0720735279557441E-3</v>
      </c>
      <c r="AK307" s="17" t="s">
        <v>896</v>
      </c>
      <c r="AL307" s="17">
        <f t="shared" si="80"/>
        <v>2.7934002811846239E-2</v>
      </c>
      <c r="AM307" s="17">
        <f t="shared" si="81"/>
        <v>1.4455347081003661E-2</v>
      </c>
      <c r="AO307" s="17" t="s">
        <v>1608</v>
      </c>
      <c r="AP307" s="17">
        <f t="shared" si="82"/>
        <v>0.53193747015408666</v>
      </c>
      <c r="AR307" s="1" t="s">
        <v>264</v>
      </c>
      <c r="AS307" s="17">
        <f t="shared" si="83"/>
        <v>0.53193747015408666</v>
      </c>
      <c r="AT307" s="17">
        <f t="shared" si="84"/>
        <v>517</v>
      </c>
    </row>
    <row r="308" spans="6:46" x14ac:dyDescent="0.3">
      <c r="F308" s="1">
        <v>306</v>
      </c>
      <c r="G308" s="1" t="s">
        <v>265</v>
      </c>
      <c r="H308" s="1">
        <v>1</v>
      </c>
      <c r="I308" s="1">
        <v>70</v>
      </c>
      <c r="J308" s="1">
        <v>1</v>
      </c>
      <c r="K308" s="1">
        <v>2</v>
      </c>
      <c r="M308" s="1" t="s">
        <v>265</v>
      </c>
      <c r="N308" s="1">
        <f t="shared" si="68"/>
        <v>0.14285714285714285</v>
      </c>
      <c r="O308" s="1">
        <f t="shared" si="69"/>
        <v>0.66666666666666663</v>
      </c>
      <c r="P308" s="1">
        <f t="shared" si="70"/>
        <v>1</v>
      </c>
      <c r="Q308" s="1">
        <f t="shared" si="71"/>
        <v>0.66666666666666663</v>
      </c>
      <c r="S308" s="1" t="s">
        <v>265</v>
      </c>
      <c r="T308" s="1">
        <f t="shared" si="72"/>
        <v>1.4291548761875762E-2</v>
      </c>
      <c r="U308" s="1">
        <f t="shared" si="73"/>
        <v>5.0777431634106023E-2</v>
      </c>
      <c r="V308" s="1">
        <f t="shared" si="74"/>
        <v>6.3148764190579729E-2</v>
      </c>
      <c r="W308" s="1">
        <f t="shared" si="75"/>
        <v>2.6906911759852478E-2</v>
      </c>
      <c r="Y308" s="1" t="s">
        <v>265</v>
      </c>
      <c r="Z308" s="1">
        <f t="shared" si="76"/>
        <v>4.2874646285627283E-3</v>
      </c>
      <c r="AA308" s="1">
        <f t="shared" si="77"/>
        <v>1.0155486326821206E-2</v>
      </c>
      <c r="AB308" s="1">
        <f t="shared" si="78"/>
        <v>1.8944629257173919E-2</v>
      </c>
      <c r="AC308" s="1">
        <f t="shared" si="79"/>
        <v>5.3813823519704958E-3</v>
      </c>
      <c r="AK308" s="17" t="s">
        <v>897</v>
      </c>
      <c r="AL308" s="17">
        <f t="shared" si="80"/>
        <v>3.0405317729686302E-2</v>
      </c>
      <c r="AM308" s="17">
        <f t="shared" si="81"/>
        <v>8.6090739265040073E-3</v>
      </c>
      <c r="AO308" s="17" t="s">
        <v>1609</v>
      </c>
      <c r="AP308" s="17">
        <f t="shared" si="82"/>
        <v>0.29175276619249596</v>
      </c>
      <c r="AR308" s="1" t="s">
        <v>265</v>
      </c>
      <c r="AS308" s="17">
        <f t="shared" si="83"/>
        <v>0.29175276619249596</v>
      </c>
      <c r="AT308" s="17">
        <f t="shared" si="84"/>
        <v>650</v>
      </c>
    </row>
    <row r="309" spans="6:46" x14ac:dyDescent="0.3">
      <c r="F309" s="1">
        <v>307</v>
      </c>
      <c r="G309" s="1" t="s">
        <v>266</v>
      </c>
      <c r="H309" s="1">
        <v>4</v>
      </c>
      <c r="I309" s="1">
        <v>42</v>
      </c>
      <c r="J309" s="1">
        <v>2</v>
      </c>
      <c r="K309" s="1">
        <v>3</v>
      </c>
      <c r="M309" s="1" t="s">
        <v>266</v>
      </c>
      <c r="N309" s="1">
        <f t="shared" si="68"/>
        <v>0.5714285714285714</v>
      </c>
      <c r="O309" s="1">
        <f t="shared" si="69"/>
        <v>0.4</v>
      </c>
      <c r="P309" s="1">
        <f t="shared" si="70"/>
        <v>0.5</v>
      </c>
      <c r="Q309" s="1">
        <f t="shared" si="71"/>
        <v>1</v>
      </c>
      <c r="S309" s="1" t="s">
        <v>266</v>
      </c>
      <c r="T309" s="1">
        <f t="shared" si="72"/>
        <v>5.7166195047503046E-2</v>
      </c>
      <c r="U309" s="1">
        <f t="shared" si="73"/>
        <v>3.0466458980463618E-2</v>
      </c>
      <c r="V309" s="1">
        <f t="shared" si="74"/>
        <v>3.1574382095289864E-2</v>
      </c>
      <c r="W309" s="1">
        <f t="shared" si="75"/>
        <v>4.0360367639778717E-2</v>
      </c>
      <c r="Y309" s="1" t="s">
        <v>266</v>
      </c>
      <c r="Z309" s="1">
        <f t="shared" si="76"/>
        <v>1.7149858514250913E-2</v>
      </c>
      <c r="AA309" s="1">
        <f t="shared" si="77"/>
        <v>6.0932917960927237E-3</v>
      </c>
      <c r="AB309" s="1">
        <f t="shared" si="78"/>
        <v>9.4723146285869593E-3</v>
      </c>
      <c r="AC309" s="1">
        <f t="shared" si="79"/>
        <v>8.0720735279557441E-3</v>
      </c>
      <c r="AK309" s="17" t="s">
        <v>898</v>
      </c>
      <c r="AL309" s="17">
        <f t="shared" si="80"/>
        <v>1.6771420497846704E-2</v>
      </c>
      <c r="AM309" s="17">
        <f t="shared" si="81"/>
        <v>2.0523663454273835E-2</v>
      </c>
      <c r="AO309" s="17" t="s">
        <v>1610</v>
      </c>
      <c r="AP309" s="17">
        <f t="shared" si="82"/>
        <v>1.2442520564612278</v>
      </c>
      <c r="AR309" s="1" t="s">
        <v>266</v>
      </c>
      <c r="AS309" s="17">
        <f t="shared" si="83"/>
        <v>1.2442520564612278</v>
      </c>
      <c r="AT309" s="17">
        <f t="shared" si="84"/>
        <v>78</v>
      </c>
    </row>
    <row r="310" spans="6:46" x14ac:dyDescent="0.3">
      <c r="F310" s="1">
        <v>308</v>
      </c>
      <c r="G310" s="1" t="s">
        <v>267</v>
      </c>
      <c r="H310" s="1">
        <v>2</v>
      </c>
      <c r="I310" s="1">
        <v>73</v>
      </c>
      <c r="J310" s="1">
        <v>1</v>
      </c>
      <c r="K310" s="1">
        <v>2</v>
      </c>
      <c r="M310" s="1" t="s">
        <v>267</v>
      </c>
      <c r="N310" s="1">
        <f t="shared" si="68"/>
        <v>0.2857142857142857</v>
      </c>
      <c r="O310" s="1">
        <f t="shared" si="69"/>
        <v>0.69523809523809521</v>
      </c>
      <c r="P310" s="1">
        <f t="shared" si="70"/>
        <v>1</v>
      </c>
      <c r="Q310" s="1">
        <f t="shared" si="71"/>
        <v>0.66666666666666663</v>
      </c>
      <c r="S310" s="1" t="s">
        <v>267</v>
      </c>
      <c r="T310" s="1">
        <f t="shared" si="72"/>
        <v>2.8583097523751523E-2</v>
      </c>
      <c r="U310" s="1">
        <f t="shared" si="73"/>
        <v>5.2953607275567714E-2</v>
      </c>
      <c r="V310" s="1">
        <f t="shared" si="74"/>
        <v>6.3148764190579729E-2</v>
      </c>
      <c r="W310" s="1">
        <f t="shared" si="75"/>
        <v>2.6906911759852478E-2</v>
      </c>
      <c r="Y310" s="1" t="s">
        <v>267</v>
      </c>
      <c r="Z310" s="1">
        <f t="shared" si="76"/>
        <v>8.5749292571254566E-3</v>
      </c>
      <c r="AA310" s="1">
        <f t="shared" si="77"/>
        <v>1.0590721455113543E-2</v>
      </c>
      <c r="AB310" s="1">
        <f t="shared" si="78"/>
        <v>1.8944629257173919E-2</v>
      </c>
      <c r="AC310" s="1">
        <f t="shared" si="79"/>
        <v>5.3813823519704958E-3</v>
      </c>
      <c r="AK310" s="17" t="s">
        <v>899</v>
      </c>
      <c r="AL310" s="17">
        <f t="shared" si="80"/>
        <v>2.6796396569554064E-2</v>
      </c>
      <c r="AM310" s="17">
        <f t="shared" si="81"/>
        <v>1.1641064816125245E-2</v>
      </c>
      <c r="AO310" s="17" t="s">
        <v>1611</v>
      </c>
      <c r="AP310" s="17">
        <f t="shared" si="82"/>
        <v>0.44606756637610617</v>
      </c>
      <c r="AR310" s="1" t="s">
        <v>267</v>
      </c>
      <c r="AS310" s="17">
        <f t="shared" si="83"/>
        <v>0.44606756637610617</v>
      </c>
      <c r="AT310" s="17">
        <f t="shared" si="84"/>
        <v>569</v>
      </c>
    </row>
    <row r="311" spans="6:46" x14ac:dyDescent="0.3">
      <c r="F311" s="1">
        <v>309</v>
      </c>
      <c r="G311" s="1" t="s">
        <v>268</v>
      </c>
      <c r="H311" s="1">
        <v>3</v>
      </c>
      <c r="I311" s="1">
        <v>45</v>
      </c>
      <c r="J311" s="1">
        <v>2</v>
      </c>
      <c r="K311" s="1">
        <v>3</v>
      </c>
      <c r="M311" s="1" t="s">
        <v>268</v>
      </c>
      <c r="N311" s="1">
        <f t="shared" si="68"/>
        <v>0.42857142857142855</v>
      </c>
      <c r="O311" s="1">
        <f t="shared" si="69"/>
        <v>0.42857142857142855</v>
      </c>
      <c r="P311" s="1">
        <f t="shared" si="70"/>
        <v>0.5</v>
      </c>
      <c r="Q311" s="1">
        <f t="shared" si="71"/>
        <v>1</v>
      </c>
      <c r="S311" s="1" t="s">
        <v>268</v>
      </c>
      <c r="T311" s="1">
        <f t="shared" si="72"/>
        <v>4.2874646285627281E-2</v>
      </c>
      <c r="U311" s="1">
        <f t="shared" si="73"/>
        <v>3.26426346219253E-2</v>
      </c>
      <c r="V311" s="1">
        <f t="shared" si="74"/>
        <v>3.1574382095289864E-2</v>
      </c>
      <c r="W311" s="1">
        <f t="shared" si="75"/>
        <v>4.0360367639778717E-2</v>
      </c>
      <c r="Y311" s="1" t="s">
        <v>268</v>
      </c>
      <c r="Z311" s="1">
        <f t="shared" si="76"/>
        <v>1.2862393885688184E-2</v>
      </c>
      <c r="AA311" s="1">
        <f t="shared" si="77"/>
        <v>6.5285269243850605E-3</v>
      </c>
      <c r="AB311" s="1">
        <f t="shared" si="78"/>
        <v>9.4723146285869593E-3</v>
      </c>
      <c r="AC311" s="1">
        <f t="shared" si="79"/>
        <v>8.0720735279557441E-3</v>
      </c>
      <c r="AK311" s="17" t="s">
        <v>900</v>
      </c>
      <c r="AL311" s="17">
        <f t="shared" si="80"/>
        <v>2.0054685283268418E-2</v>
      </c>
      <c r="AM311" s="17">
        <f t="shared" si="81"/>
        <v>1.7183115225077431E-2</v>
      </c>
      <c r="AO311" s="17" t="s">
        <v>1612</v>
      </c>
      <c r="AP311" s="17">
        <f t="shared" si="82"/>
        <v>0.87399612337600907</v>
      </c>
      <c r="AR311" s="1" t="s">
        <v>268</v>
      </c>
      <c r="AS311" s="17">
        <f t="shared" si="83"/>
        <v>0.87399612337600907</v>
      </c>
      <c r="AT311" s="17">
        <f t="shared" si="84"/>
        <v>210</v>
      </c>
    </row>
    <row r="312" spans="6:46" x14ac:dyDescent="0.3">
      <c r="F312" s="1">
        <v>310</v>
      </c>
      <c r="G312" s="1" t="s">
        <v>269</v>
      </c>
      <c r="H312" s="1">
        <v>2</v>
      </c>
      <c r="I312" s="1">
        <v>37</v>
      </c>
      <c r="J312" s="1">
        <v>3</v>
      </c>
      <c r="K312" s="1">
        <v>3</v>
      </c>
      <c r="M312" s="1" t="s">
        <v>269</v>
      </c>
      <c r="N312" s="1">
        <f t="shared" si="68"/>
        <v>0.2857142857142857</v>
      </c>
      <c r="O312" s="1">
        <f t="shared" si="69"/>
        <v>0.35238095238095241</v>
      </c>
      <c r="P312" s="1">
        <f t="shared" si="70"/>
        <v>0.33333333333333331</v>
      </c>
      <c r="Q312" s="1">
        <f t="shared" si="71"/>
        <v>1</v>
      </c>
      <c r="S312" s="1" t="s">
        <v>269</v>
      </c>
      <c r="T312" s="1">
        <f t="shared" si="72"/>
        <v>2.8583097523751523E-2</v>
      </c>
      <c r="U312" s="1">
        <f t="shared" si="73"/>
        <v>2.6839499578027472E-2</v>
      </c>
      <c r="V312" s="1">
        <f t="shared" si="74"/>
        <v>2.1049588063526574E-2</v>
      </c>
      <c r="W312" s="1">
        <f t="shared" si="75"/>
        <v>4.0360367639778717E-2</v>
      </c>
      <c r="Y312" s="1" t="s">
        <v>269</v>
      </c>
      <c r="Z312" s="1">
        <f t="shared" si="76"/>
        <v>8.5749292571254566E-3</v>
      </c>
      <c r="AA312" s="1">
        <f t="shared" si="77"/>
        <v>5.3678999156054948E-3</v>
      </c>
      <c r="AB312" s="1">
        <f t="shared" si="78"/>
        <v>6.314876419057972E-3</v>
      </c>
      <c r="AC312" s="1">
        <f t="shared" si="79"/>
        <v>8.0720735279557441E-3</v>
      </c>
      <c r="AK312" s="17" t="s">
        <v>901</v>
      </c>
      <c r="AL312" s="17">
        <f t="shared" si="80"/>
        <v>2.3733183044326062E-2</v>
      </c>
      <c r="AM312" s="17">
        <f t="shared" si="81"/>
        <v>1.6332026357962891E-2</v>
      </c>
      <c r="AO312" s="17" t="s">
        <v>1613</v>
      </c>
      <c r="AP312" s="17">
        <f t="shared" si="82"/>
        <v>0.70448356201417239</v>
      </c>
      <c r="AR312" s="1" t="s">
        <v>269</v>
      </c>
      <c r="AS312" s="17">
        <f t="shared" si="83"/>
        <v>0.70448356201417239</v>
      </c>
      <c r="AT312" s="17">
        <f t="shared" si="84"/>
        <v>341</v>
      </c>
    </row>
    <row r="313" spans="6:46" x14ac:dyDescent="0.3">
      <c r="F313" s="1">
        <v>311</v>
      </c>
      <c r="G313" s="1" t="s">
        <v>270</v>
      </c>
      <c r="H313" s="1">
        <v>2</v>
      </c>
      <c r="I313" s="1">
        <v>65</v>
      </c>
      <c r="J313" s="1">
        <v>4</v>
      </c>
      <c r="K313" s="1">
        <v>3</v>
      </c>
      <c r="M313" s="1" t="s">
        <v>270</v>
      </c>
      <c r="N313" s="1">
        <f t="shared" si="68"/>
        <v>0.2857142857142857</v>
      </c>
      <c r="O313" s="1">
        <f t="shared" si="69"/>
        <v>0.61904761904761907</v>
      </c>
      <c r="P313" s="1">
        <f t="shared" si="70"/>
        <v>0.25</v>
      </c>
      <c r="Q313" s="1">
        <f t="shared" si="71"/>
        <v>1</v>
      </c>
      <c r="S313" s="1" t="s">
        <v>270</v>
      </c>
      <c r="T313" s="1">
        <f t="shared" si="72"/>
        <v>2.8583097523751523E-2</v>
      </c>
      <c r="U313" s="1">
        <f t="shared" si="73"/>
        <v>4.7150472231669883E-2</v>
      </c>
      <c r="V313" s="1">
        <f t="shared" si="74"/>
        <v>1.5787191047644932E-2</v>
      </c>
      <c r="W313" s="1">
        <f t="shared" si="75"/>
        <v>4.0360367639778717E-2</v>
      </c>
      <c r="Y313" s="1" t="s">
        <v>270</v>
      </c>
      <c r="Z313" s="1">
        <f t="shared" si="76"/>
        <v>8.5749292571254566E-3</v>
      </c>
      <c r="AA313" s="1">
        <f t="shared" si="77"/>
        <v>9.4300944463339767E-3</v>
      </c>
      <c r="AB313" s="1">
        <f t="shared" si="78"/>
        <v>4.7361573142934797E-3</v>
      </c>
      <c r="AC313" s="1">
        <f t="shared" si="79"/>
        <v>8.0720735279557441E-3</v>
      </c>
      <c r="AK313" s="17" t="s">
        <v>902</v>
      </c>
      <c r="AL313" s="17">
        <f t="shared" si="80"/>
        <v>2.222909011433797E-2</v>
      </c>
      <c r="AM313" s="17">
        <f t="shared" si="81"/>
        <v>1.852799571296632E-2</v>
      </c>
      <c r="AO313" s="17" t="s">
        <v>1614</v>
      </c>
      <c r="AP313" s="17">
        <f t="shared" si="82"/>
        <v>0.85203020465023593</v>
      </c>
      <c r="AR313" s="1" t="s">
        <v>270</v>
      </c>
      <c r="AS313" s="17">
        <f t="shared" si="83"/>
        <v>0.85203020465023593</v>
      </c>
      <c r="AT313" s="17">
        <f t="shared" si="84"/>
        <v>256</v>
      </c>
    </row>
    <row r="314" spans="6:46" x14ac:dyDescent="0.3">
      <c r="F314" s="1">
        <v>312</v>
      </c>
      <c r="G314" s="1" t="s">
        <v>125</v>
      </c>
      <c r="H314" s="1">
        <v>4</v>
      </c>
      <c r="I314" s="1">
        <v>43</v>
      </c>
      <c r="J314" s="1">
        <v>5</v>
      </c>
      <c r="K314" s="1">
        <v>3</v>
      </c>
      <c r="M314" s="1" t="s">
        <v>125</v>
      </c>
      <c r="N314" s="1">
        <f t="shared" si="68"/>
        <v>0.5714285714285714</v>
      </c>
      <c r="O314" s="1">
        <f t="shared" si="69"/>
        <v>0.40952380952380951</v>
      </c>
      <c r="P314" s="1">
        <f t="shared" si="70"/>
        <v>0.2</v>
      </c>
      <c r="Q314" s="1">
        <f t="shared" si="71"/>
        <v>1</v>
      </c>
      <c r="S314" s="1" t="s">
        <v>125</v>
      </c>
      <c r="T314" s="1">
        <f t="shared" si="72"/>
        <v>5.7166195047503046E-2</v>
      </c>
      <c r="U314" s="1">
        <f t="shared" si="73"/>
        <v>3.1191850860950845E-2</v>
      </c>
      <c r="V314" s="1">
        <f t="shared" si="74"/>
        <v>1.2629752838115946E-2</v>
      </c>
      <c r="W314" s="1">
        <f t="shared" si="75"/>
        <v>4.0360367639778717E-2</v>
      </c>
      <c r="Y314" s="1" t="s">
        <v>125</v>
      </c>
      <c r="Z314" s="1">
        <f t="shared" si="76"/>
        <v>1.7149858514250913E-2</v>
      </c>
      <c r="AA314" s="1">
        <f t="shared" si="77"/>
        <v>6.2383701721901693E-3</v>
      </c>
      <c r="AB314" s="1">
        <f t="shared" si="78"/>
        <v>3.7889258514347836E-3</v>
      </c>
      <c r="AC314" s="1">
        <f t="shared" si="79"/>
        <v>8.0720735279557441E-3</v>
      </c>
      <c r="AK314" s="17" t="s">
        <v>903</v>
      </c>
      <c r="AL314" s="17">
        <f t="shared" si="80"/>
        <v>1.569549841903561E-2</v>
      </c>
      <c r="AM314" s="17">
        <f t="shared" si="81"/>
        <v>2.3707684830614303E-2</v>
      </c>
      <c r="AO314" s="17" t="s">
        <v>1615</v>
      </c>
      <c r="AP314" s="17">
        <f t="shared" si="82"/>
        <v>1.5341843959022077</v>
      </c>
      <c r="AR314" s="1" t="s">
        <v>125</v>
      </c>
      <c r="AS314" s="17">
        <f t="shared" si="83"/>
        <v>1.5341843959022077</v>
      </c>
      <c r="AT314" s="17">
        <f t="shared" si="84"/>
        <v>38</v>
      </c>
    </row>
    <row r="315" spans="6:46" x14ac:dyDescent="0.3">
      <c r="F315" s="1">
        <v>313</v>
      </c>
      <c r="G315" s="1" t="s">
        <v>125</v>
      </c>
      <c r="H315" s="1">
        <v>1</v>
      </c>
      <c r="I315" s="1">
        <v>46</v>
      </c>
      <c r="J315" s="1">
        <v>2</v>
      </c>
      <c r="K315" s="1">
        <v>2</v>
      </c>
      <c r="M315" s="1" t="s">
        <v>125</v>
      </c>
      <c r="N315" s="1">
        <f t="shared" si="68"/>
        <v>0.14285714285714285</v>
      </c>
      <c r="O315" s="1">
        <f t="shared" si="69"/>
        <v>0.43809523809523809</v>
      </c>
      <c r="P315" s="1">
        <f t="shared" si="70"/>
        <v>0.5</v>
      </c>
      <c r="Q315" s="1">
        <f t="shared" si="71"/>
        <v>0.66666666666666663</v>
      </c>
      <c r="S315" s="1" t="s">
        <v>125</v>
      </c>
      <c r="T315" s="1">
        <f t="shared" si="72"/>
        <v>1.4291548761875762E-2</v>
      </c>
      <c r="U315" s="1">
        <f t="shared" si="73"/>
        <v>3.336802650241253E-2</v>
      </c>
      <c r="V315" s="1">
        <f t="shared" si="74"/>
        <v>3.1574382095289864E-2</v>
      </c>
      <c r="W315" s="1">
        <f t="shared" si="75"/>
        <v>2.6906911759852478E-2</v>
      </c>
      <c r="Y315" s="1" t="s">
        <v>125</v>
      </c>
      <c r="Z315" s="1">
        <f t="shared" si="76"/>
        <v>4.2874646285627283E-3</v>
      </c>
      <c r="AA315" s="1">
        <f t="shared" si="77"/>
        <v>6.6736053004825061E-3</v>
      </c>
      <c r="AB315" s="1">
        <f t="shared" si="78"/>
        <v>9.4723146285869593E-3</v>
      </c>
      <c r="AC315" s="1">
        <f t="shared" si="79"/>
        <v>5.3813823519704958E-3</v>
      </c>
      <c r="AK315" s="17" t="s">
        <v>904</v>
      </c>
      <c r="AL315" s="17">
        <f t="shared" si="80"/>
        <v>2.7831144409615656E-2</v>
      </c>
      <c r="AM315" s="17">
        <f t="shared" si="81"/>
        <v>1.1290279529321733E-2</v>
      </c>
      <c r="AO315" s="17" t="s">
        <v>1616</v>
      </c>
      <c r="AP315" s="17">
        <f t="shared" si="82"/>
        <v>0.41696096856577192</v>
      </c>
      <c r="AR315" s="1" t="s">
        <v>125</v>
      </c>
      <c r="AS315" s="17">
        <f t="shared" si="83"/>
        <v>0.41696096856577192</v>
      </c>
      <c r="AT315" s="17">
        <f t="shared" si="84"/>
        <v>585</v>
      </c>
    </row>
    <row r="316" spans="6:46" x14ac:dyDescent="0.3">
      <c r="F316" s="1">
        <v>314</v>
      </c>
      <c r="G316" s="1" t="s">
        <v>125</v>
      </c>
      <c r="H316" s="1">
        <v>2</v>
      </c>
      <c r="I316" s="1">
        <v>65</v>
      </c>
      <c r="J316" s="1">
        <v>2</v>
      </c>
      <c r="K316" s="1">
        <v>3</v>
      </c>
      <c r="M316" s="1" t="s">
        <v>125</v>
      </c>
      <c r="N316" s="1">
        <f t="shared" si="68"/>
        <v>0.2857142857142857</v>
      </c>
      <c r="O316" s="1">
        <f t="shared" si="69"/>
        <v>0.61904761904761907</v>
      </c>
      <c r="P316" s="1">
        <f t="shared" si="70"/>
        <v>0.5</v>
      </c>
      <c r="Q316" s="1">
        <f t="shared" si="71"/>
        <v>1</v>
      </c>
      <c r="S316" s="1" t="s">
        <v>125</v>
      </c>
      <c r="T316" s="1">
        <f t="shared" si="72"/>
        <v>2.8583097523751523E-2</v>
      </c>
      <c r="U316" s="1">
        <f t="shared" si="73"/>
        <v>4.7150472231669883E-2</v>
      </c>
      <c r="V316" s="1">
        <f t="shared" si="74"/>
        <v>3.1574382095289864E-2</v>
      </c>
      <c r="W316" s="1">
        <f t="shared" si="75"/>
        <v>4.0360367639778717E-2</v>
      </c>
      <c r="Y316" s="1" t="s">
        <v>125</v>
      </c>
      <c r="Z316" s="1">
        <f t="shared" si="76"/>
        <v>8.5749292571254566E-3</v>
      </c>
      <c r="AA316" s="1">
        <f t="shared" si="77"/>
        <v>9.4300944463339767E-3</v>
      </c>
      <c r="AB316" s="1">
        <f t="shared" si="78"/>
        <v>9.4723146285869593E-3</v>
      </c>
      <c r="AC316" s="1">
        <f t="shared" si="79"/>
        <v>8.0720735279557441E-3</v>
      </c>
      <c r="AK316" s="17" t="s">
        <v>905</v>
      </c>
      <c r="AL316" s="17">
        <f t="shared" si="80"/>
        <v>2.2924574322315951E-2</v>
      </c>
      <c r="AM316" s="17">
        <f t="shared" si="81"/>
        <v>1.5202983082639412E-2</v>
      </c>
      <c r="AO316" s="17" t="s">
        <v>1617</v>
      </c>
      <c r="AP316" s="17">
        <f t="shared" si="82"/>
        <v>0.67837704550525346</v>
      </c>
      <c r="AR316" s="1" t="s">
        <v>125</v>
      </c>
      <c r="AS316" s="17">
        <f t="shared" si="83"/>
        <v>0.67837704550525346</v>
      </c>
      <c r="AT316" s="17">
        <f t="shared" si="84"/>
        <v>361</v>
      </c>
    </row>
    <row r="317" spans="6:46" x14ac:dyDescent="0.3">
      <c r="F317" s="1">
        <v>315</v>
      </c>
      <c r="G317" s="1" t="s">
        <v>271</v>
      </c>
      <c r="H317" s="1">
        <v>5</v>
      </c>
      <c r="I317" s="1">
        <v>49</v>
      </c>
      <c r="J317" s="1">
        <v>2</v>
      </c>
      <c r="K317" s="1">
        <v>3</v>
      </c>
      <c r="M317" s="1" t="s">
        <v>271</v>
      </c>
      <c r="N317" s="1">
        <f t="shared" si="68"/>
        <v>0.7142857142857143</v>
      </c>
      <c r="O317" s="1">
        <f t="shared" si="69"/>
        <v>0.46666666666666667</v>
      </c>
      <c r="P317" s="1">
        <f t="shared" si="70"/>
        <v>0.5</v>
      </c>
      <c r="Q317" s="1">
        <f t="shared" si="71"/>
        <v>1</v>
      </c>
      <c r="S317" s="1" t="s">
        <v>271</v>
      </c>
      <c r="T317" s="1">
        <f t="shared" si="72"/>
        <v>7.1457743809378804E-2</v>
      </c>
      <c r="U317" s="1">
        <f t="shared" si="73"/>
        <v>3.5544202143874222E-2</v>
      </c>
      <c r="V317" s="1">
        <f t="shared" si="74"/>
        <v>3.1574382095289864E-2</v>
      </c>
      <c r="W317" s="1">
        <f t="shared" si="75"/>
        <v>4.0360367639778717E-2</v>
      </c>
      <c r="Y317" s="1" t="s">
        <v>271</v>
      </c>
      <c r="Z317" s="1">
        <f t="shared" si="76"/>
        <v>2.1437323142813641E-2</v>
      </c>
      <c r="AA317" s="1">
        <f t="shared" si="77"/>
        <v>7.1088404287748446E-3</v>
      </c>
      <c r="AB317" s="1">
        <f t="shared" si="78"/>
        <v>9.4723146285869593E-3</v>
      </c>
      <c r="AC317" s="1">
        <f t="shared" si="79"/>
        <v>8.0720735279557441E-3</v>
      </c>
      <c r="AK317" s="17" t="s">
        <v>906</v>
      </c>
      <c r="AL317" s="17">
        <f t="shared" si="80"/>
        <v>1.3108623778981799E-2</v>
      </c>
      <c r="AM317" s="17">
        <f t="shared" si="81"/>
        <v>2.4363633615274358E-2</v>
      </c>
      <c r="AO317" s="17" t="s">
        <v>1618</v>
      </c>
      <c r="AP317" s="17">
        <f t="shared" si="82"/>
        <v>1.8829594729694177</v>
      </c>
      <c r="AR317" s="1" t="s">
        <v>271</v>
      </c>
      <c r="AS317" s="17">
        <f t="shared" si="83"/>
        <v>1.8829594729694177</v>
      </c>
      <c r="AT317" s="17">
        <f t="shared" si="84"/>
        <v>18</v>
      </c>
    </row>
    <row r="318" spans="6:46" x14ac:dyDescent="0.3">
      <c r="F318" s="1">
        <v>316</v>
      </c>
      <c r="G318" s="1" t="s">
        <v>272</v>
      </c>
      <c r="H318" s="1">
        <v>1</v>
      </c>
      <c r="I318" s="1">
        <v>67</v>
      </c>
      <c r="J318" s="1">
        <v>2</v>
      </c>
      <c r="K318" s="1">
        <v>3</v>
      </c>
      <c r="M318" s="1" t="s">
        <v>272</v>
      </c>
      <c r="N318" s="1">
        <f t="shared" si="68"/>
        <v>0.14285714285714285</v>
      </c>
      <c r="O318" s="1">
        <f t="shared" si="69"/>
        <v>0.63809523809523805</v>
      </c>
      <c r="P318" s="1">
        <f t="shared" si="70"/>
        <v>0.5</v>
      </c>
      <c r="Q318" s="1">
        <f t="shared" si="71"/>
        <v>1</v>
      </c>
      <c r="S318" s="1" t="s">
        <v>272</v>
      </c>
      <c r="T318" s="1">
        <f t="shared" si="72"/>
        <v>1.4291548761875762E-2</v>
      </c>
      <c r="U318" s="1">
        <f t="shared" si="73"/>
        <v>4.8601255992644338E-2</v>
      </c>
      <c r="V318" s="1">
        <f t="shared" si="74"/>
        <v>3.1574382095289864E-2</v>
      </c>
      <c r="W318" s="1">
        <f t="shared" si="75"/>
        <v>4.0360367639778717E-2</v>
      </c>
      <c r="Y318" s="1" t="s">
        <v>272</v>
      </c>
      <c r="Z318" s="1">
        <f t="shared" si="76"/>
        <v>4.2874646285627283E-3</v>
      </c>
      <c r="AA318" s="1">
        <f t="shared" si="77"/>
        <v>9.7202511985288679E-3</v>
      </c>
      <c r="AB318" s="1">
        <f t="shared" si="78"/>
        <v>9.4723146285869593E-3</v>
      </c>
      <c r="AC318" s="1">
        <f t="shared" si="79"/>
        <v>8.0720735279557441E-3</v>
      </c>
      <c r="AK318" s="17" t="s">
        <v>907</v>
      </c>
      <c r="AL318" s="17">
        <f t="shared" si="80"/>
        <v>2.6915767563259318E-2</v>
      </c>
      <c r="AM318" s="17">
        <f t="shared" si="81"/>
        <v>1.3404776655529893E-2</v>
      </c>
      <c r="AO318" s="17" t="s">
        <v>1619</v>
      </c>
      <c r="AP318" s="17">
        <f t="shared" si="82"/>
        <v>0.51143169058339943</v>
      </c>
      <c r="AR318" s="1" t="s">
        <v>272</v>
      </c>
      <c r="AS318" s="17">
        <f t="shared" si="83"/>
        <v>0.51143169058339943</v>
      </c>
      <c r="AT318" s="17">
        <f t="shared" si="84"/>
        <v>524</v>
      </c>
    </row>
    <row r="319" spans="6:46" x14ac:dyDescent="0.3">
      <c r="F319" s="1">
        <v>317</v>
      </c>
      <c r="G319" s="1" t="s">
        <v>273</v>
      </c>
      <c r="H319" s="1">
        <v>1</v>
      </c>
      <c r="I319" s="1">
        <v>71</v>
      </c>
      <c r="J319" s="1">
        <v>1</v>
      </c>
      <c r="K319" s="1">
        <v>3</v>
      </c>
      <c r="M319" s="1" t="s">
        <v>273</v>
      </c>
      <c r="N319" s="1">
        <f t="shared" si="68"/>
        <v>0.14285714285714285</v>
      </c>
      <c r="O319" s="1">
        <f t="shared" si="69"/>
        <v>0.67619047619047623</v>
      </c>
      <c r="P319" s="1">
        <f t="shared" si="70"/>
        <v>1</v>
      </c>
      <c r="Q319" s="1">
        <f t="shared" si="71"/>
        <v>1</v>
      </c>
      <c r="S319" s="1" t="s">
        <v>273</v>
      </c>
      <c r="T319" s="1">
        <f t="shared" si="72"/>
        <v>1.4291548761875762E-2</v>
      </c>
      <c r="U319" s="1">
        <f t="shared" si="73"/>
        <v>5.150282351459326E-2</v>
      </c>
      <c r="V319" s="1">
        <f t="shared" si="74"/>
        <v>6.3148764190579729E-2</v>
      </c>
      <c r="W319" s="1">
        <f t="shared" si="75"/>
        <v>4.0360367639778717E-2</v>
      </c>
      <c r="Y319" s="1" t="s">
        <v>273</v>
      </c>
      <c r="Z319" s="1">
        <f t="shared" si="76"/>
        <v>4.2874646285627283E-3</v>
      </c>
      <c r="AA319" s="1">
        <f t="shared" si="77"/>
        <v>1.0300564702918652E-2</v>
      </c>
      <c r="AB319" s="1">
        <f t="shared" si="78"/>
        <v>1.8944629257173919E-2</v>
      </c>
      <c r="AC319" s="1">
        <f t="shared" si="79"/>
        <v>8.0720735279557441E-3</v>
      </c>
      <c r="AK319" s="17" t="s">
        <v>908</v>
      </c>
      <c r="AL319" s="17">
        <f t="shared" si="80"/>
        <v>3.0262042784800356E-2</v>
      </c>
      <c r="AM319" s="17">
        <f t="shared" si="81"/>
        <v>9.8932927380655095E-3</v>
      </c>
      <c r="AO319" s="17" t="s">
        <v>1620</v>
      </c>
      <c r="AP319" s="17">
        <f t="shared" si="82"/>
        <v>0.33681414234556756</v>
      </c>
      <c r="AR319" s="1" t="s">
        <v>273</v>
      </c>
      <c r="AS319" s="17">
        <f t="shared" si="83"/>
        <v>0.33681414234556756</v>
      </c>
      <c r="AT319" s="17">
        <f t="shared" si="84"/>
        <v>635</v>
      </c>
    </row>
    <row r="320" spans="6:46" x14ac:dyDescent="0.3">
      <c r="F320" s="1">
        <v>318</v>
      </c>
      <c r="G320" s="1" t="s">
        <v>274</v>
      </c>
      <c r="H320" s="1">
        <v>0</v>
      </c>
      <c r="I320" s="1">
        <v>52</v>
      </c>
      <c r="J320" s="1">
        <v>2</v>
      </c>
      <c r="K320" s="1">
        <v>2</v>
      </c>
      <c r="M320" s="1" t="s">
        <v>274</v>
      </c>
      <c r="N320" s="1">
        <f t="shared" si="68"/>
        <v>0</v>
      </c>
      <c r="O320" s="1">
        <f t="shared" si="69"/>
        <v>0.49523809523809526</v>
      </c>
      <c r="P320" s="1">
        <f t="shared" si="70"/>
        <v>0.5</v>
      </c>
      <c r="Q320" s="1">
        <f t="shared" si="71"/>
        <v>0.66666666666666663</v>
      </c>
      <c r="S320" s="1" t="s">
        <v>274</v>
      </c>
      <c r="T320" s="1">
        <f t="shared" si="72"/>
        <v>0</v>
      </c>
      <c r="U320" s="1">
        <f t="shared" si="73"/>
        <v>3.7720377785335907E-2</v>
      </c>
      <c r="V320" s="1">
        <f t="shared" si="74"/>
        <v>3.1574382095289864E-2</v>
      </c>
      <c r="W320" s="1">
        <f t="shared" si="75"/>
        <v>2.6906911759852478E-2</v>
      </c>
      <c r="Y320" s="1" t="s">
        <v>274</v>
      </c>
      <c r="Z320" s="1">
        <f t="shared" si="76"/>
        <v>0</v>
      </c>
      <c r="AA320" s="1">
        <f t="shared" si="77"/>
        <v>7.5440755570671814E-3</v>
      </c>
      <c r="AB320" s="1">
        <f t="shared" si="78"/>
        <v>9.4723146285869593E-3</v>
      </c>
      <c r="AC320" s="1">
        <f t="shared" si="79"/>
        <v>5.3813823519704958E-3</v>
      </c>
      <c r="AK320" s="17" t="s">
        <v>909</v>
      </c>
      <c r="AL320" s="17">
        <f t="shared" si="80"/>
        <v>3.1613274258170974E-2</v>
      </c>
      <c r="AM320" s="17">
        <f t="shared" si="81"/>
        <v>1.07660357196803E-2</v>
      </c>
      <c r="AO320" s="17" t="s">
        <v>1621</v>
      </c>
      <c r="AP320" s="17">
        <f t="shared" si="82"/>
        <v>0.35132031148874715</v>
      </c>
      <c r="AR320" s="1" t="s">
        <v>274</v>
      </c>
      <c r="AS320" s="17">
        <f t="shared" si="83"/>
        <v>0.35132031148874715</v>
      </c>
      <c r="AT320" s="17">
        <f t="shared" si="84"/>
        <v>629</v>
      </c>
    </row>
    <row r="321" spans="6:46" x14ac:dyDescent="0.3">
      <c r="F321" s="1">
        <v>319</v>
      </c>
      <c r="G321" s="1" t="s">
        <v>275</v>
      </c>
      <c r="H321" s="1">
        <v>2</v>
      </c>
      <c r="I321" s="1">
        <v>56</v>
      </c>
      <c r="J321" s="1">
        <v>2</v>
      </c>
      <c r="K321" s="1">
        <v>3</v>
      </c>
      <c r="M321" s="1" t="s">
        <v>275</v>
      </c>
      <c r="N321" s="1">
        <f t="shared" si="68"/>
        <v>0.2857142857142857</v>
      </c>
      <c r="O321" s="1">
        <f t="shared" si="69"/>
        <v>0.53333333333333333</v>
      </c>
      <c r="P321" s="1">
        <f t="shared" si="70"/>
        <v>0.5</v>
      </c>
      <c r="Q321" s="1">
        <f t="shared" si="71"/>
        <v>1</v>
      </c>
      <c r="S321" s="1" t="s">
        <v>275</v>
      </c>
      <c r="T321" s="1">
        <f t="shared" si="72"/>
        <v>2.8583097523751523E-2</v>
      </c>
      <c r="U321" s="1">
        <f t="shared" si="73"/>
        <v>4.0621945307284822E-2</v>
      </c>
      <c r="V321" s="1">
        <f t="shared" si="74"/>
        <v>3.1574382095289864E-2</v>
      </c>
      <c r="W321" s="1">
        <f t="shared" si="75"/>
        <v>4.0360367639778717E-2</v>
      </c>
      <c r="Y321" s="1" t="s">
        <v>275</v>
      </c>
      <c r="Z321" s="1">
        <f t="shared" si="76"/>
        <v>8.5749292571254566E-3</v>
      </c>
      <c r="AA321" s="1">
        <f t="shared" si="77"/>
        <v>8.1243890614569655E-3</v>
      </c>
      <c r="AB321" s="1">
        <f t="shared" si="78"/>
        <v>9.4723146285869593E-3</v>
      </c>
      <c r="AC321" s="1">
        <f t="shared" si="79"/>
        <v>8.0720735279557441E-3</v>
      </c>
      <c r="AK321" s="17" t="s">
        <v>910</v>
      </c>
      <c r="AL321" s="17">
        <f t="shared" si="80"/>
        <v>2.32893826402388E-2</v>
      </c>
      <c r="AM321" s="17">
        <f t="shared" si="81"/>
        <v>1.4715454940631204E-2</v>
      </c>
      <c r="AO321" s="17" t="s">
        <v>1622</v>
      </c>
      <c r="AP321" s="17">
        <f t="shared" si="82"/>
        <v>0.64656796764769697</v>
      </c>
      <c r="AR321" s="1" t="s">
        <v>275</v>
      </c>
      <c r="AS321" s="17">
        <f t="shared" si="83"/>
        <v>0.64656796764769697</v>
      </c>
      <c r="AT321" s="17">
        <f t="shared" si="84"/>
        <v>385</v>
      </c>
    </row>
    <row r="322" spans="6:46" x14ac:dyDescent="0.3">
      <c r="F322" s="1">
        <v>320</v>
      </c>
      <c r="G322" s="1" t="s">
        <v>276</v>
      </c>
      <c r="H322" s="1">
        <v>6</v>
      </c>
      <c r="I322" s="1">
        <v>65</v>
      </c>
      <c r="J322" s="1">
        <v>2</v>
      </c>
      <c r="K322" s="1">
        <v>3</v>
      </c>
      <c r="M322" s="1" t="s">
        <v>276</v>
      </c>
      <c r="N322" s="1">
        <f t="shared" si="68"/>
        <v>0.8571428571428571</v>
      </c>
      <c r="O322" s="1">
        <f t="shared" si="69"/>
        <v>0.61904761904761907</v>
      </c>
      <c r="P322" s="1">
        <f t="shared" si="70"/>
        <v>0.5</v>
      </c>
      <c r="Q322" s="1">
        <f t="shared" si="71"/>
        <v>1</v>
      </c>
      <c r="S322" s="1" t="s">
        <v>276</v>
      </c>
      <c r="T322" s="1">
        <f t="shared" si="72"/>
        <v>8.5749292571254562E-2</v>
      </c>
      <c r="U322" s="1">
        <f t="shared" si="73"/>
        <v>4.7150472231669883E-2</v>
      </c>
      <c r="V322" s="1">
        <f t="shared" si="74"/>
        <v>3.1574382095289864E-2</v>
      </c>
      <c r="W322" s="1">
        <f t="shared" si="75"/>
        <v>4.0360367639778717E-2</v>
      </c>
      <c r="Y322" s="1" t="s">
        <v>276</v>
      </c>
      <c r="Z322" s="1">
        <f t="shared" si="76"/>
        <v>2.5724787771376368E-2</v>
      </c>
      <c r="AA322" s="1">
        <f t="shared" si="77"/>
        <v>9.4300944463339767E-3</v>
      </c>
      <c r="AB322" s="1">
        <f t="shared" si="78"/>
        <v>9.4723146285869593E-3</v>
      </c>
      <c r="AC322" s="1">
        <f t="shared" si="79"/>
        <v>8.0720735279557441E-3</v>
      </c>
      <c r="AK322" s="17" t="s">
        <v>911</v>
      </c>
      <c r="AL322" s="17">
        <f t="shared" si="80"/>
        <v>9.1847502563298343E-3</v>
      </c>
      <c r="AM322" s="17">
        <f t="shared" si="81"/>
        <v>2.8624569668881817E-2</v>
      </c>
      <c r="AO322" s="17" t="s">
        <v>1623</v>
      </c>
      <c r="AP322" s="17">
        <f t="shared" si="82"/>
        <v>3.1451567420221456</v>
      </c>
      <c r="AR322" s="1" t="s">
        <v>276</v>
      </c>
      <c r="AS322" s="17">
        <f t="shared" si="83"/>
        <v>3.1451567420221456</v>
      </c>
      <c r="AT322" s="17">
        <f t="shared" si="84"/>
        <v>3</v>
      </c>
    </row>
    <row r="323" spans="6:46" x14ac:dyDescent="0.3">
      <c r="F323" s="1">
        <v>321</v>
      </c>
      <c r="G323" s="1" t="s">
        <v>132</v>
      </c>
      <c r="H323" s="1">
        <v>1</v>
      </c>
      <c r="I323" s="1">
        <v>56</v>
      </c>
      <c r="J323" s="1">
        <v>2</v>
      </c>
      <c r="K323" s="1">
        <v>2</v>
      </c>
      <c r="M323" s="1" t="s">
        <v>132</v>
      </c>
      <c r="N323" s="1">
        <f t="shared" si="68"/>
        <v>0.14285714285714285</v>
      </c>
      <c r="O323" s="1">
        <f t="shared" si="69"/>
        <v>0.53333333333333333</v>
      </c>
      <c r="P323" s="1">
        <f t="shared" si="70"/>
        <v>0.5</v>
      </c>
      <c r="Q323" s="1">
        <f t="shared" si="71"/>
        <v>0.66666666666666663</v>
      </c>
      <c r="S323" s="1" t="s">
        <v>132</v>
      </c>
      <c r="T323" s="1">
        <f t="shared" si="72"/>
        <v>1.4291548761875762E-2</v>
      </c>
      <c r="U323" s="1">
        <f t="shared" si="73"/>
        <v>4.0621945307284822E-2</v>
      </c>
      <c r="V323" s="1">
        <f t="shared" si="74"/>
        <v>3.1574382095289864E-2</v>
      </c>
      <c r="W323" s="1">
        <f t="shared" si="75"/>
        <v>2.6906911759852478E-2</v>
      </c>
      <c r="Y323" s="1" t="s">
        <v>132</v>
      </c>
      <c r="Z323" s="1">
        <f t="shared" si="76"/>
        <v>4.2874646285627283E-3</v>
      </c>
      <c r="AA323" s="1">
        <f t="shared" si="77"/>
        <v>8.1243890614569655E-3</v>
      </c>
      <c r="AB323" s="1">
        <f t="shared" si="78"/>
        <v>9.4723146285869593E-3</v>
      </c>
      <c r="AC323" s="1">
        <f t="shared" si="79"/>
        <v>5.3813823519704958E-3</v>
      </c>
      <c r="AK323" s="17" t="s">
        <v>912</v>
      </c>
      <c r="AL323" s="17">
        <f t="shared" si="80"/>
        <v>2.7419720004422422E-2</v>
      </c>
      <c r="AM323" s="17">
        <f t="shared" si="81"/>
        <v>1.1818548907232355E-2</v>
      </c>
      <c r="AO323" s="17" t="s">
        <v>1624</v>
      </c>
      <c r="AP323" s="17">
        <f t="shared" si="82"/>
        <v>0.4428422393506864</v>
      </c>
      <c r="AR323" s="1" t="s">
        <v>132</v>
      </c>
      <c r="AS323" s="17">
        <f t="shared" si="83"/>
        <v>0.4428422393506864</v>
      </c>
      <c r="AT323" s="17">
        <f t="shared" si="84"/>
        <v>571</v>
      </c>
    </row>
    <row r="324" spans="6:46" x14ac:dyDescent="0.3">
      <c r="F324" s="1">
        <v>322</v>
      </c>
      <c r="G324" s="1" t="s">
        <v>277</v>
      </c>
      <c r="H324" s="1">
        <v>3</v>
      </c>
      <c r="I324" s="1">
        <v>33</v>
      </c>
      <c r="J324" s="1">
        <v>2</v>
      </c>
      <c r="K324" s="1">
        <v>3</v>
      </c>
      <c r="M324" s="1" t="s">
        <v>277</v>
      </c>
      <c r="N324" s="1">
        <f t="shared" ref="N324:N387" si="85">H324/MAX($H$3:$H$712)</f>
        <v>0.42857142857142855</v>
      </c>
      <c r="O324" s="1">
        <f t="shared" ref="O324:O387" si="86">I324/MAX($I$3:$I$712)</f>
        <v>0.31428571428571428</v>
      </c>
      <c r="P324" s="1">
        <f t="shared" ref="P324:P387" si="87">MIN($J$3:$J$712)/J324</f>
        <v>0.5</v>
      </c>
      <c r="Q324" s="1">
        <f t="shared" ref="Q324:Q387" si="88">K324/MAX($K$3:$K$712)</f>
        <v>1</v>
      </c>
      <c r="S324" s="1" t="s">
        <v>277</v>
      </c>
      <c r="T324" s="1">
        <f t="shared" ref="T324:T387" si="89">N324/SQRT(SUMSQ($N$3:$N$712))</f>
        <v>4.2874646285627281E-2</v>
      </c>
      <c r="U324" s="1">
        <f t="shared" ref="U324:U387" si="90">O324/SQRT(SUMSQ($O$3:$O$712))</f>
        <v>2.3937932056078554E-2</v>
      </c>
      <c r="V324" s="1">
        <f t="shared" ref="V324:V387" si="91">P324/SQRT(SUMSQ($P$3:$P$712))</f>
        <v>3.1574382095289864E-2</v>
      </c>
      <c r="W324" s="1">
        <f t="shared" ref="W324:W387" si="92">Q324/SQRT(SUMSQ($Q$3:$Q$712))</f>
        <v>4.0360367639778717E-2</v>
      </c>
      <c r="Y324" s="1" t="s">
        <v>277</v>
      </c>
      <c r="Z324" s="1">
        <f t="shared" ref="Z324:Z387" si="93">T324*$D$3</f>
        <v>1.2862393885688184E-2</v>
      </c>
      <c r="AA324" s="1">
        <f t="shared" ref="AA324:AA387" si="94">U324*$D$4</f>
        <v>4.7875864112157107E-3</v>
      </c>
      <c r="AB324" s="1">
        <f t="shared" ref="AB324:AB387" si="95">V324*$D$5</f>
        <v>9.4723146285869593E-3</v>
      </c>
      <c r="AC324" s="1">
        <f t="shared" ref="AC324:AC387" si="96">W324*$D$6</f>
        <v>8.0720735279557441E-3</v>
      </c>
      <c r="AK324" s="17" t="s">
        <v>913</v>
      </c>
      <c r="AL324" s="17">
        <f t="shared" ref="AL324:AL387" si="97">SQRT( ($AF$3-Z324)^2 + ($AG$3-AA324)^2 + ($AH$3-AB324)^2 + ($AI$3-AC324)^2 )</f>
        <v>2.0869355868959657E-2</v>
      </c>
      <c r="AM324" s="17">
        <f t="shared" ref="AM324:AM387" si="98">SQRT( (Z324-$AF$4)^2 + (AA324-$AG$4)^2 + (AB324-$AH$4)^2 + (AC324-$AI$4)^2 )</f>
        <v>1.6931390163603535E-2</v>
      </c>
      <c r="AO324" s="17" t="s">
        <v>1625</v>
      </c>
      <c r="AP324" s="17">
        <f t="shared" ref="AP324:AP387" si="99">AM324/AL324+AM324</f>
        <v>0.82823530725223238</v>
      </c>
      <c r="AR324" s="1" t="s">
        <v>277</v>
      </c>
      <c r="AS324" s="17">
        <f t="shared" ref="AS324:AS387" si="100">AP324</f>
        <v>0.82823530725223238</v>
      </c>
      <c r="AT324" s="17">
        <f t="shared" ref="AT324:AT387" si="101">RANK(AS324,$AS$3:$AS$712,0)</f>
        <v>293</v>
      </c>
    </row>
    <row r="325" spans="6:46" x14ac:dyDescent="0.3">
      <c r="F325" s="1">
        <v>323</v>
      </c>
      <c r="G325" s="1" t="s">
        <v>278</v>
      </c>
      <c r="H325" s="1">
        <v>1</v>
      </c>
      <c r="I325" s="1">
        <v>58</v>
      </c>
      <c r="J325" s="1">
        <v>5</v>
      </c>
      <c r="K325" s="1">
        <v>3</v>
      </c>
      <c r="M325" s="1" t="s">
        <v>278</v>
      </c>
      <c r="N325" s="1">
        <f t="shared" si="85"/>
        <v>0.14285714285714285</v>
      </c>
      <c r="O325" s="1">
        <f t="shared" si="86"/>
        <v>0.55238095238095242</v>
      </c>
      <c r="P325" s="1">
        <f t="shared" si="87"/>
        <v>0.2</v>
      </c>
      <c r="Q325" s="1">
        <f t="shared" si="88"/>
        <v>1</v>
      </c>
      <c r="S325" s="1" t="s">
        <v>278</v>
      </c>
      <c r="T325" s="1">
        <f t="shared" si="89"/>
        <v>1.4291548761875762E-2</v>
      </c>
      <c r="U325" s="1">
        <f t="shared" si="90"/>
        <v>4.2072729068259283E-2</v>
      </c>
      <c r="V325" s="1">
        <f t="shared" si="91"/>
        <v>1.2629752838115946E-2</v>
      </c>
      <c r="W325" s="1">
        <f t="shared" si="92"/>
        <v>4.0360367639778717E-2</v>
      </c>
      <c r="Y325" s="1" t="s">
        <v>278</v>
      </c>
      <c r="Z325" s="1">
        <f t="shared" si="93"/>
        <v>4.2874646285627283E-3</v>
      </c>
      <c r="AA325" s="1">
        <f t="shared" si="94"/>
        <v>8.4145458136518567E-3</v>
      </c>
      <c r="AB325" s="1">
        <f t="shared" si="95"/>
        <v>3.7889258514347836E-3</v>
      </c>
      <c r="AC325" s="1">
        <f t="shared" si="96"/>
        <v>8.0720735279557441E-3</v>
      </c>
      <c r="AK325" s="17" t="s">
        <v>914</v>
      </c>
      <c r="AL325" s="17">
        <f t="shared" si="97"/>
        <v>2.661313872814729E-2</v>
      </c>
      <c r="AM325" s="17">
        <f t="shared" si="98"/>
        <v>1.7444622080043982E-2</v>
      </c>
      <c r="AO325" s="17" t="s">
        <v>1626</v>
      </c>
      <c r="AP325" s="17">
        <f t="shared" si="99"/>
        <v>0.67293371182028339</v>
      </c>
      <c r="AR325" s="1" t="s">
        <v>278</v>
      </c>
      <c r="AS325" s="17">
        <f t="shared" si="100"/>
        <v>0.67293371182028339</v>
      </c>
      <c r="AT325" s="17">
        <f t="shared" si="101"/>
        <v>366</v>
      </c>
    </row>
    <row r="326" spans="6:46" x14ac:dyDescent="0.3">
      <c r="F326" s="1">
        <v>324</v>
      </c>
      <c r="G326" s="1" t="s">
        <v>137</v>
      </c>
      <c r="H326" s="1">
        <v>2</v>
      </c>
      <c r="I326" s="1">
        <v>55</v>
      </c>
      <c r="J326" s="1">
        <v>2</v>
      </c>
      <c r="K326" s="1">
        <v>3</v>
      </c>
      <c r="M326" s="1" t="s">
        <v>137</v>
      </c>
      <c r="N326" s="1">
        <f t="shared" si="85"/>
        <v>0.2857142857142857</v>
      </c>
      <c r="O326" s="1">
        <f t="shared" si="86"/>
        <v>0.52380952380952384</v>
      </c>
      <c r="P326" s="1">
        <f t="shared" si="87"/>
        <v>0.5</v>
      </c>
      <c r="Q326" s="1">
        <f t="shared" si="88"/>
        <v>1</v>
      </c>
      <c r="S326" s="1" t="s">
        <v>137</v>
      </c>
      <c r="T326" s="1">
        <f t="shared" si="89"/>
        <v>2.8583097523751523E-2</v>
      </c>
      <c r="U326" s="1">
        <f t="shared" si="90"/>
        <v>3.9896553426797592E-2</v>
      </c>
      <c r="V326" s="1">
        <f t="shared" si="91"/>
        <v>3.1574382095289864E-2</v>
      </c>
      <c r="W326" s="1">
        <f t="shared" si="92"/>
        <v>4.0360367639778717E-2</v>
      </c>
      <c r="Y326" s="1" t="s">
        <v>137</v>
      </c>
      <c r="Z326" s="1">
        <f t="shared" si="93"/>
        <v>8.5749292571254566E-3</v>
      </c>
      <c r="AA326" s="1">
        <f t="shared" si="94"/>
        <v>7.979310685359519E-3</v>
      </c>
      <c r="AB326" s="1">
        <f t="shared" si="95"/>
        <v>9.4723146285869593E-3</v>
      </c>
      <c r="AC326" s="1">
        <f t="shared" si="96"/>
        <v>8.0720735279557441E-3</v>
      </c>
      <c r="AK326" s="17" t="s">
        <v>915</v>
      </c>
      <c r="AL326" s="17">
        <f t="shared" si="97"/>
        <v>2.3334075288070719E-2</v>
      </c>
      <c r="AM326" s="17">
        <f t="shared" si="98"/>
        <v>1.4667461124905206E-2</v>
      </c>
      <c r="AO326" s="17" t="s">
        <v>1627</v>
      </c>
      <c r="AP326" s="17">
        <f t="shared" si="99"/>
        <v>0.64325295010735395</v>
      </c>
      <c r="AR326" s="1" t="s">
        <v>137</v>
      </c>
      <c r="AS326" s="17">
        <f t="shared" si="100"/>
        <v>0.64325295010735395</v>
      </c>
      <c r="AT326" s="17">
        <f t="shared" si="101"/>
        <v>388</v>
      </c>
    </row>
    <row r="327" spans="6:46" x14ac:dyDescent="0.3">
      <c r="F327" s="1">
        <v>325</v>
      </c>
      <c r="G327" s="1" t="s">
        <v>279</v>
      </c>
      <c r="H327" s="1">
        <v>3</v>
      </c>
      <c r="I327" s="1">
        <v>36</v>
      </c>
      <c r="J327" s="1">
        <v>2</v>
      </c>
      <c r="K327" s="1">
        <v>3</v>
      </c>
      <c r="M327" s="1" t="s">
        <v>279</v>
      </c>
      <c r="N327" s="1">
        <f t="shared" si="85"/>
        <v>0.42857142857142855</v>
      </c>
      <c r="O327" s="1">
        <f t="shared" si="86"/>
        <v>0.34285714285714286</v>
      </c>
      <c r="P327" s="1">
        <f t="shared" si="87"/>
        <v>0.5</v>
      </c>
      <c r="Q327" s="1">
        <f t="shared" si="88"/>
        <v>1</v>
      </c>
      <c r="S327" s="1" t="s">
        <v>279</v>
      </c>
      <c r="T327" s="1">
        <f t="shared" si="89"/>
        <v>4.2874646285627281E-2</v>
      </c>
      <c r="U327" s="1">
        <f t="shared" si="90"/>
        <v>2.6114107697540242E-2</v>
      </c>
      <c r="V327" s="1">
        <f t="shared" si="91"/>
        <v>3.1574382095289864E-2</v>
      </c>
      <c r="W327" s="1">
        <f t="shared" si="92"/>
        <v>4.0360367639778717E-2</v>
      </c>
      <c r="Y327" s="1" t="s">
        <v>279</v>
      </c>
      <c r="Z327" s="1">
        <f t="shared" si="93"/>
        <v>1.2862393885688184E-2</v>
      </c>
      <c r="AA327" s="1">
        <f t="shared" si="94"/>
        <v>5.2228215395080484E-3</v>
      </c>
      <c r="AB327" s="1">
        <f t="shared" si="95"/>
        <v>9.4723146285869593E-3</v>
      </c>
      <c r="AC327" s="1">
        <f t="shared" si="96"/>
        <v>8.0720735279557441E-3</v>
      </c>
      <c r="AK327" s="17" t="s">
        <v>916</v>
      </c>
      <c r="AL327" s="17">
        <f t="shared" si="97"/>
        <v>2.0654946680904247E-2</v>
      </c>
      <c r="AM327" s="17">
        <f t="shared" si="98"/>
        <v>1.697794313257648E-2</v>
      </c>
      <c r="AO327" s="17" t="s">
        <v>1628</v>
      </c>
      <c r="AP327" s="17">
        <f t="shared" si="99"/>
        <v>0.83895746188257159</v>
      </c>
      <c r="AR327" s="1" t="s">
        <v>279</v>
      </c>
      <c r="AS327" s="17">
        <f t="shared" si="100"/>
        <v>0.83895746188257159</v>
      </c>
      <c r="AT327" s="17">
        <f t="shared" si="101"/>
        <v>276</v>
      </c>
    </row>
    <row r="328" spans="6:46" x14ac:dyDescent="0.3">
      <c r="F328" s="1">
        <v>326</v>
      </c>
      <c r="G328" s="1" t="s">
        <v>280</v>
      </c>
      <c r="H328" s="1">
        <v>2</v>
      </c>
      <c r="I328" s="1">
        <v>86</v>
      </c>
      <c r="J328" s="1">
        <v>2</v>
      </c>
      <c r="K328" s="1">
        <v>3</v>
      </c>
      <c r="M328" s="1" t="s">
        <v>280</v>
      </c>
      <c r="N328" s="1">
        <f t="shared" si="85"/>
        <v>0.2857142857142857</v>
      </c>
      <c r="O328" s="1">
        <f t="shared" si="86"/>
        <v>0.81904761904761902</v>
      </c>
      <c r="P328" s="1">
        <f t="shared" si="87"/>
        <v>0.5</v>
      </c>
      <c r="Q328" s="1">
        <f t="shared" si="88"/>
        <v>1</v>
      </c>
      <c r="S328" s="1" t="s">
        <v>280</v>
      </c>
      <c r="T328" s="1">
        <f t="shared" si="89"/>
        <v>2.8583097523751523E-2</v>
      </c>
      <c r="U328" s="1">
        <f t="shared" si="90"/>
        <v>6.2383701721901691E-2</v>
      </c>
      <c r="V328" s="1">
        <f t="shared" si="91"/>
        <v>3.1574382095289864E-2</v>
      </c>
      <c r="W328" s="1">
        <f t="shared" si="92"/>
        <v>4.0360367639778717E-2</v>
      </c>
      <c r="Y328" s="1" t="s">
        <v>280</v>
      </c>
      <c r="Z328" s="1">
        <f t="shared" si="93"/>
        <v>8.5749292571254566E-3</v>
      </c>
      <c r="AA328" s="1">
        <f t="shared" si="94"/>
        <v>1.2476740344380339E-2</v>
      </c>
      <c r="AB328" s="1">
        <f t="shared" si="95"/>
        <v>9.4723146285869593E-3</v>
      </c>
      <c r="AC328" s="1">
        <f t="shared" si="96"/>
        <v>8.0720735279557441E-3</v>
      </c>
      <c r="AK328" s="17" t="s">
        <v>917</v>
      </c>
      <c r="AL328" s="17">
        <f t="shared" si="97"/>
        <v>2.2348556193474103E-2</v>
      </c>
      <c r="AM328" s="17">
        <f t="shared" si="98"/>
        <v>1.6686070706739161E-2</v>
      </c>
      <c r="AO328" s="17" t="s">
        <v>1629</v>
      </c>
      <c r="AP328" s="17">
        <f t="shared" si="99"/>
        <v>0.76331464761729506</v>
      </c>
      <c r="AR328" s="1" t="s">
        <v>280</v>
      </c>
      <c r="AS328" s="17">
        <f t="shared" si="100"/>
        <v>0.76331464761729506</v>
      </c>
      <c r="AT328" s="17">
        <f t="shared" si="101"/>
        <v>322</v>
      </c>
    </row>
    <row r="329" spans="6:46" x14ac:dyDescent="0.3">
      <c r="F329" s="1">
        <v>327</v>
      </c>
      <c r="G329" s="1" t="s">
        <v>281</v>
      </c>
      <c r="H329" s="1">
        <v>2</v>
      </c>
      <c r="I329" s="1">
        <v>55</v>
      </c>
      <c r="J329" s="1">
        <v>2</v>
      </c>
      <c r="K329" s="1">
        <v>2</v>
      </c>
      <c r="M329" s="1" t="s">
        <v>281</v>
      </c>
      <c r="N329" s="1">
        <f t="shared" si="85"/>
        <v>0.2857142857142857</v>
      </c>
      <c r="O329" s="1">
        <f t="shared" si="86"/>
        <v>0.52380952380952384</v>
      </c>
      <c r="P329" s="1">
        <f t="shared" si="87"/>
        <v>0.5</v>
      </c>
      <c r="Q329" s="1">
        <f t="shared" si="88"/>
        <v>0.66666666666666663</v>
      </c>
      <c r="S329" s="1" t="s">
        <v>281</v>
      </c>
      <c r="T329" s="1">
        <f t="shared" si="89"/>
        <v>2.8583097523751523E-2</v>
      </c>
      <c r="U329" s="1">
        <f t="shared" si="90"/>
        <v>3.9896553426797592E-2</v>
      </c>
      <c r="V329" s="1">
        <f t="shared" si="91"/>
        <v>3.1574382095289864E-2</v>
      </c>
      <c r="W329" s="1">
        <f t="shared" si="92"/>
        <v>2.6906911759852478E-2</v>
      </c>
      <c r="Y329" s="1" t="s">
        <v>281</v>
      </c>
      <c r="Z329" s="1">
        <f t="shared" si="93"/>
        <v>8.5749292571254566E-3</v>
      </c>
      <c r="AA329" s="1">
        <f t="shared" si="94"/>
        <v>7.979310685359519E-3</v>
      </c>
      <c r="AB329" s="1">
        <f t="shared" si="95"/>
        <v>9.4723146285869593E-3</v>
      </c>
      <c r="AC329" s="1">
        <f t="shared" si="96"/>
        <v>5.3813823519704958E-3</v>
      </c>
      <c r="AK329" s="17" t="s">
        <v>918</v>
      </c>
      <c r="AL329" s="17">
        <f t="shared" si="97"/>
        <v>2.3488697038232611E-2</v>
      </c>
      <c r="AM329" s="17">
        <f t="shared" si="98"/>
        <v>1.3907370665838702E-2</v>
      </c>
      <c r="AO329" s="17" t="s">
        <v>1630</v>
      </c>
      <c r="AP329" s="17">
        <f t="shared" si="99"/>
        <v>0.60599515838780726</v>
      </c>
      <c r="AR329" s="1" t="s">
        <v>281</v>
      </c>
      <c r="AS329" s="17">
        <f t="shared" si="100"/>
        <v>0.60599515838780726</v>
      </c>
      <c r="AT329" s="17">
        <f t="shared" si="101"/>
        <v>425</v>
      </c>
    </row>
    <row r="330" spans="6:46" x14ac:dyDescent="0.3">
      <c r="F330" s="1">
        <v>328</v>
      </c>
      <c r="G330" s="1" t="s">
        <v>282</v>
      </c>
      <c r="H330" s="1">
        <v>3</v>
      </c>
      <c r="I330" s="1">
        <v>31</v>
      </c>
      <c r="J330" s="1">
        <v>5</v>
      </c>
      <c r="K330" s="1">
        <v>3</v>
      </c>
      <c r="M330" s="1" t="s">
        <v>282</v>
      </c>
      <c r="N330" s="1">
        <f t="shared" si="85"/>
        <v>0.42857142857142855</v>
      </c>
      <c r="O330" s="1">
        <f t="shared" si="86"/>
        <v>0.29523809523809524</v>
      </c>
      <c r="P330" s="1">
        <f t="shared" si="87"/>
        <v>0.2</v>
      </c>
      <c r="Q330" s="1">
        <f t="shared" si="88"/>
        <v>1</v>
      </c>
      <c r="S330" s="1" t="s">
        <v>282</v>
      </c>
      <c r="T330" s="1">
        <f t="shared" si="89"/>
        <v>4.2874646285627281E-2</v>
      </c>
      <c r="U330" s="1">
        <f t="shared" si="90"/>
        <v>2.2487148295104099E-2</v>
      </c>
      <c r="V330" s="1">
        <f t="shared" si="91"/>
        <v>1.2629752838115946E-2</v>
      </c>
      <c r="W330" s="1">
        <f t="shared" si="92"/>
        <v>4.0360367639778717E-2</v>
      </c>
      <c r="Y330" s="1" t="s">
        <v>282</v>
      </c>
      <c r="Z330" s="1">
        <f t="shared" si="93"/>
        <v>1.2862393885688184E-2</v>
      </c>
      <c r="AA330" s="1">
        <f t="shared" si="94"/>
        <v>4.4974296590208204E-3</v>
      </c>
      <c r="AB330" s="1">
        <f t="shared" si="95"/>
        <v>3.7889258514347836E-3</v>
      </c>
      <c r="AC330" s="1">
        <f t="shared" si="96"/>
        <v>8.0720735279557441E-3</v>
      </c>
      <c r="AK330" s="17" t="s">
        <v>919</v>
      </c>
      <c r="AL330" s="17">
        <f t="shared" si="97"/>
        <v>2.0233018684186858E-2</v>
      </c>
      <c r="AM330" s="17">
        <f t="shared" si="98"/>
        <v>2.0634937963645975E-2</v>
      </c>
      <c r="AO330" s="17" t="s">
        <v>1631</v>
      </c>
      <c r="AP330" s="17">
        <f t="shared" si="99"/>
        <v>1.0404994616777092</v>
      </c>
      <c r="AR330" s="1" t="s">
        <v>282</v>
      </c>
      <c r="AS330" s="17">
        <f t="shared" si="100"/>
        <v>1.0404994616777092</v>
      </c>
      <c r="AT330" s="17">
        <f t="shared" si="101"/>
        <v>125</v>
      </c>
    </row>
    <row r="331" spans="6:46" x14ac:dyDescent="0.3">
      <c r="F331" s="1">
        <v>329</v>
      </c>
      <c r="G331" s="1" t="s">
        <v>283</v>
      </c>
      <c r="H331" s="1">
        <v>3</v>
      </c>
      <c r="I331" s="1">
        <v>55</v>
      </c>
      <c r="J331" s="1">
        <v>2</v>
      </c>
      <c r="K331" s="1">
        <v>3</v>
      </c>
      <c r="M331" s="1" t="s">
        <v>283</v>
      </c>
      <c r="N331" s="1">
        <f t="shared" si="85"/>
        <v>0.42857142857142855</v>
      </c>
      <c r="O331" s="1">
        <f t="shared" si="86"/>
        <v>0.52380952380952384</v>
      </c>
      <c r="P331" s="1">
        <f t="shared" si="87"/>
        <v>0.5</v>
      </c>
      <c r="Q331" s="1">
        <f t="shared" si="88"/>
        <v>1</v>
      </c>
      <c r="S331" s="1" t="s">
        <v>283</v>
      </c>
      <c r="T331" s="1">
        <f t="shared" si="89"/>
        <v>4.2874646285627281E-2</v>
      </c>
      <c r="U331" s="1">
        <f t="shared" si="90"/>
        <v>3.9896553426797592E-2</v>
      </c>
      <c r="V331" s="1">
        <f t="shared" si="91"/>
        <v>3.1574382095289864E-2</v>
      </c>
      <c r="W331" s="1">
        <f t="shared" si="92"/>
        <v>4.0360367639778717E-2</v>
      </c>
      <c r="Y331" s="1" t="s">
        <v>283</v>
      </c>
      <c r="Z331" s="1">
        <f t="shared" si="93"/>
        <v>1.2862393885688184E-2</v>
      </c>
      <c r="AA331" s="1">
        <f t="shared" si="94"/>
        <v>7.979310685359519E-3</v>
      </c>
      <c r="AB331" s="1">
        <f t="shared" si="95"/>
        <v>9.4723146285869593E-3</v>
      </c>
      <c r="AC331" s="1">
        <f t="shared" si="96"/>
        <v>8.0720735279557441E-3</v>
      </c>
      <c r="AK331" s="17" t="s">
        <v>920</v>
      </c>
      <c r="AL331" s="17">
        <f t="shared" si="97"/>
        <v>1.9468895527963669E-2</v>
      </c>
      <c r="AM331" s="17">
        <f t="shared" si="98"/>
        <v>1.7522733250166428E-2</v>
      </c>
      <c r="AO331" s="17" t="s">
        <v>1632</v>
      </c>
      <c r="AP331" s="17">
        <f t="shared" si="99"/>
        <v>0.91756008899015074</v>
      </c>
      <c r="AR331" s="1" t="s">
        <v>283</v>
      </c>
      <c r="AS331" s="17">
        <f t="shared" si="100"/>
        <v>0.91756008899015074</v>
      </c>
      <c r="AT331" s="17">
        <f t="shared" si="101"/>
        <v>172</v>
      </c>
    </row>
    <row r="332" spans="6:46" x14ac:dyDescent="0.3">
      <c r="F332" s="1">
        <v>330</v>
      </c>
      <c r="G332" s="1" t="s">
        <v>283</v>
      </c>
      <c r="H332" s="1">
        <v>1</v>
      </c>
      <c r="I332" s="1">
        <v>43</v>
      </c>
      <c r="J332" s="1">
        <v>5</v>
      </c>
      <c r="K332" s="1">
        <v>3</v>
      </c>
      <c r="M332" s="1" t="s">
        <v>283</v>
      </c>
      <c r="N332" s="1">
        <f t="shared" si="85"/>
        <v>0.14285714285714285</v>
      </c>
      <c r="O332" s="1">
        <f t="shared" si="86"/>
        <v>0.40952380952380951</v>
      </c>
      <c r="P332" s="1">
        <f t="shared" si="87"/>
        <v>0.2</v>
      </c>
      <c r="Q332" s="1">
        <f t="shared" si="88"/>
        <v>1</v>
      </c>
      <c r="S332" s="1" t="s">
        <v>283</v>
      </c>
      <c r="T332" s="1">
        <f t="shared" si="89"/>
        <v>1.4291548761875762E-2</v>
      </c>
      <c r="U332" s="1">
        <f t="shared" si="90"/>
        <v>3.1191850860950845E-2</v>
      </c>
      <c r="V332" s="1">
        <f t="shared" si="91"/>
        <v>1.2629752838115946E-2</v>
      </c>
      <c r="W332" s="1">
        <f t="shared" si="92"/>
        <v>4.0360367639778717E-2</v>
      </c>
      <c r="Y332" s="1" t="s">
        <v>283</v>
      </c>
      <c r="Z332" s="1">
        <f t="shared" si="93"/>
        <v>4.2874646285627283E-3</v>
      </c>
      <c r="AA332" s="1">
        <f t="shared" si="94"/>
        <v>6.2383701721901693E-3</v>
      </c>
      <c r="AB332" s="1">
        <f t="shared" si="95"/>
        <v>3.7889258514347836E-3</v>
      </c>
      <c r="AC332" s="1">
        <f t="shared" si="96"/>
        <v>8.0720735279557441E-3</v>
      </c>
      <c r="AK332" s="17" t="s">
        <v>921</v>
      </c>
      <c r="AL332" s="17">
        <f t="shared" si="97"/>
        <v>2.7252012770320577E-2</v>
      </c>
      <c r="AM332" s="17">
        <f t="shared" si="98"/>
        <v>1.6920964095171753E-2</v>
      </c>
      <c r="AO332" s="17" t="s">
        <v>1633</v>
      </c>
      <c r="AP332" s="17">
        <f t="shared" si="99"/>
        <v>0.63782791279585316</v>
      </c>
      <c r="AR332" s="1" t="s">
        <v>283</v>
      </c>
      <c r="AS332" s="17">
        <f t="shared" si="100"/>
        <v>0.63782791279585316</v>
      </c>
      <c r="AT332" s="17">
        <f t="shared" si="101"/>
        <v>396</v>
      </c>
    </row>
    <row r="333" spans="6:46" x14ac:dyDescent="0.3">
      <c r="F333" s="1">
        <v>331</v>
      </c>
      <c r="G333" s="1" t="s">
        <v>284</v>
      </c>
      <c r="H333" s="1">
        <v>0</v>
      </c>
      <c r="I333" s="1">
        <v>65</v>
      </c>
      <c r="J333" s="1">
        <v>1</v>
      </c>
      <c r="K333" s="1">
        <v>2</v>
      </c>
      <c r="M333" s="1" t="s">
        <v>284</v>
      </c>
      <c r="N333" s="1">
        <f t="shared" si="85"/>
        <v>0</v>
      </c>
      <c r="O333" s="1">
        <f t="shared" si="86"/>
        <v>0.61904761904761907</v>
      </c>
      <c r="P333" s="1">
        <f t="shared" si="87"/>
        <v>1</v>
      </c>
      <c r="Q333" s="1">
        <f t="shared" si="88"/>
        <v>0.66666666666666663</v>
      </c>
      <c r="S333" s="1" t="s">
        <v>284</v>
      </c>
      <c r="T333" s="1">
        <f t="shared" si="89"/>
        <v>0</v>
      </c>
      <c r="U333" s="1">
        <f t="shared" si="90"/>
        <v>4.7150472231669883E-2</v>
      </c>
      <c r="V333" s="1">
        <f t="shared" si="91"/>
        <v>6.3148764190579729E-2</v>
      </c>
      <c r="W333" s="1">
        <f t="shared" si="92"/>
        <v>2.6906911759852478E-2</v>
      </c>
      <c r="Y333" s="1" t="s">
        <v>284</v>
      </c>
      <c r="Z333" s="1">
        <f t="shared" si="93"/>
        <v>0</v>
      </c>
      <c r="AA333" s="1">
        <f t="shared" si="94"/>
        <v>9.4300944463339767E-3</v>
      </c>
      <c r="AB333" s="1">
        <f t="shared" si="95"/>
        <v>1.8944629257173919E-2</v>
      </c>
      <c r="AC333" s="1">
        <f t="shared" si="96"/>
        <v>5.3813823519704958E-3</v>
      </c>
      <c r="AK333" s="17" t="s">
        <v>922</v>
      </c>
      <c r="AL333" s="17">
        <f t="shared" si="97"/>
        <v>3.4224944633740796E-2</v>
      </c>
      <c r="AM333" s="17">
        <f t="shared" si="98"/>
        <v>6.7939003090858544E-3</v>
      </c>
      <c r="AO333" s="17" t="s">
        <v>1634</v>
      </c>
      <c r="AP333" s="17">
        <f t="shared" si="99"/>
        <v>0.20530116983986141</v>
      </c>
      <c r="AR333" s="1" t="s">
        <v>284</v>
      </c>
      <c r="AS333" s="17">
        <f t="shared" si="100"/>
        <v>0.20530116983986141</v>
      </c>
      <c r="AT333" s="17">
        <f t="shared" si="101"/>
        <v>682</v>
      </c>
    </row>
    <row r="334" spans="6:46" x14ac:dyDescent="0.3">
      <c r="F334" s="1">
        <v>332</v>
      </c>
      <c r="G334" s="1" t="s">
        <v>285</v>
      </c>
      <c r="H334" s="1">
        <v>3</v>
      </c>
      <c r="I334" s="1">
        <v>68</v>
      </c>
      <c r="J334" s="1">
        <v>2</v>
      </c>
      <c r="K334" s="1">
        <v>3</v>
      </c>
      <c r="M334" s="1" t="s">
        <v>285</v>
      </c>
      <c r="N334" s="1">
        <f t="shared" si="85"/>
        <v>0.42857142857142855</v>
      </c>
      <c r="O334" s="1">
        <f t="shared" si="86"/>
        <v>0.64761904761904765</v>
      </c>
      <c r="P334" s="1">
        <f t="shared" si="87"/>
        <v>0.5</v>
      </c>
      <c r="Q334" s="1">
        <f t="shared" si="88"/>
        <v>1</v>
      </c>
      <c r="S334" s="1" t="s">
        <v>285</v>
      </c>
      <c r="T334" s="1">
        <f t="shared" si="89"/>
        <v>4.2874646285627281E-2</v>
      </c>
      <c r="U334" s="1">
        <f t="shared" si="90"/>
        <v>4.9326647873131568E-2</v>
      </c>
      <c r="V334" s="1">
        <f t="shared" si="91"/>
        <v>3.1574382095289864E-2</v>
      </c>
      <c r="W334" s="1">
        <f t="shared" si="92"/>
        <v>4.0360367639778717E-2</v>
      </c>
      <c r="Y334" s="1" t="s">
        <v>285</v>
      </c>
      <c r="Z334" s="1">
        <f t="shared" si="93"/>
        <v>1.2862393885688184E-2</v>
      </c>
      <c r="AA334" s="1">
        <f t="shared" si="94"/>
        <v>9.8653295746263144E-3</v>
      </c>
      <c r="AB334" s="1">
        <f t="shared" si="95"/>
        <v>9.4723146285869593E-3</v>
      </c>
      <c r="AC334" s="1">
        <f t="shared" si="96"/>
        <v>8.0720735279557441E-3</v>
      </c>
      <c r="AK334" s="17" t="s">
        <v>923</v>
      </c>
      <c r="AL334" s="17">
        <f t="shared" si="97"/>
        <v>1.8847623313167139E-2</v>
      </c>
      <c r="AM334" s="17">
        <f t="shared" si="98"/>
        <v>1.8129043124728315E-2</v>
      </c>
      <c r="AO334" s="17" t="s">
        <v>1635</v>
      </c>
      <c r="AP334" s="17">
        <f t="shared" si="99"/>
        <v>0.98000327116403674</v>
      </c>
      <c r="AR334" s="1" t="s">
        <v>285</v>
      </c>
      <c r="AS334" s="17">
        <f t="shared" si="100"/>
        <v>0.98000327116403674</v>
      </c>
      <c r="AT334" s="17">
        <f t="shared" si="101"/>
        <v>146</v>
      </c>
    </row>
    <row r="335" spans="6:46" x14ac:dyDescent="0.3">
      <c r="F335" s="1">
        <v>333</v>
      </c>
      <c r="G335" s="1" t="s">
        <v>286</v>
      </c>
      <c r="H335" s="1">
        <v>2</v>
      </c>
      <c r="I335" s="1">
        <v>51</v>
      </c>
      <c r="J335" s="1">
        <v>1</v>
      </c>
      <c r="K335" s="1">
        <v>3</v>
      </c>
      <c r="M335" s="1" t="s">
        <v>286</v>
      </c>
      <c r="N335" s="1">
        <f t="shared" si="85"/>
        <v>0.2857142857142857</v>
      </c>
      <c r="O335" s="1">
        <f t="shared" si="86"/>
        <v>0.48571428571428571</v>
      </c>
      <c r="P335" s="1">
        <f t="shared" si="87"/>
        <v>1</v>
      </c>
      <c r="Q335" s="1">
        <f t="shared" si="88"/>
        <v>1</v>
      </c>
      <c r="S335" s="1" t="s">
        <v>286</v>
      </c>
      <c r="T335" s="1">
        <f t="shared" si="89"/>
        <v>2.8583097523751523E-2</v>
      </c>
      <c r="U335" s="1">
        <f t="shared" si="90"/>
        <v>3.6994985904848676E-2</v>
      </c>
      <c r="V335" s="1">
        <f t="shared" si="91"/>
        <v>6.3148764190579729E-2</v>
      </c>
      <c r="W335" s="1">
        <f t="shared" si="92"/>
        <v>4.0360367639778717E-2</v>
      </c>
      <c r="Y335" s="1" t="s">
        <v>286</v>
      </c>
      <c r="Z335" s="1">
        <f t="shared" si="93"/>
        <v>8.5749292571254566E-3</v>
      </c>
      <c r="AA335" s="1">
        <f t="shared" si="94"/>
        <v>7.3989971809697358E-3</v>
      </c>
      <c r="AB335" s="1">
        <f t="shared" si="95"/>
        <v>1.8944629257173919E-2</v>
      </c>
      <c r="AC335" s="1">
        <f t="shared" si="96"/>
        <v>8.0720735279557441E-3</v>
      </c>
      <c r="AK335" s="17" t="s">
        <v>924</v>
      </c>
      <c r="AL335" s="17">
        <f t="shared" si="97"/>
        <v>2.7397616048255583E-2</v>
      </c>
      <c r="AM335" s="17">
        <f t="shared" si="98"/>
        <v>1.0963112381769929E-2</v>
      </c>
      <c r="AO335" s="17" t="s">
        <v>1636</v>
      </c>
      <c r="AP335" s="17">
        <f t="shared" si="99"/>
        <v>0.41111151808467977</v>
      </c>
      <c r="AR335" s="1" t="s">
        <v>286</v>
      </c>
      <c r="AS335" s="17">
        <f t="shared" si="100"/>
        <v>0.41111151808467977</v>
      </c>
      <c r="AT335" s="17">
        <f t="shared" si="101"/>
        <v>589</v>
      </c>
    </row>
    <row r="336" spans="6:46" x14ac:dyDescent="0.3">
      <c r="F336" s="1">
        <v>334</v>
      </c>
      <c r="G336" s="1" t="s">
        <v>287</v>
      </c>
      <c r="H336" s="1">
        <v>1</v>
      </c>
      <c r="I336" s="1">
        <v>49</v>
      </c>
      <c r="J336" s="1">
        <v>2</v>
      </c>
      <c r="K336" s="1">
        <v>1</v>
      </c>
      <c r="M336" s="1" t="s">
        <v>287</v>
      </c>
      <c r="N336" s="1">
        <f t="shared" si="85"/>
        <v>0.14285714285714285</v>
      </c>
      <c r="O336" s="1">
        <f t="shared" si="86"/>
        <v>0.46666666666666667</v>
      </c>
      <c r="P336" s="1">
        <f t="shared" si="87"/>
        <v>0.5</v>
      </c>
      <c r="Q336" s="1">
        <f t="shared" si="88"/>
        <v>0.33333333333333331</v>
      </c>
      <c r="S336" s="1" t="s">
        <v>287</v>
      </c>
      <c r="T336" s="1">
        <f t="shared" si="89"/>
        <v>1.4291548761875762E-2</v>
      </c>
      <c r="U336" s="1">
        <f t="shared" si="90"/>
        <v>3.5544202143874222E-2</v>
      </c>
      <c r="V336" s="1">
        <f t="shared" si="91"/>
        <v>3.1574382095289864E-2</v>
      </c>
      <c r="W336" s="1">
        <f t="shared" si="92"/>
        <v>1.3453455879926239E-2</v>
      </c>
      <c r="Y336" s="1" t="s">
        <v>287</v>
      </c>
      <c r="Z336" s="1">
        <f t="shared" si="93"/>
        <v>4.2874646285627283E-3</v>
      </c>
      <c r="AA336" s="1">
        <f t="shared" si="94"/>
        <v>7.1088404287748446E-3</v>
      </c>
      <c r="AB336" s="1">
        <f t="shared" si="95"/>
        <v>9.4723146285869593E-3</v>
      </c>
      <c r="AC336" s="1">
        <f t="shared" si="96"/>
        <v>2.6906911759852479E-3</v>
      </c>
      <c r="AK336" s="17" t="s">
        <v>925</v>
      </c>
      <c r="AL336" s="17">
        <f t="shared" si="97"/>
        <v>2.8089688277277761E-2</v>
      </c>
      <c r="AM336" s="17">
        <f t="shared" si="98"/>
        <v>1.1110845887374663E-2</v>
      </c>
      <c r="AO336" s="17" t="s">
        <v>1637</v>
      </c>
      <c r="AP336" s="17">
        <f t="shared" si="99"/>
        <v>0.40665976681870514</v>
      </c>
      <c r="AR336" s="1" t="s">
        <v>287</v>
      </c>
      <c r="AS336" s="17">
        <f t="shared" si="100"/>
        <v>0.40665976681870514</v>
      </c>
      <c r="AT336" s="17">
        <f t="shared" si="101"/>
        <v>592</v>
      </c>
    </row>
    <row r="337" spans="6:46" x14ac:dyDescent="0.3">
      <c r="F337" s="1">
        <v>335</v>
      </c>
      <c r="G337" s="1" t="s">
        <v>288</v>
      </c>
      <c r="H337" s="1">
        <v>3</v>
      </c>
      <c r="I337" s="1">
        <v>25</v>
      </c>
      <c r="J337" s="1">
        <v>5</v>
      </c>
      <c r="K337" s="1">
        <v>3</v>
      </c>
      <c r="M337" s="1" t="s">
        <v>288</v>
      </c>
      <c r="N337" s="1">
        <f t="shared" si="85"/>
        <v>0.42857142857142855</v>
      </c>
      <c r="O337" s="1">
        <f t="shared" si="86"/>
        <v>0.23809523809523808</v>
      </c>
      <c r="P337" s="1">
        <f t="shared" si="87"/>
        <v>0.2</v>
      </c>
      <c r="Q337" s="1">
        <f t="shared" si="88"/>
        <v>1</v>
      </c>
      <c r="S337" s="1" t="s">
        <v>288</v>
      </c>
      <c r="T337" s="1">
        <f t="shared" si="89"/>
        <v>4.2874646285627281E-2</v>
      </c>
      <c r="U337" s="1">
        <f t="shared" si="90"/>
        <v>1.8134797012180723E-2</v>
      </c>
      <c r="V337" s="1">
        <f t="shared" si="91"/>
        <v>1.2629752838115946E-2</v>
      </c>
      <c r="W337" s="1">
        <f t="shared" si="92"/>
        <v>4.0360367639778717E-2</v>
      </c>
      <c r="Y337" s="1" t="s">
        <v>288</v>
      </c>
      <c r="Z337" s="1">
        <f t="shared" si="93"/>
        <v>1.2862393885688184E-2</v>
      </c>
      <c r="AA337" s="1">
        <f t="shared" si="94"/>
        <v>3.6269594024361447E-3</v>
      </c>
      <c r="AB337" s="1">
        <f t="shared" si="95"/>
        <v>3.7889258514347836E-3</v>
      </c>
      <c r="AC337" s="1">
        <f t="shared" si="96"/>
        <v>8.0720735279557441E-3</v>
      </c>
      <c r="AK337" s="17" t="s">
        <v>926</v>
      </c>
      <c r="AL337" s="17">
        <f t="shared" si="97"/>
        <v>2.0708045596088614E-2</v>
      </c>
      <c r="AM337" s="17">
        <f t="shared" si="98"/>
        <v>2.0598185061512599E-2</v>
      </c>
      <c r="AO337" s="17" t="s">
        <v>1638</v>
      </c>
      <c r="AP337" s="17">
        <f t="shared" si="99"/>
        <v>1.0152929748683901</v>
      </c>
      <c r="AR337" s="1" t="s">
        <v>288</v>
      </c>
      <c r="AS337" s="17">
        <f t="shared" si="100"/>
        <v>1.0152929748683901</v>
      </c>
      <c r="AT337" s="17">
        <f t="shared" si="101"/>
        <v>133</v>
      </c>
    </row>
    <row r="338" spans="6:46" x14ac:dyDescent="0.3">
      <c r="F338" s="1">
        <v>336</v>
      </c>
      <c r="G338" s="1" t="s">
        <v>145</v>
      </c>
      <c r="H338" s="1">
        <v>1</v>
      </c>
      <c r="I338" s="1">
        <v>29</v>
      </c>
      <c r="J338" s="1">
        <v>2</v>
      </c>
      <c r="K338" s="1">
        <v>3</v>
      </c>
      <c r="M338" s="1" t="s">
        <v>145</v>
      </c>
      <c r="N338" s="1">
        <f t="shared" si="85"/>
        <v>0.14285714285714285</v>
      </c>
      <c r="O338" s="1">
        <f t="shared" si="86"/>
        <v>0.27619047619047621</v>
      </c>
      <c r="P338" s="1">
        <f t="shared" si="87"/>
        <v>0.5</v>
      </c>
      <c r="Q338" s="1">
        <f t="shared" si="88"/>
        <v>1</v>
      </c>
      <c r="S338" s="1" t="s">
        <v>145</v>
      </c>
      <c r="T338" s="1">
        <f t="shared" si="89"/>
        <v>1.4291548761875762E-2</v>
      </c>
      <c r="U338" s="1">
        <f t="shared" si="90"/>
        <v>2.1036364534129642E-2</v>
      </c>
      <c r="V338" s="1">
        <f t="shared" si="91"/>
        <v>3.1574382095289864E-2</v>
      </c>
      <c r="W338" s="1">
        <f t="shared" si="92"/>
        <v>4.0360367639778717E-2</v>
      </c>
      <c r="Y338" s="1" t="s">
        <v>145</v>
      </c>
      <c r="Z338" s="1">
        <f t="shared" si="93"/>
        <v>4.2874646285627283E-3</v>
      </c>
      <c r="AA338" s="1">
        <f t="shared" si="94"/>
        <v>4.2072729068259283E-3</v>
      </c>
      <c r="AB338" s="1">
        <f t="shared" si="95"/>
        <v>9.4723146285869593E-3</v>
      </c>
      <c r="AC338" s="1">
        <f t="shared" si="96"/>
        <v>8.0720735279557441E-3</v>
      </c>
      <c r="AK338" s="17" t="s">
        <v>927</v>
      </c>
      <c r="AL338" s="17">
        <f t="shared" si="97"/>
        <v>2.8559365056908495E-2</v>
      </c>
      <c r="AM338" s="17">
        <f t="shared" si="98"/>
        <v>1.1751498304793355E-2</v>
      </c>
      <c r="AO338" s="17" t="s">
        <v>1639</v>
      </c>
      <c r="AP338" s="17">
        <f t="shared" si="99"/>
        <v>0.42322767368113184</v>
      </c>
      <c r="AR338" s="1" t="s">
        <v>145</v>
      </c>
      <c r="AS338" s="17">
        <f t="shared" si="100"/>
        <v>0.42322767368113184</v>
      </c>
      <c r="AT338" s="17">
        <f t="shared" si="101"/>
        <v>582</v>
      </c>
    </row>
    <row r="339" spans="6:46" x14ac:dyDescent="0.3">
      <c r="F339" s="1">
        <v>337</v>
      </c>
      <c r="G339" s="1" t="s">
        <v>289</v>
      </c>
      <c r="H339" s="1">
        <v>1</v>
      </c>
      <c r="I339" s="1">
        <v>46</v>
      </c>
      <c r="J339" s="1">
        <v>1</v>
      </c>
      <c r="K339" s="1">
        <v>3</v>
      </c>
      <c r="M339" s="1" t="s">
        <v>289</v>
      </c>
      <c r="N339" s="1">
        <f t="shared" si="85"/>
        <v>0.14285714285714285</v>
      </c>
      <c r="O339" s="1">
        <f t="shared" si="86"/>
        <v>0.43809523809523809</v>
      </c>
      <c r="P339" s="1">
        <f t="shared" si="87"/>
        <v>1</v>
      </c>
      <c r="Q339" s="1">
        <f t="shared" si="88"/>
        <v>1</v>
      </c>
      <c r="S339" s="1" t="s">
        <v>289</v>
      </c>
      <c r="T339" s="1">
        <f t="shared" si="89"/>
        <v>1.4291548761875762E-2</v>
      </c>
      <c r="U339" s="1">
        <f t="shared" si="90"/>
        <v>3.336802650241253E-2</v>
      </c>
      <c r="V339" s="1">
        <f t="shared" si="91"/>
        <v>6.3148764190579729E-2</v>
      </c>
      <c r="W339" s="1">
        <f t="shared" si="92"/>
        <v>4.0360367639778717E-2</v>
      </c>
      <c r="Y339" s="1" t="s">
        <v>289</v>
      </c>
      <c r="Z339" s="1">
        <f t="shared" si="93"/>
        <v>4.2874646285627283E-3</v>
      </c>
      <c r="AA339" s="1">
        <f t="shared" si="94"/>
        <v>6.6736053004825061E-3</v>
      </c>
      <c r="AB339" s="1">
        <f t="shared" si="95"/>
        <v>1.8944629257173919E-2</v>
      </c>
      <c r="AC339" s="1">
        <f t="shared" si="96"/>
        <v>8.0720735279557441E-3</v>
      </c>
      <c r="AK339" s="17" t="s">
        <v>928</v>
      </c>
      <c r="AL339" s="17">
        <f t="shared" si="97"/>
        <v>3.106005824004246E-2</v>
      </c>
      <c r="AM339" s="17">
        <f t="shared" si="98"/>
        <v>7.7113633321776167E-3</v>
      </c>
      <c r="AO339" s="17" t="s">
        <v>1640</v>
      </c>
      <c r="AP339" s="17">
        <f t="shared" si="99"/>
        <v>0.2559840250439373</v>
      </c>
      <c r="AR339" s="1" t="s">
        <v>289</v>
      </c>
      <c r="AS339" s="17">
        <f t="shared" si="100"/>
        <v>0.2559840250439373</v>
      </c>
      <c r="AT339" s="17">
        <f t="shared" si="101"/>
        <v>661</v>
      </c>
    </row>
    <row r="340" spans="6:46" x14ac:dyDescent="0.3">
      <c r="F340" s="1">
        <v>338</v>
      </c>
      <c r="G340" s="1" t="s">
        <v>290</v>
      </c>
      <c r="H340" s="1">
        <v>0</v>
      </c>
      <c r="I340" s="1">
        <v>78</v>
      </c>
      <c r="J340" s="1">
        <v>1</v>
      </c>
      <c r="K340" s="1">
        <v>2</v>
      </c>
      <c r="M340" s="1" t="s">
        <v>290</v>
      </c>
      <c r="N340" s="1">
        <f t="shared" si="85"/>
        <v>0</v>
      </c>
      <c r="O340" s="1">
        <f t="shared" si="86"/>
        <v>0.74285714285714288</v>
      </c>
      <c r="P340" s="1">
        <f t="shared" si="87"/>
        <v>1</v>
      </c>
      <c r="Q340" s="1">
        <f t="shared" si="88"/>
        <v>0.66666666666666663</v>
      </c>
      <c r="S340" s="1" t="s">
        <v>290</v>
      </c>
      <c r="T340" s="1">
        <f t="shared" si="89"/>
        <v>0</v>
      </c>
      <c r="U340" s="1">
        <f t="shared" si="90"/>
        <v>5.658056667800386E-2</v>
      </c>
      <c r="V340" s="1">
        <f t="shared" si="91"/>
        <v>6.3148764190579729E-2</v>
      </c>
      <c r="W340" s="1">
        <f t="shared" si="92"/>
        <v>2.6906911759852478E-2</v>
      </c>
      <c r="Y340" s="1" t="s">
        <v>290</v>
      </c>
      <c r="Z340" s="1">
        <f t="shared" si="93"/>
        <v>0</v>
      </c>
      <c r="AA340" s="1">
        <f t="shared" si="94"/>
        <v>1.1316113335600772E-2</v>
      </c>
      <c r="AB340" s="1">
        <f t="shared" si="95"/>
        <v>1.8944629257173919E-2</v>
      </c>
      <c r="AC340" s="1">
        <f t="shared" si="96"/>
        <v>5.3813823519704958E-3</v>
      </c>
      <c r="AK340" s="17" t="s">
        <v>929</v>
      </c>
      <c r="AL340" s="17">
        <f t="shared" si="97"/>
        <v>3.3956063638380989E-2</v>
      </c>
      <c r="AM340" s="17">
        <f t="shared" si="98"/>
        <v>8.5583594588242457E-3</v>
      </c>
      <c r="AO340" s="17" t="s">
        <v>1641</v>
      </c>
      <c r="AP340" s="17">
        <f t="shared" si="99"/>
        <v>0.26060051457926109</v>
      </c>
      <c r="AR340" s="1" t="s">
        <v>290</v>
      </c>
      <c r="AS340" s="17">
        <f t="shared" si="100"/>
        <v>0.26060051457926109</v>
      </c>
      <c r="AT340" s="17">
        <f t="shared" si="101"/>
        <v>657</v>
      </c>
    </row>
    <row r="341" spans="6:46" x14ac:dyDescent="0.3">
      <c r="F341" s="1">
        <v>339</v>
      </c>
      <c r="G341" s="1" t="s">
        <v>291</v>
      </c>
      <c r="H341" s="1">
        <v>3</v>
      </c>
      <c r="I341" s="1">
        <v>36</v>
      </c>
      <c r="J341" s="1">
        <v>2</v>
      </c>
      <c r="K341" s="1">
        <v>3</v>
      </c>
      <c r="M341" s="1" t="s">
        <v>291</v>
      </c>
      <c r="N341" s="1">
        <f t="shared" si="85"/>
        <v>0.42857142857142855</v>
      </c>
      <c r="O341" s="1">
        <f t="shared" si="86"/>
        <v>0.34285714285714286</v>
      </c>
      <c r="P341" s="1">
        <f t="shared" si="87"/>
        <v>0.5</v>
      </c>
      <c r="Q341" s="1">
        <f t="shared" si="88"/>
        <v>1</v>
      </c>
      <c r="S341" s="1" t="s">
        <v>291</v>
      </c>
      <c r="T341" s="1">
        <f t="shared" si="89"/>
        <v>4.2874646285627281E-2</v>
      </c>
      <c r="U341" s="1">
        <f t="shared" si="90"/>
        <v>2.6114107697540242E-2</v>
      </c>
      <c r="V341" s="1">
        <f t="shared" si="91"/>
        <v>3.1574382095289864E-2</v>
      </c>
      <c r="W341" s="1">
        <f t="shared" si="92"/>
        <v>4.0360367639778717E-2</v>
      </c>
      <c r="Y341" s="1" t="s">
        <v>291</v>
      </c>
      <c r="Z341" s="1">
        <f t="shared" si="93"/>
        <v>1.2862393885688184E-2</v>
      </c>
      <c r="AA341" s="1">
        <f t="shared" si="94"/>
        <v>5.2228215395080484E-3</v>
      </c>
      <c r="AB341" s="1">
        <f t="shared" si="95"/>
        <v>9.4723146285869593E-3</v>
      </c>
      <c r="AC341" s="1">
        <f t="shared" si="96"/>
        <v>8.0720735279557441E-3</v>
      </c>
      <c r="AK341" s="17" t="s">
        <v>930</v>
      </c>
      <c r="AL341" s="17">
        <f t="shared" si="97"/>
        <v>2.0654946680904247E-2</v>
      </c>
      <c r="AM341" s="17">
        <f t="shared" si="98"/>
        <v>1.697794313257648E-2</v>
      </c>
      <c r="AO341" s="17" t="s">
        <v>1642</v>
      </c>
      <c r="AP341" s="17">
        <f t="shared" si="99"/>
        <v>0.83895746188257159</v>
      </c>
      <c r="AR341" s="1" t="s">
        <v>291</v>
      </c>
      <c r="AS341" s="17">
        <f t="shared" si="100"/>
        <v>0.83895746188257159</v>
      </c>
      <c r="AT341" s="17">
        <f t="shared" si="101"/>
        <v>276</v>
      </c>
    </row>
    <row r="342" spans="6:46" x14ac:dyDescent="0.3">
      <c r="F342" s="1">
        <v>340</v>
      </c>
      <c r="G342" s="1" t="s">
        <v>292</v>
      </c>
      <c r="H342" s="1">
        <v>6</v>
      </c>
      <c r="I342" s="1">
        <v>47</v>
      </c>
      <c r="J342" s="1">
        <v>2</v>
      </c>
      <c r="K342" s="1">
        <v>3</v>
      </c>
      <c r="M342" s="1" t="s">
        <v>292</v>
      </c>
      <c r="N342" s="1">
        <f t="shared" si="85"/>
        <v>0.8571428571428571</v>
      </c>
      <c r="O342" s="1">
        <f t="shared" si="86"/>
        <v>0.44761904761904764</v>
      </c>
      <c r="P342" s="1">
        <f t="shared" si="87"/>
        <v>0.5</v>
      </c>
      <c r="Q342" s="1">
        <f t="shared" si="88"/>
        <v>1</v>
      </c>
      <c r="S342" s="1" t="s">
        <v>292</v>
      </c>
      <c r="T342" s="1">
        <f t="shared" si="89"/>
        <v>8.5749292571254562E-2</v>
      </c>
      <c r="U342" s="1">
        <f t="shared" si="90"/>
        <v>3.4093418382899761E-2</v>
      </c>
      <c r="V342" s="1">
        <f t="shared" si="91"/>
        <v>3.1574382095289864E-2</v>
      </c>
      <c r="W342" s="1">
        <f t="shared" si="92"/>
        <v>4.0360367639778717E-2</v>
      </c>
      <c r="Y342" s="1" t="s">
        <v>292</v>
      </c>
      <c r="Z342" s="1">
        <f t="shared" si="93"/>
        <v>2.5724787771376368E-2</v>
      </c>
      <c r="AA342" s="1">
        <f t="shared" si="94"/>
        <v>6.8186836765799525E-3</v>
      </c>
      <c r="AB342" s="1">
        <f t="shared" si="95"/>
        <v>9.4723146285869593E-3</v>
      </c>
      <c r="AC342" s="1">
        <f t="shared" si="96"/>
        <v>8.0720735279557441E-3</v>
      </c>
      <c r="AK342" s="17" t="s">
        <v>931</v>
      </c>
      <c r="AL342" s="17">
        <f t="shared" si="97"/>
        <v>1.1022152338970907E-2</v>
      </c>
      <c r="AM342" s="17">
        <f t="shared" si="98"/>
        <v>2.8170970179074717E-2</v>
      </c>
      <c r="AO342" s="17" t="s">
        <v>1643</v>
      </c>
      <c r="AP342" s="17">
        <f t="shared" si="99"/>
        <v>2.584021162837991</v>
      </c>
      <c r="AR342" s="1" t="s">
        <v>292</v>
      </c>
      <c r="AS342" s="17">
        <f t="shared" si="100"/>
        <v>2.584021162837991</v>
      </c>
      <c r="AT342" s="17">
        <f t="shared" si="101"/>
        <v>8</v>
      </c>
    </row>
    <row r="343" spans="6:46" x14ac:dyDescent="0.3">
      <c r="F343" s="1">
        <v>341</v>
      </c>
      <c r="G343" s="1" t="s">
        <v>293</v>
      </c>
      <c r="H343" s="1">
        <v>3</v>
      </c>
      <c r="I343" s="1">
        <v>50</v>
      </c>
      <c r="J343" s="1">
        <v>2</v>
      </c>
      <c r="K343" s="1">
        <v>3</v>
      </c>
      <c r="M343" s="1" t="s">
        <v>293</v>
      </c>
      <c r="N343" s="1">
        <f t="shared" si="85"/>
        <v>0.42857142857142855</v>
      </c>
      <c r="O343" s="1">
        <f t="shared" si="86"/>
        <v>0.47619047619047616</v>
      </c>
      <c r="P343" s="1">
        <f t="shared" si="87"/>
        <v>0.5</v>
      </c>
      <c r="Q343" s="1">
        <f t="shared" si="88"/>
        <v>1</v>
      </c>
      <c r="S343" s="1" t="s">
        <v>293</v>
      </c>
      <c r="T343" s="1">
        <f t="shared" si="89"/>
        <v>4.2874646285627281E-2</v>
      </c>
      <c r="U343" s="1">
        <f t="shared" si="90"/>
        <v>3.6269594024361446E-2</v>
      </c>
      <c r="V343" s="1">
        <f t="shared" si="91"/>
        <v>3.1574382095289864E-2</v>
      </c>
      <c r="W343" s="1">
        <f t="shared" si="92"/>
        <v>4.0360367639778717E-2</v>
      </c>
      <c r="Y343" s="1" t="s">
        <v>293</v>
      </c>
      <c r="Z343" s="1">
        <f t="shared" si="93"/>
        <v>1.2862393885688184E-2</v>
      </c>
      <c r="AA343" s="1">
        <f t="shared" si="94"/>
        <v>7.2539188048722893E-3</v>
      </c>
      <c r="AB343" s="1">
        <f t="shared" si="95"/>
        <v>9.4723146285869593E-3</v>
      </c>
      <c r="AC343" s="1">
        <f t="shared" si="96"/>
        <v>8.0720735279557441E-3</v>
      </c>
      <c r="AK343" s="17" t="s">
        <v>932</v>
      </c>
      <c r="AL343" s="17">
        <f t="shared" si="97"/>
        <v>1.9750644396185572E-2</v>
      </c>
      <c r="AM343" s="17">
        <f t="shared" si="98"/>
        <v>1.7338587639052702E-2</v>
      </c>
      <c r="AO343" s="17" t="s">
        <v>1644</v>
      </c>
      <c r="AP343" s="17">
        <f t="shared" si="99"/>
        <v>0.89521311624943523</v>
      </c>
      <c r="AR343" s="1" t="s">
        <v>293</v>
      </c>
      <c r="AS343" s="17">
        <f t="shared" si="100"/>
        <v>0.89521311624943523</v>
      </c>
      <c r="AT343" s="17">
        <f t="shared" si="101"/>
        <v>181</v>
      </c>
    </row>
    <row r="344" spans="6:46" x14ac:dyDescent="0.3">
      <c r="F344" s="1">
        <v>342</v>
      </c>
      <c r="G344" s="1" t="s">
        <v>294</v>
      </c>
      <c r="H344" s="1">
        <v>2</v>
      </c>
      <c r="I344" s="1">
        <v>33</v>
      </c>
      <c r="J344" s="1">
        <v>3</v>
      </c>
      <c r="K344" s="1">
        <v>3</v>
      </c>
      <c r="M344" s="1" t="s">
        <v>294</v>
      </c>
      <c r="N344" s="1">
        <f t="shared" si="85"/>
        <v>0.2857142857142857</v>
      </c>
      <c r="O344" s="1">
        <f t="shared" si="86"/>
        <v>0.31428571428571428</v>
      </c>
      <c r="P344" s="1">
        <f t="shared" si="87"/>
        <v>0.33333333333333331</v>
      </c>
      <c r="Q344" s="1">
        <f t="shared" si="88"/>
        <v>1</v>
      </c>
      <c r="S344" s="1" t="s">
        <v>294</v>
      </c>
      <c r="T344" s="1">
        <f t="shared" si="89"/>
        <v>2.8583097523751523E-2</v>
      </c>
      <c r="U344" s="1">
        <f t="shared" si="90"/>
        <v>2.3937932056078554E-2</v>
      </c>
      <c r="V344" s="1">
        <f t="shared" si="91"/>
        <v>2.1049588063526574E-2</v>
      </c>
      <c r="W344" s="1">
        <f t="shared" si="92"/>
        <v>4.0360367639778717E-2</v>
      </c>
      <c r="Y344" s="1" t="s">
        <v>294</v>
      </c>
      <c r="Z344" s="1">
        <f t="shared" si="93"/>
        <v>8.5749292571254566E-3</v>
      </c>
      <c r="AA344" s="1">
        <f t="shared" si="94"/>
        <v>4.7875864112157107E-3</v>
      </c>
      <c r="AB344" s="1">
        <f t="shared" si="95"/>
        <v>6.314876419057972E-3</v>
      </c>
      <c r="AC344" s="1">
        <f t="shared" si="96"/>
        <v>8.0720735279557441E-3</v>
      </c>
      <c r="AK344" s="17" t="s">
        <v>933</v>
      </c>
      <c r="AL344" s="17">
        <f t="shared" si="97"/>
        <v>2.3980214951782361E-2</v>
      </c>
      <c r="AM344" s="17">
        <f t="shared" si="98"/>
        <v>1.6264873823526673E-2</v>
      </c>
      <c r="AO344" s="17" t="s">
        <v>1645</v>
      </c>
      <c r="AP344" s="17">
        <f t="shared" si="99"/>
        <v>0.69452709358389486</v>
      </c>
      <c r="AR344" s="1" t="s">
        <v>294</v>
      </c>
      <c r="AS344" s="17">
        <f t="shared" si="100"/>
        <v>0.69452709358389486</v>
      </c>
      <c r="AT344" s="17">
        <f t="shared" si="101"/>
        <v>351</v>
      </c>
    </row>
    <row r="345" spans="6:46" x14ac:dyDescent="0.3">
      <c r="F345" s="1">
        <v>343</v>
      </c>
      <c r="G345" s="1" t="s">
        <v>295</v>
      </c>
      <c r="H345" s="1">
        <v>2</v>
      </c>
      <c r="I345" s="1">
        <v>32</v>
      </c>
      <c r="J345" s="1">
        <v>2</v>
      </c>
      <c r="K345" s="1">
        <v>3</v>
      </c>
      <c r="M345" s="1" t="s">
        <v>295</v>
      </c>
      <c r="N345" s="1">
        <f t="shared" si="85"/>
        <v>0.2857142857142857</v>
      </c>
      <c r="O345" s="1">
        <f t="shared" si="86"/>
        <v>0.30476190476190479</v>
      </c>
      <c r="P345" s="1">
        <f t="shared" si="87"/>
        <v>0.5</v>
      </c>
      <c r="Q345" s="1">
        <f t="shared" si="88"/>
        <v>1</v>
      </c>
      <c r="S345" s="1" t="s">
        <v>295</v>
      </c>
      <c r="T345" s="1">
        <f t="shared" si="89"/>
        <v>2.8583097523751523E-2</v>
      </c>
      <c r="U345" s="1">
        <f t="shared" si="90"/>
        <v>2.321254017559133E-2</v>
      </c>
      <c r="V345" s="1">
        <f t="shared" si="91"/>
        <v>3.1574382095289864E-2</v>
      </c>
      <c r="W345" s="1">
        <f t="shared" si="92"/>
        <v>4.0360367639778717E-2</v>
      </c>
      <c r="Y345" s="1" t="s">
        <v>295</v>
      </c>
      <c r="Z345" s="1">
        <f t="shared" si="93"/>
        <v>8.5749292571254566E-3</v>
      </c>
      <c r="AA345" s="1">
        <f t="shared" si="94"/>
        <v>4.642508035118266E-3</v>
      </c>
      <c r="AB345" s="1">
        <f t="shared" si="95"/>
        <v>9.4723146285869593E-3</v>
      </c>
      <c r="AC345" s="1">
        <f t="shared" si="96"/>
        <v>8.0720735279557441E-3</v>
      </c>
      <c r="AK345" s="17" t="s">
        <v>934</v>
      </c>
      <c r="AL345" s="17">
        <f t="shared" si="97"/>
        <v>2.4576881666750868E-2</v>
      </c>
      <c r="AM345" s="17">
        <f t="shared" si="98"/>
        <v>1.3939806516837145E-2</v>
      </c>
      <c r="AO345" s="17" t="s">
        <v>1646</v>
      </c>
      <c r="AP345" s="17">
        <f t="shared" si="99"/>
        <v>0.58113163767968889</v>
      </c>
      <c r="AR345" s="1" t="s">
        <v>295</v>
      </c>
      <c r="AS345" s="17">
        <f t="shared" si="100"/>
        <v>0.58113163767968889</v>
      </c>
      <c r="AT345" s="17">
        <f t="shared" si="101"/>
        <v>467</v>
      </c>
    </row>
    <row r="346" spans="6:46" x14ac:dyDescent="0.3">
      <c r="F346" s="1">
        <v>344</v>
      </c>
      <c r="G346" s="1" t="s">
        <v>296</v>
      </c>
      <c r="H346" s="1">
        <v>3</v>
      </c>
      <c r="I346" s="1">
        <v>30</v>
      </c>
      <c r="J346" s="1">
        <v>3</v>
      </c>
      <c r="K346" s="1">
        <v>3</v>
      </c>
      <c r="M346" s="1" t="s">
        <v>296</v>
      </c>
      <c r="N346" s="1">
        <f t="shared" si="85"/>
        <v>0.42857142857142855</v>
      </c>
      <c r="O346" s="1">
        <f t="shared" si="86"/>
        <v>0.2857142857142857</v>
      </c>
      <c r="P346" s="1">
        <f t="shared" si="87"/>
        <v>0.33333333333333331</v>
      </c>
      <c r="Q346" s="1">
        <f t="shared" si="88"/>
        <v>1</v>
      </c>
      <c r="S346" s="1" t="s">
        <v>296</v>
      </c>
      <c r="T346" s="1">
        <f t="shared" si="89"/>
        <v>4.2874646285627281E-2</v>
      </c>
      <c r="U346" s="1">
        <f t="shared" si="90"/>
        <v>2.1761756414616869E-2</v>
      </c>
      <c r="V346" s="1">
        <f t="shared" si="91"/>
        <v>2.1049588063526574E-2</v>
      </c>
      <c r="W346" s="1">
        <f t="shared" si="92"/>
        <v>4.0360367639778717E-2</v>
      </c>
      <c r="Y346" s="1" t="s">
        <v>296</v>
      </c>
      <c r="Z346" s="1">
        <f t="shared" si="93"/>
        <v>1.2862393885688184E-2</v>
      </c>
      <c r="AA346" s="1">
        <f t="shared" si="94"/>
        <v>4.3523512829233739E-3</v>
      </c>
      <c r="AB346" s="1">
        <f t="shared" si="95"/>
        <v>6.314876419057972E-3</v>
      </c>
      <c r="AC346" s="1">
        <f t="shared" si="96"/>
        <v>8.0720735279557441E-3</v>
      </c>
      <c r="AK346" s="17" t="s">
        <v>935</v>
      </c>
      <c r="AL346" s="17">
        <f t="shared" si="97"/>
        <v>2.0466841082374683E-2</v>
      </c>
      <c r="AM346" s="17">
        <f t="shared" si="98"/>
        <v>1.8848293405348261E-2</v>
      </c>
      <c r="AO346" s="17" t="s">
        <v>1647</v>
      </c>
      <c r="AP346" s="17">
        <f t="shared" si="99"/>
        <v>0.93976683327615129</v>
      </c>
      <c r="AR346" s="1" t="s">
        <v>296</v>
      </c>
      <c r="AS346" s="17">
        <f t="shared" si="100"/>
        <v>0.93976683327615129</v>
      </c>
      <c r="AT346" s="17">
        <f t="shared" si="101"/>
        <v>163</v>
      </c>
    </row>
    <row r="347" spans="6:46" x14ac:dyDescent="0.3">
      <c r="F347" s="1">
        <v>345</v>
      </c>
      <c r="G347" s="1" t="s">
        <v>297</v>
      </c>
      <c r="H347" s="1">
        <v>3</v>
      </c>
      <c r="I347" s="1">
        <v>48</v>
      </c>
      <c r="J347" s="1">
        <v>3</v>
      </c>
      <c r="K347" s="1">
        <v>3</v>
      </c>
      <c r="M347" s="1" t="s">
        <v>297</v>
      </c>
      <c r="N347" s="1">
        <f t="shared" si="85"/>
        <v>0.42857142857142855</v>
      </c>
      <c r="O347" s="1">
        <f t="shared" si="86"/>
        <v>0.45714285714285713</v>
      </c>
      <c r="P347" s="1">
        <f t="shared" si="87"/>
        <v>0.33333333333333331</v>
      </c>
      <c r="Q347" s="1">
        <f t="shared" si="88"/>
        <v>1</v>
      </c>
      <c r="S347" s="1" t="s">
        <v>297</v>
      </c>
      <c r="T347" s="1">
        <f t="shared" si="89"/>
        <v>4.2874646285627281E-2</v>
      </c>
      <c r="U347" s="1">
        <f t="shared" si="90"/>
        <v>3.4818810263386991E-2</v>
      </c>
      <c r="V347" s="1">
        <f t="shared" si="91"/>
        <v>2.1049588063526574E-2</v>
      </c>
      <c r="W347" s="1">
        <f t="shared" si="92"/>
        <v>4.0360367639778717E-2</v>
      </c>
      <c r="Y347" s="1" t="s">
        <v>297</v>
      </c>
      <c r="Z347" s="1">
        <f t="shared" si="93"/>
        <v>1.2862393885688184E-2</v>
      </c>
      <c r="AA347" s="1">
        <f t="shared" si="94"/>
        <v>6.963762052677399E-3</v>
      </c>
      <c r="AB347" s="1">
        <f t="shared" si="95"/>
        <v>6.314876419057972E-3</v>
      </c>
      <c r="AC347" s="1">
        <f t="shared" si="96"/>
        <v>8.0720735279557441E-3</v>
      </c>
      <c r="AK347" s="17" t="s">
        <v>936</v>
      </c>
      <c r="AL347" s="17">
        <f t="shared" si="97"/>
        <v>1.9206305345632543E-2</v>
      </c>
      <c r="AM347" s="17">
        <f t="shared" si="98"/>
        <v>1.9186958545930895E-2</v>
      </c>
      <c r="AO347" s="17" t="s">
        <v>1648</v>
      </c>
      <c r="AP347" s="17">
        <f t="shared" si="99"/>
        <v>1.0181796435338302</v>
      </c>
      <c r="AR347" s="1" t="s">
        <v>297</v>
      </c>
      <c r="AS347" s="17">
        <f t="shared" si="100"/>
        <v>1.0181796435338302</v>
      </c>
      <c r="AT347" s="17">
        <f t="shared" si="101"/>
        <v>130</v>
      </c>
    </row>
    <row r="348" spans="6:46" x14ac:dyDescent="0.3">
      <c r="F348" s="1">
        <v>346</v>
      </c>
      <c r="G348" s="1" t="s">
        <v>298</v>
      </c>
      <c r="H348" s="1">
        <v>2</v>
      </c>
      <c r="I348" s="1">
        <v>51</v>
      </c>
      <c r="J348" s="1">
        <v>2</v>
      </c>
      <c r="K348" s="1">
        <v>3</v>
      </c>
      <c r="M348" s="1" t="s">
        <v>298</v>
      </c>
      <c r="N348" s="1">
        <f t="shared" si="85"/>
        <v>0.2857142857142857</v>
      </c>
      <c r="O348" s="1">
        <f t="shared" si="86"/>
        <v>0.48571428571428571</v>
      </c>
      <c r="P348" s="1">
        <f t="shared" si="87"/>
        <v>0.5</v>
      </c>
      <c r="Q348" s="1">
        <f t="shared" si="88"/>
        <v>1</v>
      </c>
      <c r="S348" s="1" t="s">
        <v>298</v>
      </c>
      <c r="T348" s="1">
        <f t="shared" si="89"/>
        <v>2.8583097523751523E-2</v>
      </c>
      <c r="U348" s="1">
        <f t="shared" si="90"/>
        <v>3.6994985904848676E-2</v>
      </c>
      <c r="V348" s="1">
        <f t="shared" si="91"/>
        <v>3.1574382095289864E-2</v>
      </c>
      <c r="W348" s="1">
        <f t="shared" si="92"/>
        <v>4.0360367639778717E-2</v>
      </c>
      <c r="Y348" s="1" t="s">
        <v>298</v>
      </c>
      <c r="Z348" s="1">
        <f t="shared" si="93"/>
        <v>8.5749292571254566E-3</v>
      </c>
      <c r="AA348" s="1">
        <f t="shared" si="94"/>
        <v>7.3989971809697358E-3</v>
      </c>
      <c r="AB348" s="1">
        <f t="shared" si="95"/>
        <v>9.4723146285869593E-3</v>
      </c>
      <c r="AC348" s="1">
        <f t="shared" si="96"/>
        <v>8.0720735279557441E-3</v>
      </c>
      <c r="AK348" s="17" t="s">
        <v>937</v>
      </c>
      <c r="AL348" s="17">
        <f t="shared" si="97"/>
        <v>2.3520946566776568E-2</v>
      </c>
      <c r="AM348" s="17">
        <f t="shared" si="98"/>
        <v>1.4488429090769629E-2</v>
      </c>
      <c r="AO348" s="17" t="s">
        <v>1649</v>
      </c>
      <c r="AP348" s="17">
        <f t="shared" si="99"/>
        <v>0.63046827708016107</v>
      </c>
      <c r="AR348" s="1" t="s">
        <v>298</v>
      </c>
      <c r="AS348" s="17">
        <f t="shared" si="100"/>
        <v>0.63046827708016107</v>
      </c>
      <c r="AT348" s="17">
        <f t="shared" si="101"/>
        <v>399</v>
      </c>
    </row>
    <row r="349" spans="6:46" x14ac:dyDescent="0.3">
      <c r="F349" s="1">
        <v>347</v>
      </c>
      <c r="G349" s="1" t="s">
        <v>299</v>
      </c>
      <c r="H349" s="1">
        <v>2</v>
      </c>
      <c r="I349" s="1">
        <v>43</v>
      </c>
      <c r="J349" s="1">
        <v>3</v>
      </c>
      <c r="K349" s="1">
        <v>3</v>
      </c>
      <c r="M349" s="1" t="s">
        <v>299</v>
      </c>
      <c r="N349" s="1">
        <f t="shared" si="85"/>
        <v>0.2857142857142857</v>
      </c>
      <c r="O349" s="1">
        <f t="shared" si="86"/>
        <v>0.40952380952380951</v>
      </c>
      <c r="P349" s="1">
        <f t="shared" si="87"/>
        <v>0.33333333333333331</v>
      </c>
      <c r="Q349" s="1">
        <f t="shared" si="88"/>
        <v>1</v>
      </c>
      <c r="S349" s="1" t="s">
        <v>299</v>
      </c>
      <c r="T349" s="1">
        <f t="shared" si="89"/>
        <v>2.8583097523751523E-2</v>
      </c>
      <c r="U349" s="1">
        <f t="shared" si="90"/>
        <v>3.1191850860950845E-2</v>
      </c>
      <c r="V349" s="1">
        <f t="shared" si="91"/>
        <v>2.1049588063526574E-2</v>
      </c>
      <c r="W349" s="1">
        <f t="shared" si="92"/>
        <v>4.0360367639778717E-2</v>
      </c>
      <c r="Y349" s="1" t="s">
        <v>299</v>
      </c>
      <c r="Z349" s="1">
        <f t="shared" si="93"/>
        <v>8.5749292571254566E-3</v>
      </c>
      <c r="AA349" s="1">
        <f t="shared" si="94"/>
        <v>6.2383701721901693E-3</v>
      </c>
      <c r="AB349" s="1">
        <f t="shared" si="95"/>
        <v>6.314876419057972E-3</v>
      </c>
      <c r="AC349" s="1">
        <f t="shared" si="96"/>
        <v>8.0720735279557441E-3</v>
      </c>
      <c r="AK349" s="17" t="s">
        <v>938</v>
      </c>
      <c r="AL349" s="17">
        <f t="shared" si="97"/>
        <v>2.3384754519790236E-2</v>
      </c>
      <c r="AM349" s="17">
        <f t="shared" si="98"/>
        <v>1.6470622203268042E-2</v>
      </c>
      <c r="AO349" s="17" t="s">
        <v>1650</v>
      </c>
      <c r="AP349" s="17">
        <f t="shared" si="99"/>
        <v>0.7208022494319889</v>
      </c>
      <c r="AR349" s="1" t="s">
        <v>299</v>
      </c>
      <c r="AS349" s="17">
        <f t="shared" si="100"/>
        <v>0.7208022494319889</v>
      </c>
      <c r="AT349" s="17">
        <f t="shared" si="101"/>
        <v>330</v>
      </c>
    </row>
    <row r="350" spans="6:46" x14ac:dyDescent="0.3">
      <c r="F350" s="1">
        <v>348</v>
      </c>
      <c r="G350" s="1" t="s">
        <v>300</v>
      </c>
      <c r="H350" s="1">
        <v>3</v>
      </c>
      <c r="I350" s="1">
        <v>45</v>
      </c>
      <c r="J350" s="1">
        <v>5</v>
      </c>
      <c r="K350" s="1">
        <v>3</v>
      </c>
      <c r="M350" s="1" t="s">
        <v>300</v>
      </c>
      <c r="N350" s="1">
        <f t="shared" si="85"/>
        <v>0.42857142857142855</v>
      </c>
      <c r="O350" s="1">
        <f t="shared" si="86"/>
        <v>0.42857142857142855</v>
      </c>
      <c r="P350" s="1">
        <f t="shared" si="87"/>
        <v>0.2</v>
      </c>
      <c r="Q350" s="1">
        <f t="shared" si="88"/>
        <v>1</v>
      </c>
      <c r="S350" s="1" t="s">
        <v>300</v>
      </c>
      <c r="T350" s="1">
        <f t="shared" si="89"/>
        <v>4.2874646285627281E-2</v>
      </c>
      <c r="U350" s="1">
        <f t="shared" si="90"/>
        <v>3.26426346219253E-2</v>
      </c>
      <c r="V350" s="1">
        <f t="shared" si="91"/>
        <v>1.2629752838115946E-2</v>
      </c>
      <c r="W350" s="1">
        <f t="shared" si="92"/>
        <v>4.0360367639778717E-2</v>
      </c>
      <c r="Y350" s="1" t="s">
        <v>300</v>
      </c>
      <c r="Z350" s="1">
        <f t="shared" si="93"/>
        <v>1.2862393885688184E-2</v>
      </c>
      <c r="AA350" s="1">
        <f t="shared" si="94"/>
        <v>6.5285269243850605E-3</v>
      </c>
      <c r="AB350" s="1">
        <f t="shared" si="95"/>
        <v>3.7889258514347836E-3</v>
      </c>
      <c r="AC350" s="1">
        <f t="shared" si="96"/>
        <v>8.0720735279557441E-3</v>
      </c>
      <c r="AK350" s="17" t="s">
        <v>939</v>
      </c>
      <c r="AL350" s="17">
        <f t="shared" si="97"/>
        <v>1.9232511375758592E-2</v>
      </c>
      <c r="AM350" s="17">
        <f t="shared" si="98"/>
        <v>2.0862167915585334E-2</v>
      </c>
      <c r="AO350" s="17" t="s">
        <v>1651</v>
      </c>
      <c r="AP350" s="17">
        <f t="shared" si="99"/>
        <v>1.1055966317610519</v>
      </c>
      <c r="AR350" s="1" t="s">
        <v>300</v>
      </c>
      <c r="AS350" s="17">
        <f t="shared" si="100"/>
        <v>1.1055966317610519</v>
      </c>
      <c r="AT350" s="17">
        <f t="shared" si="101"/>
        <v>104</v>
      </c>
    </row>
    <row r="351" spans="6:46" x14ac:dyDescent="0.3">
      <c r="F351" s="1">
        <v>349</v>
      </c>
      <c r="G351" s="1" t="s">
        <v>301</v>
      </c>
      <c r="H351" s="1">
        <v>2</v>
      </c>
      <c r="I351" s="1">
        <v>36</v>
      </c>
      <c r="J351" s="1">
        <v>2</v>
      </c>
      <c r="K351" s="1">
        <v>2</v>
      </c>
      <c r="M351" s="1" t="s">
        <v>301</v>
      </c>
      <c r="N351" s="1">
        <f t="shared" si="85"/>
        <v>0.2857142857142857</v>
      </c>
      <c r="O351" s="1">
        <f t="shared" si="86"/>
        <v>0.34285714285714286</v>
      </c>
      <c r="P351" s="1">
        <f t="shared" si="87"/>
        <v>0.5</v>
      </c>
      <c r="Q351" s="1">
        <f t="shared" si="88"/>
        <v>0.66666666666666663</v>
      </c>
      <c r="S351" s="1" t="s">
        <v>301</v>
      </c>
      <c r="T351" s="1">
        <f t="shared" si="89"/>
        <v>2.8583097523751523E-2</v>
      </c>
      <c r="U351" s="1">
        <f t="shared" si="90"/>
        <v>2.6114107697540242E-2</v>
      </c>
      <c r="V351" s="1">
        <f t="shared" si="91"/>
        <v>3.1574382095289864E-2</v>
      </c>
      <c r="W351" s="1">
        <f t="shared" si="92"/>
        <v>2.6906911759852478E-2</v>
      </c>
      <c r="Y351" s="1" t="s">
        <v>301</v>
      </c>
      <c r="Z351" s="1">
        <f t="shared" si="93"/>
        <v>8.5749292571254566E-3</v>
      </c>
      <c r="AA351" s="1">
        <f t="shared" si="94"/>
        <v>5.2228215395080484E-3</v>
      </c>
      <c r="AB351" s="1">
        <f t="shared" si="95"/>
        <v>9.4723146285869593E-3</v>
      </c>
      <c r="AC351" s="1">
        <f t="shared" si="96"/>
        <v>5.3813823519704958E-3</v>
      </c>
      <c r="AK351" s="17" t="s">
        <v>940</v>
      </c>
      <c r="AL351" s="17">
        <f t="shared" si="97"/>
        <v>2.4480764241871844E-2</v>
      </c>
      <c r="AM351" s="17">
        <f t="shared" si="98"/>
        <v>1.321436079776633E-2</v>
      </c>
      <c r="AO351" s="17" t="s">
        <v>1652</v>
      </c>
      <c r="AP351" s="17">
        <f t="shared" si="99"/>
        <v>0.55299982938883729</v>
      </c>
      <c r="AR351" s="1" t="s">
        <v>301</v>
      </c>
      <c r="AS351" s="17">
        <f t="shared" si="100"/>
        <v>0.55299982938883729</v>
      </c>
      <c r="AT351" s="17">
        <f t="shared" si="101"/>
        <v>509</v>
      </c>
    </row>
    <row r="352" spans="6:46" x14ac:dyDescent="0.3">
      <c r="F352" s="1">
        <v>350</v>
      </c>
      <c r="G352" s="1" t="s">
        <v>302</v>
      </c>
      <c r="H352" s="1">
        <v>0</v>
      </c>
      <c r="I352" s="1">
        <v>40</v>
      </c>
      <c r="J352" s="1">
        <v>5</v>
      </c>
      <c r="K352" s="1">
        <v>1</v>
      </c>
      <c r="M352" s="1" t="s">
        <v>302</v>
      </c>
      <c r="N352" s="1">
        <f t="shared" si="85"/>
        <v>0</v>
      </c>
      <c r="O352" s="1">
        <f t="shared" si="86"/>
        <v>0.38095238095238093</v>
      </c>
      <c r="P352" s="1">
        <f t="shared" si="87"/>
        <v>0.2</v>
      </c>
      <c r="Q352" s="1">
        <f t="shared" si="88"/>
        <v>0.33333333333333331</v>
      </c>
      <c r="S352" s="1" t="s">
        <v>302</v>
      </c>
      <c r="T352" s="1">
        <f t="shared" si="89"/>
        <v>0</v>
      </c>
      <c r="U352" s="1">
        <f t="shared" si="90"/>
        <v>2.9015675219489157E-2</v>
      </c>
      <c r="V352" s="1">
        <f t="shared" si="91"/>
        <v>1.2629752838115946E-2</v>
      </c>
      <c r="W352" s="1">
        <f t="shared" si="92"/>
        <v>1.3453455879926239E-2</v>
      </c>
      <c r="Y352" s="1" t="s">
        <v>302</v>
      </c>
      <c r="Z352" s="1">
        <f t="shared" si="93"/>
        <v>0</v>
      </c>
      <c r="AA352" s="1">
        <f t="shared" si="94"/>
        <v>5.8031350438978316E-3</v>
      </c>
      <c r="AB352" s="1">
        <f t="shared" si="95"/>
        <v>3.7889258514347836E-3</v>
      </c>
      <c r="AC352" s="1">
        <f t="shared" si="96"/>
        <v>2.6906911759852479E-3</v>
      </c>
      <c r="AK352" s="17" t="s">
        <v>941</v>
      </c>
      <c r="AL352" s="17">
        <f t="shared" si="97"/>
        <v>3.1915846399594806E-2</v>
      </c>
      <c r="AM352" s="17">
        <f t="shared" si="98"/>
        <v>1.5379038069109528E-2</v>
      </c>
      <c r="AO352" s="17" t="s">
        <v>1653</v>
      </c>
      <c r="AP352" s="17">
        <f t="shared" si="99"/>
        <v>0.49724117879255825</v>
      </c>
      <c r="AR352" s="1" t="s">
        <v>302</v>
      </c>
      <c r="AS352" s="17">
        <f t="shared" si="100"/>
        <v>0.49724117879255825</v>
      </c>
      <c r="AT352" s="17">
        <f t="shared" si="101"/>
        <v>539</v>
      </c>
    </row>
    <row r="353" spans="6:46" x14ac:dyDescent="0.3">
      <c r="F353" s="1">
        <v>351</v>
      </c>
      <c r="G353" s="1" t="s">
        <v>157</v>
      </c>
      <c r="H353" s="1">
        <v>4</v>
      </c>
      <c r="I353" s="1">
        <v>48</v>
      </c>
      <c r="J353" s="1">
        <v>1</v>
      </c>
      <c r="K353" s="1">
        <v>3</v>
      </c>
      <c r="M353" s="1" t="s">
        <v>157</v>
      </c>
      <c r="N353" s="1">
        <f t="shared" si="85"/>
        <v>0.5714285714285714</v>
      </c>
      <c r="O353" s="1">
        <f t="shared" si="86"/>
        <v>0.45714285714285713</v>
      </c>
      <c r="P353" s="1">
        <f t="shared" si="87"/>
        <v>1</v>
      </c>
      <c r="Q353" s="1">
        <f t="shared" si="88"/>
        <v>1</v>
      </c>
      <c r="S353" s="1" t="s">
        <v>157</v>
      </c>
      <c r="T353" s="1">
        <f t="shared" si="89"/>
        <v>5.7166195047503046E-2</v>
      </c>
      <c r="U353" s="1">
        <f t="shared" si="90"/>
        <v>3.4818810263386991E-2</v>
      </c>
      <c r="V353" s="1">
        <f t="shared" si="91"/>
        <v>6.3148764190579729E-2</v>
      </c>
      <c r="W353" s="1">
        <f t="shared" si="92"/>
        <v>4.0360367639778717E-2</v>
      </c>
      <c r="Y353" s="1" t="s">
        <v>157</v>
      </c>
      <c r="Z353" s="1">
        <f t="shared" si="93"/>
        <v>1.7149858514250913E-2</v>
      </c>
      <c r="AA353" s="1">
        <f t="shared" si="94"/>
        <v>6.963762052677399E-3</v>
      </c>
      <c r="AB353" s="1">
        <f t="shared" si="95"/>
        <v>1.8944629257173919E-2</v>
      </c>
      <c r="AC353" s="1">
        <f t="shared" si="96"/>
        <v>8.0720735279557441E-3</v>
      </c>
      <c r="AK353" s="17" t="s">
        <v>942</v>
      </c>
      <c r="AL353" s="17">
        <f t="shared" si="97"/>
        <v>2.152952888230707E-2</v>
      </c>
      <c r="AM353" s="17">
        <f t="shared" si="98"/>
        <v>1.8365870305531634E-2</v>
      </c>
      <c r="AO353" s="17" t="s">
        <v>1654</v>
      </c>
      <c r="AP353" s="17">
        <f t="shared" si="99"/>
        <v>0.87142077949235897</v>
      </c>
      <c r="AR353" s="1" t="s">
        <v>157</v>
      </c>
      <c r="AS353" s="17">
        <f t="shared" si="100"/>
        <v>0.87142077949235897</v>
      </c>
      <c r="AT353" s="17">
        <f t="shared" si="101"/>
        <v>215</v>
      </c>
    </row>
    <row r="354" spans="6:46" x14ac:dyDescent="0.3">
      <c r="F354" s="1">
        <v>352</v>
      </c>
      <c r="G354" s="1" t="s">
        <v>303</v>
      </c>
      <c r="H354" s="1">
        <v>3</v>
      </c>
      <c r="I354" s="1">
        <v>43</v>
      </c>
      <c r="J354" s="1">
        <v>2</v>
      </c>
      <c r="K354" s="1">
        <v>3</v>
      </c>
      <c r="M354" s="1" t="s">
        <v>303</v>
      </c>
      <c r="N354" s="1">
        <f t="shared" si="85"/>
        <v>0.42857142857142855</v>
      </c>
      <c r="O354" s="1">
        <f t="shared" si="86"/>
        <v>0.40952380952380951</v>
      </c>
      <c r="P354" s="1">
        <f t="shared" si="87"/>
        <v>0.5</v>
      </c>
      <c r="Q354" s="1">
        <f t="shared" si="88"/>
        <v>1</v>
      </c>
      <c r="S354" s="1" t="s">
        <v>303</v>
      </c>
      <c r="T354" s="1">
        <f t="shared" si="89"/>
        <v>4.2874646285627281E-2</v>
      </c>
      <c r="U354" s="1">
        <f t="shared" si="90"/>
        <v>3.1191850860950845E-2</v>
      </c>
      <c r="V354" s="1">
        <f t="shared" si="91"/>
        <v>3.1574382095289864E-2</v>
      </c>
      <c r="W354" s="1">
        <f t="shared" si="92"/>
        <v>4.0360367639778717E-2</v>
      </c>
      <c r="Y354" s="1" t="s">
        <v>303</v>
      </c>
      <c r="Z354" s="1">
        <f t="shared" si="93"/>
        <v>1.2862393885688184E-2</v>
      </c>
      <c r="AA354" s="1">
        <f t="shared" si="94"/>
        <v>6.2383701721901693E-3</v>
      </c>
      <c r="AB354" s="1">
        <f t="shared" si="95"/>
        <v>9.4723146285869593E-3</v>
      </c>
      <c r="AC354" s="1">
        <f t="shared" si="96"/>
        <v>8.0720735279557441E-3</v>
      </c>
      <c r="AK354" s="17" t="s">
        <v>943</v>
      </c>
      <c r="AL354" s="17">
        <f t="shared" si="97"/>
        <v>2.0182320213554348E-2</v>
      </c>
      <c r="AM354" s="17">
        <f t="shared" si="98"/>
        <v>1.7129134483087973E-2</v>
      </c>
      <c r="AO354" s="17" t="s">
        <v>1655</v>
      </c>
      <c r="AP354" s="17">
        <f t="shared" si="99"/>
        <v>0.86584892001023117</v>
      </c>
      <c r="AR354" s="1" t="s">
        <v>303</v>
      </c>
      <c r="AS354" s="17">
        <f t="shared" si="100"/>
        <v>0.86584892001023117</v>
      </c>
      <c r="AT354" s="17">
        <f t="shared" si="101"/>
        <v>222</v>
      </c>
    </row>
    <row r="355" spans="6:46" x14ac:dyDescent="0.3">
      <c r="F355" s="1">
        <v>353</v>
      </c>
      <c r="G355" s="1" t="s">
        <v>159</v>
      </c>
      <c r="H355" s="1">
        <v>2</v>
      </c>
      <c r="I355" s="1">
        <v>34</v>
      </c>
      <c r="J355" s="1">
        <v>3</v>
      </c>
      <c r="K355" s="1">
        <v>3</v>
      </c>
      <c r="M355" s="1" t="s">
        <v>159</v>
      </c>
      <c r="N355" s="1">
        <f t="shared" si="85"/>
        <v>0.2857142857142857</v>
      </c>
      <c r="O355" s="1">
        <f t="shared" si="86"/>
        <v>0.32380952380952382</v>
      </c>
      <c r="P355" s="1">
        <f t="shared" si="87"/>
        <v>0.33333333333333331</v>
      </c>
      <c r="Q355" s="1">
        <f t="shared" si="88"/>
        <v>1</v>
      </c>
      <c r="S355" s="1" t="s">
        <v>159</v>
      </c>
      <c r="T355" s="1">
        <f t="shared" si="89"/>
        <v>2.8583097523751523E-2</v>
      </c>
      <c r="U355" s="1">
        <f t="shared" si="90"/>
        <v>2.4663323936565784E-2</v>
      </c>
      <c r="V355" s="1">
        <f t="shared" si="91"/>
        <v>2.1049588063526574E-2</v>
      </c>
      <c r="W355" s="1">
        <f t="shared" si="92"/>
        <v>4.0360367639778717E-2</v>
      </c>
      <c r="Y355" s="1" t="s">
        <v>159</v>
      </c>
      <c r="Z355" s="1">
        <f t="shared" si="93"/>
        <v>8.5749292571254566E-3</v>
      </c>
      <c r="AA355" s="1">
        <f t="shared" si="94"/>
        <v>4.9326647873131572E-3</v>
      </c>
      <c r="AB355" s="1">
        <f t="shared" si="95"/>
        <v>6.314876419057972E-3</v>
      </c>
      <c r="AC355" s="1">
        <f t="shared" si="96"/>
        <v>8.0720735279557441E-3</v>
      </c>
      <c r="AK355" s="17" t="s">
        <v>944</v>
      </c>
      <c r="AL355" s="17">
        <f t="shared" si="97"/>
        <v>2.391737617295223E-2</v>
      </c>
      <c r="AM355" s="17">
        <f t="shared" si="98"/>
        <v>1.6279748720576057E-2</v>
      </c>
      <c r="AO355" s="17" t="s">
        <v>1656</v>
      </c>
      <c r="AP355" s="17">
        <f t="shared" si="99"/>
        <v>0.69694591389075722</v>
      </c>
      <c r="AR355" s="1" t="s">
        <v>159</v>
      </c>
      <c r="AS355" s="17">
        <f t="shared" si="100"/>
        <v>0.69694591389075722</v>
      </c>
      <c r="AT355" s="17">
        <f t="shared" si="101"/>
        <v>348</v>
      </c>
    </row>
    <row r="356" spans="6:46" x14ac:dyDescent="0.3">
      <c r="F356" s="1">
        <v>354</v>
      </c>
      <c r="G356" s="1" t="s">
        <v>304</v>
      </c>
      <c r="H356" s="1">
        <v>2</v>
      </c>
      <c r="I356" s="1">
        <v>30</v>
      </c>
      <c r="J356" s="1">
        <v>2</v>
      </c>
      <c r="K356" s="1">
        <v>3</v>
      </c>
      <c r="M356" s="1" t="s">
        <v>304</v>
      </c>
      <c r="N356" s="1">
        <f t="shared" si="85"/>
        <v>0.2857142857142857</v>
      </c>
      <c r="O356" s="1">
        <f t="shared" si="86"/>
        <v>0.2857142857142857</v>
      </c>
      <c r="P356" s="1">
        <f t="shared" si="87"/>
        <v>0.5</v>
      </c>
      <c r="Q356" s="1">
        <f t="shared" si="88"/>
        <v>1</v>
      </c>
      <c r="S356" s="1" t="s">
        <v>304</v>
      </c>
      <c r="T356" s="1">
        <f t="shared" si="89"/>
        <v>2.8583097523751523E-2</v>
      </c>
      <c r="U356" s="1">
        <f t="shared" si="90"/>
        <v>2.1761756414616869E-2</v>
      </c>
      <c r="V356" s="1">
        <f t="shared" si="91"/>
        <v>3.1574382095289864E-2</v>
      </c>
      <c r="W356" s="1">
        <f t="shared" si="92"/>
        <v>4.0360367639778717E-2</v>
      </c>
      <c r="Y356" s="1" t="s">
        <v>304</v>
      </c>
      <c r="Z356" s="1">
        <f t="shared" si="93"/>
        <v>8.5749292571254566E-3</v>
      </c>
      <c r="AA356" s="1">
        <f t="shared" si="94"/>
        <v>4.3523512829233739E-3</v>
      </c>
      <c r="AB356" s="1">
        <f t="shared" si="95"/>
        <v>9.4723146285869593E-3</v>
      </c>
      <c r="AC356" s="1">
        <f t="shared" si="96"/>
        <v>8.0720735279557441E-3</v>
      </c>
      <c r="AK356" s="17" t="s">
        <v>945</v>
      </c>
      <c r="AL356" s="17">
        <f t="shared" si="97"/>
        <v>2.470330427460975E-2</v>
      </c>
      <c r="AM356" s="17">
        <f t="shared" si="98"/>
        <v>1.3912601742997488E-2</v>
      </c>
      <c r="AO356" s="17" t="s">
        <v>1657</v>
      </c>
      <c r="AP356" s="17">
        <f t="shared" si="99"/>
        <v>0.57710048901267619</v>
      </c>
      <c r="AR356" s="1" t="s">
        <v>304</v>
      </c>
      <c r="AS356" s="17">
        <f t="shared" si="100"/>
        <v>0.57710048901267619</v>
      </c>
      <c r="AT356" s="17">
        <f t="shared" si="101"/>
        <v>477</v>
      </c>
    </row>
    <row r="357" spans="6:46" x14ac:dyDescent="0.3">
      <c r="F357" s="1">
        <v>355</v>
      </c>
      <c r="G357" s="1" t="s">
        <v>162</v>
      </c>
      <c r="H357" s="1">
        <v>2</v>
      </c>
      <c r="I357" s="1">
        <v>41</v>
      </c>
      <c r="J357" s="1">
        <v>2</v>
      </c>
      <c r="K357" s="1">
        <v>3</v>
      </c>
      <c r="M357" s="1" t="s">
        <v>162</v>
      </c>
      <c r="N357" s="1">
        <f t="shared" si="85"/>
        <v>0.2857142857142857</v>
      </c>
      <c r="O357" s="1">
        <f t="shared" si="86"/>
        <v>0.39047619047619048</v>
      </c>
      <c r="P357" s="1">
        <f t="shared" si="87"/>
        <v>0.5</v>
      </c>
      <c r="Q357" s="1">
        <f t="shared" si="88"/>
        <v>1</v>
      </c>
      <c r="S357" s="1" t="s">
        <v>162</v>
      </c>
      <c r="T357" s="1">
        <f t="shared" si="89"/>
        <v>2.8583097523751523E-2</v>
      </c>
      <c r="U357" s="1">
        <f t="shared" si="90"/>
        <v>2.9741067099976388E-2</v>
      </c>
      <c r="V357" s="1">
        <f t="shared" si="91"/>
        <v>3.1574382095289864E-2</v>
      </c>
      <c r="W357" s="1">
        <f t="shared" si="92"/>
        <v>4.0360367639778717E-2</v>
      </c>
      <c r="Y357" s="1" t="s">
        <v>162</v>
      </c>
      <c r="Z357" s="1">
        <f t="shared" si="93"/>
        <v>8.5749292571254566E-3</v>
      </c>
      <c r="AA357" s="1">
        <f t="shared" si="94"/>
        <v>5.9482134199952781E-3</v>
      </c>
      <c r="AB357" s="1">
        <f t="shared" si="95"/>
        <v>9.4723146285869593E-3</v>
      </c>
      <c r="AC357" s="1">
        <f t="shared" si="96"/>
        <v>8.0720735279557441E-3</v>
      </c>
      <c r="AK357" s="17" t="s">
        <v>946</v>
      </c>
      <c r="AL357" s="17">
        <f t="shared" si="97"/>
        <v>2.4043112422193251E-2</v>
      </c>
      <c r="AM357" s="17">
        <f t="shared" si="98"/>
        <v>1.4135475394090753E-2</v>
      </c>
      <c r="AO357" s="17" t="s">
        <v>1658</v>
      </c>
      <c r="AP357" s="17">
        <f t="shared" si="99"/>
        <v>0.6020575025374173</v>
      </c>
      <c r="AR357" s="1" t="s">
        <v>162</v>
      </c>
      <c r="AS357" s="17">
        <f t="shared" si="100"/>
        <v>0.6020575025374173</v>
      </c>
      <c r="AT357" s="17">
        <f t="shared" si="101"/>
        <v>428</v>
      </c>
    </row>
    <row r="358" spans="6:46" x14ac:dyDescent="0.3">
      <c r="F358" s="1">
        <v>356</v>
      </c>
      <c r="G358" s="1" t="s">
        <v>305</v>
      </c>
      <c r="H358" s="1">
        <v>3</v>
      </c>
      <c r="I358" s="1">
        <v>38</v>
      </c>
      <c r="J358" s="1">
        <v>3</v>
      </c>
      <c r="K358" s="1">
        <v>3</v>
      </c>
      <c r="M358" s="1" t="s">
        <v>305</v>
      </c>
      <c r="N358" s="1">
        <f t="shared" si="85"/>
        <v>0.42857142857142855</v>
      </c>
      <c r="O358" s="1">
        <f t="shared" si="86"/>
        <v>0.3619047619047619</v>
      </c>
      <c r="P358" s="1">
        <f t="shared" si="87"/>
        <v>0.33333333333333331</v>
      </c>
      <c r="Q358" s="1">
        <f t="shared" si="88"/>
        <v>1</v>
      </c>
      <c r="S358" s="1" t="s">
        <v>305</v>
      </c>
      <c r="T358" s="1">
        <f t="shared" si="89"/>
        <v>4.2874646285627281E-2</v>
      </c>
      <c r="U358" s="1">
        <f t="shared" si="90"/>
        <v>2.75648914585147E-2</v>
      </c>
      <c r="V358" s="1">
        <f t="shared" si="91"/>
        <v>2.1049588063526574E-2</v>
      </c>
      <c r="W358" s="1">
        <f t="shared" si="92"/>
        <v>4.0360367639778717E-2</v>
      </c>
      <c r="Y358" s="1" t="s">
        <v>305</v>
      </c>
      <c r="Z358" s="1">
        <f t="shared" si="93"/>
        <v>1.2862393885688184E-2</v>
      </c>
      <c r="AA358" s="1">
        <f t="shared" si="94"/>
        <v>5.5129782917029404E-3</v>
      </c>
      <c r="AB358" s="1">
        <f t="shared" si="95"/>
        <v>6.314876419057972E-3</v>
      </c>
      <c r="AC358" s="1">
        <f t="shared" si="96"/>
        <v>8.0720735279557441E-3</v>
      </c>
      <c r="AK358" s="17" t="s">
        <v>947</v>
      </c>
      <c r="AL358" s="17">
        <f t="shared" si="97"/>
        <v>1.9874137885488329E-2</v>
      </c>
      <c r="AM358" s="17">
        <f t="shared" si="98"/>
        <v>1.8955192677855334E-2</v>
      </c>
      <c r="AO358" s="17" t="s">
        <v>1659</v>
      </c>
      <c r="AP358" s="17">
        <f t="shared" si="99"/>
        <v>0.97271695014739623</v>
      </c>
      <c r="AR358" s="1" t="s">
        <v>305</v>
      </c>
      <c r="AS358" s="17">
        <f t="shared" si="100"/>
        <v>0.97271695014739623</v>
      </c>
      <c r="AT358" s="17">
        <f t="shared" si="101"/>
        <v>148</v>
      </c>
    </row>
    <row r="359" spans="6:46" x14ac:dyDescent="0.3">
      <c r="F359" s="1">
        <v>357</v>
      </c>
      <c r="G359" s="1" t="s">
        <v>306</v>
      </c>
      <c r="H359" s="1">
        <v>4</v>
      </c>
      <c r="I359" s="1">
        <v>49</v>
      </c>
      <c r="J359" s="1">
        <v>2</v>
      </c>
      <c r="K359" s="1">
        <v>3</v>
      </c>
      <c r="M359" s="1" t="s">
        <v>306</v>
      </c>
      <c r="N359" s="1">
        <f t="shared" si="85"/>
        <v>0.5714285714285714</v>
      </c>
      <c r="O359" s="1">
        <f t="shared" si="86"/>
        <v>0.46666666666666667</v>
      </c>
      <c r="P359" s="1">
        <f t="shared" si="87"/>
        <v>0.5</v>
      </c>
      <c r="Q359" s="1">
        <f t="shared" si="88"/>
        <v>1</v>
      </c>
      <c r="S359" s="1" t="s">
        <v>306</v>
      </c>
      <c r="T359" s="1">
        <f t="shared" si="89"/>
        <v>5.7166195047503046E-2</v>
      </c>
      <c r="U359" s="1">
        <f t="shared" si="90"/>
        <v>3.5544202143874222E-2</v>
      </c>
      <c r="V359" s="1">
        <f t="shared" si="91"/>
        <v>3.1574382095289864E-2</v>
      </c>
      <c r="W359" s="1">
        <f t="shared" si="92"/>
        <v>4.0360367639778717E-2</v>
      </c>
      <c r="Y359" s="1" t="s">
        <v>306</v>
      </c>
      <c r="Z359" s="1">
        <f t="shared" si="93"/>
        <v>1.7149858514250913E-2</v>
      </c>
      <c r="AA359" s="1">
        <f t="shared" si="94"/>
        <v>7.1088404287748446E-3</v>
      </c>
      <c r="AB359" s="1">
        <f t="shared" si="95"/>
        <v>9.4723146285869593E-3</v>
      </c>
      <c r="AC359" s="1">
        <f t="shared" si="96"/>
        <v>8.0720735279557441E-3</v>
      </c>
      <c r="AK359" s="17" t="s">
        <v>948</v>
      </c>
      <c r="AL359" s="17">
        <f t="shared" si="97"/>
        <v>1.6240313484805941E-2</v>
      </c>
      <c r="AM359" s="17">
        <f t="shared" si="98"/>
        <v>2.0691676260485469E-2</v>
      </c>
      <c r="AO359" s="17" t="s">
        <v>1660</v>
      </c>
      <c r="AP359" s="17">
        <f t="shared" si="99"/>
        <v>1.2947850784502966</v>
      </c>
      <c r="AR359" s="1" t="s">
        <v>306</v>
      </c>
      <c r="AS359" s="17">
        <f t="shared" si="100"/>
        <v>1.2947850784502966</v>
      </c>
      <c r="AT359" s="17">
        <f t="shared" si="101"/>
        <v>67</v>
      </c>
    </row>
    <row r="360" spans="6:46" x14ac:dyDescent="0.3">
      <c r="F360" s="1">
        <v>358</v>
      </c>
      <c r="G360" s="1" t="s">
        <v>307</v>
      </c>
      <c r="H360" s="1">
        <v>0</v>
      </c>
      <c r="I360" s="1">
        <v>58</v>
      </c>
      <c r="J360" s="1">
        <v>1</v>
      </c>
      <c r="K360" s="1">
        <v>3</v>
      </c>
      <c r="M360" s="1" t="s">
        <v>307</v>
      </c>
      <c r="N360" s="1">
        <f t="shared" si="85"/>
        <v>0</v>
      </c>
      <c r="O360" s="1">
        <f t="shared" si="86"/>
        <v>0.55238095238095242</v>
      </c>
      <c r="P360" s="1">
        <f t="shared" si="87"/>
        <v>1</v>
      </c>
      <c r="Q360" s="1">
        <f t="shared" si="88"/>
        <v>1</v>
      </c>
      <c r="S360" s="1" t="s">
        <v>307</v>
      </c>
      <c r="T360" s="1">
        <f t="shared" si="89"/>
        <v>0</v>
      </c>
      <c r="U360" s="1">
        <f t="shared" si="90"/>
        <v>4.2072729068259283E-2</v>
      </c>
      <c r="V360" s="1">
        <f t="shared" si="91"/>
        <v>6.3148764190579729E-2</v>
      </c>
      <c r="W360" s="1">
        <f t="shared" si="92"/>
        <v>4.0360367639778717E-2</v>
      </c>
      <c r="Y360" s="1" t="s">
        <v>307</v>
      </c>
      <c r="Z360" s="1">
        <f t="shared" si="93"/>
        <v>0</v>
      </c>
      <c r="AA360" s="1">
        <f t="shared" si="94"/>
        <v>8.4145458136518567E-3</v>
      </c>
      <c r="AB360" s="1">
        <f t="shared" si="95"/>
        <v>1.8944629257173919E-2</v>
      </c>
      <c r="AC360" s="1">
        <f t="shared" si="96"/>
        <v>8.0720735279557441E-3</v>
      </c>
      <c r="AK360" s="17" t="s">
        <v>949</v>
      </c>
      <c r="AL360" s="17">
        <f t="shared" si="97"/>
        <v>3.4306341788678682E-2</v>
      </c>
      <c r="AM360" s="17">
        <f t="shared" si="98"/>
        <v>7.4991426744427745E-3</v>
      </c>
      <c r="AO360" s="17" t="s">
        <v>1661</v>
      </c>
      <c r="AP360" s="17">
        <f t="shared" si="99"/>
        <v>0.2260926237467249</v>
      </c>
      <c r="AR360" s="1" t="s">
        <v>307</v>
      </c>
      <c r="AS360" s="17">
        <f t="shared" si="100"/>
        <v>0.2260926237467249</v>
      </c>
      <c r="AT360" s="17">
        <f t="shared" si="101"/>
        <v>678</v>
      </c>
    </row>
    <row r="361" spans="6:46" x14ac:dyDescent="0.3">
      <c r="F361" s="1">
        <v>359</v>
      </c>
      <c r="G361" s="1" t="s">
        <v>308</v>
      </c>
      <c r="H361" s="1">
        <v>5</v>
      </c>
      <c r="I361" s="1">
        <v>47</v>
      </c>
      <c r="J361" s="1">
        <v>2</v>
      </c>
      <c r="K361" s="1">
        <v>3</v>
      </c>
      <c r="M361" s="1" t="s">
        <v>308</v>
      </c>
      <c r="N361" s="1">
        <f t="shared" si="85"/>
        <v>0.7142857142857143</v>
      </c>
      <c r="O361" s="1">
        <f t="shared" si="86"/>
        <v>0.44761904761904764</v>
      </c>
      <c r="P361" s="1">
        <f t="shared" si="87"/>
        <v>0.5</v>
      </c>
      <c r="Q361" s="1">
        <f t="shared" si="88"/>
        <v>1</v>
      </c>
      <c r="S361" s="1" t="s">
        <v>308</v>
      </c>
      <c r="T361" s="1">
        <f t="shared" si="89"/>
        <v>7.1457743809378804E-2</v>
      </c>
      <c r="U361" s="1">
        <f t="shared" si="90"/>
        <v>3.4093418382899761E-2</v>
      </c>
      <c r="V361" s="1">
        <f t="shared" si="91"/>
        <v>3.1574382095289864E-2</v>
      </c>
      <c r="W361" s="1">
        <f t="shared" si="92"/>
        <v>4.0360367639778717E-2</v>
      </c>
      <c r="Y361" s="1" t="s">
        <v>308</v>
      </c>
      <c r="Z361" s="1">
        <f t="shared" si="93"/>
        <v>2.1437323142813641E-2</v>
      </c>
      <c r="AA361" s="1">
        <f t="shared" si="94"/>
        <v>6.8186836765799525E-3</v>
      </c>
      <c r="AB361" s="1">
        <f t="shared" si="95"/>
        <v>9.4723146285869593E-3</v>
      </c>
      <c r="AC361" s="1">
        <f t="shared" si="96"/>
        <v>8.0720735279557441E-3</v>
      </c>
      <c r="AK361" s="17" t="s">
        <v>950</v>
      </c>
      <c r="AL361" s="17">
        <f t="shared" si="97"/>
        <v>1.3290406352215551E-2</v>
      </c>
      <c r="AM361" s="17">
        <f t="shared" si="98"/>
        <v>2.4318669340187494E-2</v>
      </c>
      <c r="AO361" s="17" t="s">
        <v>1662</v>
      </c>
      <c r="AP361" s="17">
        <f t="shared" si="99"/>
        <v>1.8541099259584246</v>
      </c>
      <c r="AR361" s="1" t="s">
        <v>308</v>
      </c>
      <c r="AS361" s="17">
        <f t="shared" si="100"/>
        <v>1.8541099259584246</v>
      </c>
      <c r="AT361" s="17">
        <f t="shared" si="101"/>
        <v>19</v>
      </c>
    </row>
    <row r="362" spans="6:46" x14ac:dyDescent="0.3">
      <c r="F362" s="1">
        <v>360</v>
      </c>
      <c r="G362" s="1" t="s">
        <v>169</v>
      </c>
      <c r="H362" s="1">
        <v>0</v>
      </c>
      <c r="I362" s="1">
        <v>56</v>
      </c>
      <c r="J362" s="1">
        <v>2</v>
      </c>
      <c r="K362" s="1">
        <v>3</v>
      </c>
      <c r="M362" s="1" t="s">
        <v>169</v>
      </c>
      <c r="N362" s="1">
        <f t="shared" si="85"/>
        <v>0</v>
      </c>
      <c r="O362" s="1">
        <f t="shared" si="86"/>
        <v>0.53333333333333333</v>
      </c>
      <c r="P362" s="1">
        <f t="shared" si="87"/>
        <v>0.5</v>
      </c>
      <c r="Q362" s="1">
        <f t="shared" si="88"/>
        <v>1</v>
      </c>
      <c r="S362" s="1" t="s">
        <v>169</v>
      </c>
      <c r="T362" s="1">
        <f t="shared" si="89"/>
        <v>0</v>
      </c>
      <c r="U362" s="1">
        <f t="shared" si="90"/>
        <v>4.0621945307284822E-2</v>
      </c>
      <c r="V362" s="1">
        <f t="shared" si="91"/>
        <v>3.1574382095289864E-2</v>
      </c>
      <c r="W362" s="1">
        <f t="shared" si="92"/>
        <v>4.0360367639778717E-2</v>
      </c>
      <c r="Y362" s="1" t="s">
        <v>169</v>
      </c>
      <c r="Z362" s="1">
        <f t="shared" si="93"/>
        <v>0</v>
      </c>
      <c r="AA362" s="1">
        <f t="shared" si="94"/>
        <v>8.1243890614569655E-3</v>
      </c>
      <c r="AB362" s="1">
        <f t="shared" si="95"/>
        <v>9.4723146285869593E-3</v>
      </c>
      <c r="AC362" s="1">
        <f t="shared" si="96"/>
        <v>8.0720735279557441E-3</v>
      </c>
      <c r="AK362" s="17" t="s">
        <v>951</v>
      </c>
      <c r="AL362" s="17">
        <f t="shared" si="97"/>
        <v>3.1361948510124388E-2</v>
      </c>
      <c r="AM362" s="17">
        <f t="shared" si="98"/>
        <v>1.1958896368187207E-2</v>
      </c>
      <c r="AO362" s="17" t="s">
        <v>1663</v>
      </c>
      <c r="AP362" s="17">
        <f t="shared" si="99"/>
        <v>0.39327756234095318</v>
      </c>
      <c r="AR362" s="1" t="s">
        <v>169</v>
      </c>
      <c r="AS362" s="17">
        <f t="shared" si="100"/>
        <v>0.39327756234095318</v>
      </c>
      <c r="AT362" s="17">
        <f t="shared" si="101"/>
        <v>604</v>
      </c>
    </row>
    <row r="363" spans="6:46" x14ac:dyDescent="0.3">
      <c r="F363" s="1">
        <v>361</v>
      </c>
      <c r="G363" s="1" t="s">
        <v>169</v>
      </c>
      <c r="H363" s="1">
        <v>2</v>
      </c>
      <c r="I363" s="1">
        <v>62</v>
      </c>
      <c r="J363" s="1">
        <v>2</v>
      </c>
      <c r="K363" s="1">
        <v>3</v>
      </c>
      <c r="M363" s="1" t="s">
        <v>169</v>
      </c>
      <c r="N363" s="1">
        <f t="shared" si="85"/>
        <v>0.2857142857142857</v>
      </c>
      <c r="O363" s="1">
        <f t="shared" si="86"/>
        <v>0.59047619047619049</v>
      </c>
      <c r="P363" s="1">
        <f t="shared" si="87"/>
        <v>0.5</v>
      </c>
      <c r="Q363" s="1">
        <f t="shared" si="88"/>
        <v>1</v>
      </c>
      <c r="S363" s="1" t="s">
        <v>169</v>
      </c>
      <c r="T363" s="1">
        <f t="shared" si="89"/>
        <v>2.8583097523751523E-2</v>
      </c>
      <c r="U363" s="1">
        <f t="shared" si="90"/>
        <v>4.4974296590208199E-2</v>
      </c>
      <c r="V363" s="1">
        <f t="shared" si="91"/>
        <v>3.1574382095289864E-2</v>
      </c>
      <c r="W363" s="1">
        <f t="shared" si="92"/>
        <v>4.0360367639778717E-2</v>
      </c>
      <c r="Y363" s="1" t="s">
        <v>169</v>
      </c>
      <c r="Z363" s="1">
        <f t="shared" si="93"/>
        <v>8.5749292571254566E-3</v>
      </c>
      <c r="AA363" s="1">
        <f t="shared" si="94"/>
        <v>8.9948593180416408E-3</v>
      </c>
      <c r="AB363" s="1">
        <f t="shared" si="95"/>
        <v>9.4723146285869593E-3</v>
      </c>
      <c r="AC363" s="1">
        <f t="shared" si="96"/>
        <v>8.0720735279557441E-3</v>
      </c>
      <c r="AK363" s="17" t="s">
        <v>952</v>
      </c>
      <c r="AL363" s="17">
        <f t="shared" si="97"/>
        <v>2.3038597915822585E-2</v>
      </c>
      <c r="AM363" s="17">
        <f t="shared" si="98"/>
        <v>1.5029631018207441E-2</v>
      </c>
      <c r="AO363" s="17" t="s">
        <v>1664</v>
      </c>
      <c r="AP363" s="17">
        <f t="shared" si="99"/>
        <v>0.66739706557833323</v>
      </c>
      <c r="AR363" s="1" t="s">
        <v>169</v>
      </c>
      <c r="AS363" s="17">
        <f t="shared" si="100"/>
        <v>0.66739706557833323</v>
      </c>
      <c r="AT363" s="17">
        <f t="shared" si="101"/>
        <v>371</v>
      </c>
    </row>
    <row r="364" spans="6:46" x14ac:dyDescent="0.3">
      <c r="F364" s="1">
        <v>362</v>
      </c>
      <c r="G364" s="1" t="s">
        <v>309</v>
      </c>
      <c r="H364" s="1">
        <v>4</v>
      </c>
      <c r="I364" s="1">
        <v>43</v>
      </c>
      <c r="J364" s="1">
        <v>3</v>
      </c>
      <c r="K364" s="1">
        <v>3</v>
      </c>
      <c r="M364" s="1" t="s">
        <v>309</v>
      </c>
      <c r="N364" s="1">
        <f t="shared" si="85"/>
        <v>0.5714285714285714</v>
      </c>
      <c r="O364" s="1">
        <f t="shared" si="86"/>
        <v>0.40952380952380951</v>
      </c>
      <c r="P364" s="1">
        <f t="shared" si="87"/>
        <v>0.33333333333333331</v>
      </c>
      <c r="Q364" s="1">
        <f t="shared" si="88"/>
        <v>1</v>
      </c>
      <c r="S364" s="1" t="s">
        <v>309</v>
      </c>
      <c r="T364" s="1">
        <f t="shared" si="89"/>
        <v>5.7166195047503046E-2</v>
      </c>
      <c r="U364" s="1">
        <f t="shared" si="90"/>
        <v>3.1191850860950845E-2</v>
      </c>
      <c r="V364" s="1">
        <f t="shared" si="91"/>
        <v>2.1049588063526574E-2</v>
      </c>
      <c r="W364" s="1">
        <f t="shared" si="92"/>
        <v>4.0360367639778717E-2</v>
      </c>
      <c r="Y364" s="1" t="s">
        <v>309</v>
      </c>
      <c r="Z364" s="1">
        <f t="shared" si="93"/>
        <v>1.7149858514250913E-2</v>
      </c>
      <c r="AA364" s="1">
        <f t="shared" si="94"/>
        <v>6.2383701721901693E-3</v>
      </c>
      <c r="AB364" s="1">
        <f t="shared" si="95"/>
        <v>6.314876419057972E-3</v>
      </c>
      <c r="AC364" s="1">
        <f t="shared" si="96"/>
        <v>8.0720735279557441E-3</v>
      </c>
      <c r="AK364" s="17" t="s">
        <v>953</v>
      </c>
      <c r="AL364" s="17">
        <f t="shared" si="97"/>
        <v>1.5897455673535472E-2</v>
      </c>
      <c r="AM364" s="17">
        <f t="shared" si="98"/>
        <v>2.2178134075185509E-2</v>
      </c>
      <c r="AO364" s="17" t="s">
        <v>1665</v>
      </c>
      <c r="AP364" s="17">
        <f t="shared" si="99"/>
        <v>1.4172525743269986</v>
      </c>
      <c r="AR364" s="1" t="s">
        <v>309</v>
      </c>
      <c r="AS364" s="17">
        <f t="shared" si="100"/>
        <v>1.4172525743269986</v>
      </c>
      <c r="AT364" s="17">
        <f t="shared" si="101"/>
        <v>47</v>
      </c>
    </row>
    <row r="365" spans="6:46" x14ac:dyDescent="0.3">
      <c r="F365" s="1">
        <v>363</v>
      </c>
      <c r="G365" s="1" t="s">
        <v>310</v>
      </c>
      <c r="H365" s="1">
        <v>3</v>
      </c>
      <c r="I365" s="1">
        <v>39</v>
      </c>
      <c r="J365" s="1">
        <v>2</v>
      </c>
      <c r="K365" s="1">
        <v>3</v>
      </c>
      <c r="M365" s="1" t="s">
        <v>310</v>
      </c>
      <c r="N365" s="1">
        <f t="shared" si="85"/>
        <v>0.42857142857142855</v>
      </c>
      <c r="O365" s="1">
        <f t="shared" si="86"/>
        <v>0.37142857142857144</v>
      </c>
      <c r="P365" s="1">
        <f t="shared" si="87"/>
        <v>0.5</v>
      </c>
      <c r="Q365" s="1">
        <f t="shared" si="88"/>
        <v>1</v>
      </c>
      <c r="S365" s="1" t="s">
        <v>310</v>
      </c>
      <c r="T365" s="1">
        <f t="shared" si="89"/>
        <v>4.2874646285627281E-2</v>
      </c>
      <c r="U365" s="1">
        <f t="shared" si="90"/>
        <v>2.829028333900193E-2</v>
      </c>
      <c r="V365" s="1">
        <f t="shared" si="91"/>
        <v>3.1574382095289864E-2</v>
      </c>
      <c r="W365" s="1">
        <f t="shared" si="92"/>
        <v>4.0360367639778717E-2</v>
      </c>
      <c r="Y365" s="1" t="s">
        <v>310</v>
      </c>
      <c r="Z365" s="1">
        <f t="shared" si="93"/>
        <v>1.2862393885688184E-2</v>
      </c>
      <c r="AA365" s="1">
        <f t="shared" si="94"/>
        <v>5.658056667800386E-3</v>
      </c>
      <c r="AB365" s="1">
        <f t="shared" si="95"/>
        <v>9.4723146285869593E-3</v>
      </c>
      <c r="AC365" s="1">
        <f t="shared" si="96"/>
        <v>8.0720735279557441E-3</v>
      </c>
      <c r="AK365" s="17" t="s">
        <v>954</v>
      </c>
      <c r="AL365" s="17">
        <f t="shared" si="97"/>
        <v>2.0447554612483942E-2</v>
      </c>
      <c r="AM365" s="17">
        <f t="shared" si="98"/>
        <v>1.7035492138110675E-2</v>
      </c>
      <c r="AO365" s="17" t="s">
        <v>1666</v>
      </c>
      <c r="AP365" s="17">
        <f t="shared" si="99"/>
        <v>0.85016651738598625</v>
      </c>
      <c r="AR365" s="1" t="s">
        <v>310</v>
      </c>
      <c r="AS365" s="17">
        <f t="shared" si="100"/>
        <v>0.85016651738598625</v>
      </c>
      <c r="AT365" s="17">
        <f t="shared" si="101"/>
        <v>257</v>
      </c>
    </row>
    <row r="366" spans="6:46" x14ac:dyDescent="0.3">
      <c r="F366" s="1">
        <v>364</v>
      </c>
      <c r="G366" s="1" t="s">
        <v>311</v>
      </c>
      <c r="H366" s="1">
        <v>4</v>
      </c>
      <c r="I366" s="1">
        <v>45</v>
      </c>
      <c r="J366" s="1">
        <v>5</v>
      </c>
      <c r="K366" s="1">
        <v>3</v>
      </c>
      <c r="M366" s="1" t="s">
        <v>311</v>
      </c>
      <c r="N366" s="1">
        <f t="shared" si="85"/>
        <v>0.5714285714285714</v>
      </c>
      <c r="O366" s="1">
        <f t="shared" si="86"/>
        <v>0.42857142857142855</v>
      </c>
      <c r="P366" s="1">
        <f t="shared" si="87"/>
        <v>0.2</v>
      </c>
      <c r="Q366" s="1">
        <f t="shared" si="88"/>
        <v>1</v>
      </c>
      <c r="S366" s="1" t="s">
        <v>311</v>
      </c>
      <c r="T366" s="1">
        <f t="shared" si="89"/>
        <v>5.7166195047503046E-2</v>
      </c>
      <c r="U366" s="1">
        <f t="shared" si="90"/>
        <v>3.26426346219253E-2</v>
      </c>
      <c r="V366" s="1">
        <f t="shared" si="91"/>
        <v>1.2629752838115946E-2</v>
      </c>
      <c r="W366" s="1">
        <f t="shared" si="92"/>
        <v>4.0360367639778717E-2</v>
      </c>
      <c r="Y366" s="1" t="s">
        <v>311</v>
      </c>
      <c r="Z366" s="1">
        <f t="shared" si="93"/>
        <v>1.7149858514250913E-2</v>
      </c>
      <c r="AA366" s="1">
        <f t="shared" si="94"/>
        <v>6.5285269243850605E-3</v>
      </c>
      <c r="AB366" s="1">
        <f t="shared" si="95"/>
        <v>3.7889258514347836E-3</v>
      </c>
      <c r="AC366" s="1">
        <f t="shared" si="96"/>
        <v>8.0720735279557441E-3</v>
      </c>
      <c r="AK366" s="17" t="s">
        <v>955</v>
      </c>
      <c r="AL366" s="17">
        <f t="shared" si="97"/>
        <v>1.5531034197066459E-2</v>
      </c>
      <c r="AM366" s="17">
        <f t="shared" si="98"/>
        <v>2.3746715998771577E-2</v>
      </c>
      <c r="AO366" s="17" t="s">
        <v>1667</v>
      </c>
      <c r="AP366" s="17">
        <f t="shared" si="99"/>
        <v>1.5527315664253398</v>
      </c>
      <c r="AR366" s="1" t="s">
        <v>311</v>
      </c>
      <c r="AS366" s="17">
        <f t="shared" si="100"/>
        <v>1.5527315664253398</v>
      </c>
      <c r="AT366" s="17">
        <f t="shared" si="101"/>
        <v>37</v>
      </c>
    </row>
    <row r="367" spans="6:46" x14ac:dyDescent="0.3">
      <c r="F367" s="1">
        <v>365</v>
      </c>
      <c r="G367" s="1" t="s">
        <v>312</v>
      </c>
      <c r="H367" s="1">
        <v>3</v>
      </c>
      <c r="I367" s="1">
        <v>61</v>
      </c>
      <c r="J367" s="1">
        <v>2</v>
      </c>
      <c r="K367" s="1">
        <v>3</v>
      </c>
      <c r="M367" s="1" t="s">
        <v>312</v>
      </c>
      <c r="N367" s="1">
        <f t="shared" si="85"/>
        <v>0.42857142857142855</v>
      </c>
      <c r="O367" s="1">
        <f t="shared" si="86"/>
        <v>0.580952380952381</v>
      </c>
      <c r="P367" s="1">
        <f t="shared" si="87"/>
        <v>0.5</v>
      </c>
      <c r="Q367" s="1">
        <f t="shared" si="88"/>
        <v>1</v>
      </c>
      <c r="S367" s="1" t="s">
        <v>312</v>
      </c>
      <c r="T367" s="1">
        <f t="shared" si="89"/>
        <v>4.2874646285627281E-2</v>
      </c>
      <c r="U367" s="1">
        <f t="shared" si="90"/>
        <v>4.4248904709720968E-2</v>
      </c>
      <c r="V367" s="1">
        <f t="shared" si="91"/>
        <v>3.1574382095289864E-2</v>
      </c>
      <c r="W367" s="1">
        <f t="shared" si="92"/>
        <v>4.0360367639778717E-2</v>
      </c>
      <c r="Y367" s="1" t="s">
        <v>312</v>
      </c>
      <c r="Z367" s="1">
        <f t="shared" si="93"/>
        <v>1.2862393885688184E-2</v>
      </c>
      <c r="AA367" s="1">
        <f t="shared" si="94"/>
        <v>8.8497809419441943E-3</v>
      </c>
      <c r="AB367" s="1">
        <f t="shared" si="95"/>
        <v>9.4723146285869593E-3</v>
      </c>
      <c r="AC367" s="1">
        <f t="shared" si="96"/>
        <v>8.0720735279557441E-3</v>
      </c>
      <c r="AK367" s="17" t="s">
        <v>956</v>
      </c>
      <c r="AL367" s="17">
        <f t="shared" si="97"/>
        <v>1.9161601457595323E-2</v>
      </c>
      <c r="AM367" s="17">
        <f t="shared" si="98"/>
        <v>1.7780292521993871E-2</v>
      </c>
      <c r="AO367" s="17" t="s">
        <v>1668</v>
      </c>
      <c r="AP367" s="17">
        <f t="shared" si="99"/>
        <v>0.9456929495794798</v>
      </c>
      <c r="AR367" s="1" t="s">
        <v>312</v>
      </c>
      <c r="AS367" s="17">
        <f t="shared" si="100"/>
        <v>0.9456929495794798</v>
      </c>
      <c r="AT367" s="17">
        <f t="shared" si="101"/>
        <v>158</v>
      </c>
    </row>
    <row r="368" spans="6:46" x14ac:dyDescent="0.3">
      <c r="F368" s="1">
        <v>366</v>
      </c>
      <c r="G368" s="1" t="s">
        <v>313</v>
      </c>
      <c r="H368" s="1">
        <v>0</v>
      </c>
      <c r="I368" s="1">
        <v>76</v>
      </c>
      <c r="J368" s="1">
        <v>1</v>
      </c>
      <c r="K368" s="1">
        <v>2</v>
      </c>
      <c r="M368" s="1" t="s">
        <v>313</v>
      </c>
      <c r="N368" s="1">
        <f t="shared" si="85"/>
        <v>0</v>
      </c>
      <c r="O368" s="1">
        <f t="shared" si="86"/>
        <v>0.72380952380952379</v>
      </c>
      <c r="P368" s="1">
        <f t="shared" si="87"/>
        <v>1</v>
      </c>
      <c r="Q368" s="1">
        <f t="shared" si="88"/>
        <v>0.66666666666666663</v>
      </c>
      <c r="S368" s="1" t="s">
        <v>313</v>
      </c>
      <c r="T368" s="1">
        <f t="shared" si="89"/>
        <v>0</v>
      </c>
      <c r="U368" s="1">
        <f t="shared" si="90"/>
        <v>5.5129782917029399E-2</v>
      </c>
      <c r="V368" s="1">
        <f t="shared" si="91"/>
        <v>6.3148764190579729E-2</v>
      </c>
      <c r="W368" s="1">
        <f t="shared" si="92"/>
        <v>2.6906911759852478E-2</v>
      </c>
      <c r="Y368" s="1" t="s">
        <v>313</v>
      </c>
      <c r="Z368" s="1">
        <f t="shared" si="93"/>
        <v>0</v>
      </c>
      <c r="AA368" s="1">
        <f t="shared" si="94"/>
        <v>1.1025956583405881E-2</v>
      </c>
      <c r="AB368" s="1">
        <f t="shared" si="95"/>
        <v>1.8944629257173919E-2</v>
      </c>
      <c r="AC368" s="1">
        <f t="shared" si="96"/>
        <v>5.3813823519704958E-3</v>
      </c>
      <c r="AK368" s="17" t="s">
        <v>957</v>
      </c>
      <c r="AL368" s="17">
        <f t="shared" si="97"/>
        <v>3.3990757628470411E-2</v>
      </c>
      <c r="AM368" s="17">
        <f t="shared" si="98"/>
        <v>8.2834180674411576E-3</v>
      </c>
      <c r="AO368" s="17" t="s">
        <v>1669</v>
      </c>
      <c r="AP368" s="17">
        <f t="shared" si="99"/>
        <v>0.25197960624840204</v>
      </c>
      <c r="AR368" s="1" t="s">
        <v>313</v>
      </c>
      <c r="AS368" s="17">
        <f t="shared" si="100"/>
        <v>0.25197960624840204</v>
      </c>
      <c r="AT368" s="17">
        <f t="shared" si="101"/>
        <v>663</v>
      </c>
    </row>
    <row r="369" spans="6:46" x14ac:dyDescent="0.3">
      <c r="F369" s="1">
        <v>367</v>
      </c>
      <c r="G369" s="1" t="s">
        <v>314</v>
      </c>
      <c r="H369" s="1">
        <v>1</v>
      </c>
      <c r="I369" s="1">
        <v>26</v>
      </c>
      <c r="J369" s="1">
        <v>1</v>
      </c>
      <c r="K369" s="1">
        <v>2</v>
      </c>
      <c r="M369" s="1" t="s">
        <v>314</v>
      </c>
      <c r="N369" s="1">
        <f t="shared" si="85"/>
        <v>0.14285714285714285</v>
      </c>
      <c r="O369" s="1">
        <f t="shared" si="86"/>
        <v>0.24761904761904763</v>
      </c>
      <c r="P369" s="1">
        <f t="shared" si="87"/>
        <v>1</v>
      </c>
      <c r="Q369" s="1">
        <f t="shared" si="88"/>
        <v>0.66666666666666663</v>
      </c>
      <c r="S369" s="1" t="s">
        <v>314</v>
      </c>
      <c r="T369" s="1">
        <f t="shared" si="89"/>
        <v>1.4291548761875762E-2</v>
      </c>
      <c r="U369" s="1">
        <f t="shared" si="90"/>
        <v>1.8860188892667953E-2</v>
      </c>
      <c r="V369" s="1">
        <f t="shared" si="91"/>
        <v>6.3148764190579729E-2</v>
      </c>
      <c r="W369" s="1">
        <f t="shared" si="92"/>
        <v>2.6906911759852478E-2</v>
      </c>
      <c r="Y369" s="1" t="s">
        <v>314</v>
      </c>
      <c r="Z369" s="1">
        <f t="shared" si="93"/>
        <v>4.2874646285627283E-3</v>
      </c>
      <c r="AA369" s="1">
        <f t="shared" si="94"/>
        <v>3.7720377785335907E-3</v>
      </c>
      <c r="AB369" s="1">
        <f t="shared" si="95"/>
        <v>1.8944629257173919E-2</v>
      </c>
      <c r="AC369" s="1">
        <f t="shared" si="96"/>
        <v>5.3813823519704958E-3</v>
      </c>
      <c r="AK369" s="17" t="s">
        <v>958</v>
      </c>
      <c r="AL369" s="17">
        <f t="shared" si="97"/>
        <v>3.2094528911668307E-2</v>
      </c>
      <c r="AM369" s="17">
        <f t="shared" si="98"/>
        <v>5.094991237389772E-3</v>
      </c>
      <c r="AO369" s="17" t="s">
        <v>1670</v>
      </c>
      <c r="AP369" s="17">
        <f t="shared" si="99"/>
        <v>0.1638445167846376</v>
      </c>
      <c r="AR369" s="1" t="s">
        <v>314</v>
      </c>
      <c r="AS369" s="17">
        <f t="shared" si="100"/>
        <v>0.1638445167846376</v>
      </c>
      <c r="AT369" s="17">
        <f t="shared" si="101"/>
        <v>698</v>
      </c>
    </row>
    <row r="370" spans="6:46" x14ac:dyDescent="0.3">
      <c r="F370" s="1">
        <v>368</v>
      </c>
      <c r="G370" s="1" t="s">
        <v>315</v>
      </c>
      <c r="H370" s="1">
        <v>1</v>
      </c>
      <c r="I370" s="1">
        <v>67</v>
      </c>
      <c r="J370" s="1">
        <v>2</v>
      </c>
      <c r="K370" s="1">
        <v>3</v>
      </c>
      <c r="M370" s="1" t="s">
        <v>315</v>
      </c>
      <c r="N370" s="1">
        <f t="shared" si="85"/>
        <v>0.14285714285714285</v>
      </c>
      <c r="O370" s="1">
        <f t="shared" si="86"/>
        <v>0.63809523809523805</v>
      </c>
      <c r="P370" s="1">
        <f t="shared" si="87"/>
        <v>0.5</v>
      </c>
      <c r="Q370" s="1">
        <f t="shared" si="88"/>
        <v>1</v>
      </c>
      <c r="S370" s="1" t="s">
        <v>315</v>
      </c>
      <c r="T370" s="1">
        <f t="shared" si="89"/>
        <v>1.4291548761875762E-2</v>
      </c>
      <c r="U370" s="1">
        <f t="shared" si="90"/>
        <v>4.8601255992644338E-2</v>
      </c>
      <c r="V370" s="1">
        <f t="shared" si="91"/>
        <v>3.1574382095289864E-2</v>
      </c>
      <c r="W370" s="1">
        <f t="shared" si="92"/>
        <v>4.0360367639778717E-2</v>
      </c>
      <c r="Y370" s="1" t="s">
        <v>315</v>
      </c>
      <c r="Z370" s="1">
        <f t="shared" si="93"/>
        <v>4.2874646285627283E-3</v>
      </c>
      <c r="AA370" s="1">
        <f t="shared" si="94"/>
        <v>9.7202511985288679E-3</v>
      </c>
      <c r="AB370" s="1">
        <f t="shared" si="95"/>
        <v>9.4723146285869593E-3</v>
      </c>
      <c r="AC370" s="1">
        <f t="shared" si="96"/>
        <v>8.0720735279557441E-3</v>
      </c>
      <c r="AK370" s="17" t="s">
        <v>959</v>
      </c>
      <c r="AL370" s="17">
        <f t="shared" si="97"/>
        <v>2.6915767563259318E-2</v>
      </c>
      <c r="AM370" s="17">
        <f t="shared" si="98"/>
        <v>1.3404776655529893E-2</v>
      </c>
      <c r="AO370" s="17" t="s">
        <v>1671</v>
      </c>
      <c r="AP370" s="17">
        <f t="shared" si="99"/>
        <v>0.51143169058339943</v>
      </c>
      <c r="AR370" s="1" t="s">
        <v>315</v>
      </c>
      <c r="AS370" s="17">
        <f t="shared" si="100"/>
        <v>0.51143169058339943</v>
      </c>
      <c r="AT370" s="17">
        <f t="shared" si="101"/>
        <v>524</v>
      </c>
    </row>
    <row r="371" spans="6:46" x14ac:dyDescent="0.3">
      <c r="F371" s="1">
        <v>369</v>
      </c>
      <c r="G371" s="1" t="s">
        <v>316</v>
      </c>
      <c r="H371" s="1">
        <v>0</v>
      </c>
      <c r="I371" s="1">
        <v>62</v>
      </c>
      <c r="J371" s="1">
        <v>1</v>
      </c>
      <c r="K371" s="1">
        <v>2</v>
      </c>
      <c r="M371" s="1" t="s">
        <v>316</v>
      </c>
      <c r="N371" s="1">
        <f t="shared" si="85"/>
        <v>0</v>
      </c>
      <c r="O371" s="1">
        <f t="shared" si="86"/>
        <v>0.59047619047619049</v>
      </c>
      <c r="P371" s="1">
        <f t="shared" si="87"/>
        <v>1</v>
      </c>
      <c r="Q371" s="1">
        <f t="shared" si="88"/>
        <v>0.66666666666666663</v>
      </c>
      <c r="S371" s="1" t="s">
        <v>316</v>
      </c>
      <c r="T371" s="1">
        <f t="shared" si="89"/>
        <v>0</v>
      </c>
      <c r="U371" s="1">
        <f t="shared" si="90"/>
        <v>4.4974296590208199E-2</v>
      </c>
      <c r="V371" s="1">
        <f t="shared" si="91"/>
        <v>6.3148764190579729E-2</v>
      </c>
      <c r="W371" s="1">
        <f t="shared" si="92"/>
        <v>2.6906911759852478E-2</v>
      </c>
      <c r="Y371" s="1" t="s">
        <v>316</v>
      </c>
      <c r="Z371" s="1">
        <f t="shared" si="93"/>
        <v>0</v>
      </c>
      <c r="AA371" s="1">
        <f t="shared" si="94"/>
        <v>8.9948593180416408E-3</v>
      </c>
      <c r="AB371" s="1">
        <f t="shared" si="95"/>
        <v>1.8944629257173919E-2</v>
      </c>
      <c r="AC371" s="1">
        <f t="shared" si="96"/>
        <v>5.3813823519704958E-3</v>
      </c>
      <c r="AK371" s="17" t="s">
        <v>960</v>
      </c>
      <c r="AL371" s="17">
        <f t="shared" si="97"/>
        <v>3.4301424478440833E-2</v>
      </c>
      <c r="AM371" s="17">
        <f t="shared" si="98"/>
        <v>6.3965768456448616E-3</v>
      </c>
      <c r="AO371" s="17" t="s">
        <v>1672</v>
      </c>
      <c r="AP371" s="17">
        <f t="shared" si="99"/>
        <v>0.19287795314140907</v>
      </c>
      <c r="AR371" s="1" t="s">
        <v>316</v>
      </c>
      <c r="AS371" s="17">
        <f t="shared" si="100"/>
        <v>0.19287795314140907</v>
      </c>
      <c r="AT371" s="17">
        <f t="shared" si="101"/>
        <v>687</v>
      </c>
    </row>
    <row r="372" spans="6:46" x14ac:dyDescent="0.3">
      <c r="F372" s="1">
        <v>370</v>
      </c>
      <c r="G372" s="1" t="s">
        <v>125</v>
      </c>
      <c r="H372" s="1">
        <v>3</v>
      </c>
      <c r="I372" s="1">
        <v>46</v>
      </c>
      <c r="J372" s="1">
        <v>2</v>
      </c>
      <c r="K372" s="1">
        <v>3</v>
      </c>
      <c r="M372" s="1" t="s">
        <v>125</v>
      </c>
      <c r="N372" s="1">
        <f t="shared" si="85"/>
        <v>0.42857142857142855</v>
      </c>
      <c r="O372" s="1">
        <f t="shared" si="86"/>
        <v>0.43809523809523809</v>
      </c>
      <c r="P372" s="1">
        <f t="shared" si="87"/>
        <v>0.5</v>
      </c>
      <c r="Q372" s="1">
        <f t="shared" si="88"/>
        <v>1</v>
      </c>
      <c r="S372" s="1" t="s">
        <v>125</v>
      </c>
      <c r="T372" s="1">
        <f t="shared" si="89"/>
        <v>4.2874646285627281E-2</v>
      </c>
      <c r="U372" s="1">
        <f t="shared" si="90"/>
        <v>3.336802650241253E-2</v>
      </c>
      <c r="V372" s="1">
        <f t="shared" si="91"/>
        <v>3.1574382095289864E-2</v>
      </c>
      <c r="W372" s="1">
        <f t="shared" si="92"/>
        <v>4.0360367639778717E-2</v>
      </c>
      <c r="Y372" s="1" t="s">
        <v>125</v>
      </c>
      <c r="Z372" s="1">
        <f t="shared" si="93"/>
        <v>1.2862393885688184E-2</v>
      </c>
      <c r="AA372" s="1">
        <f t="shared" si="94"/>
        <v>6.6736053004825061E-3</v>
      </c>
      <c r="AB372" s="1">
        <f t="shared" si="95"/>
        <v>9.4723146285869593E-3</v>
      </c>
      <c r="AC372" s="1">
        <f t="shared" si="96"/>
        <v>8.0720735279557441E-3</v>
      </c>
      <c r="AK372" s="17" t="s">
        <v>961</v>
      </c>
      <c r="AL372" s="17">
        <f t="shared" si="97"/>
        <v>1.9992141489115801E-2</v>
      </c>
      <c r="AM372" s="17">
        <f t="shared" si="98"/>
        <v>1.7211876492503896E-2</v>
      </c>
      <c r="AO372" s="17" t="s">
        <v>1673</v>
      </c>
      <c r="AP372" s="17">
        <f t="shared" si="99"/>
        <v>0.87814398333430732</v>
      </c>
      <c r="AR372" s="1" t="s">
        <v>125</v>
      </c>
      <c r="AS372" s="17">
        <f t="shared" si="100"/>
        <v>0.87814398333430732</v>
      </c>
      <c r="AT372" s="17">
        <f t="shared" si="101"/>
        <v>203</v>
      </c>
    </row>
    <row r="373" spans="6:46" x14ac:dyDescent="0.3">
      <c r="F373" s="1">
        <v>371</v>
      </c>
      <c r="G373" s="1" t="s">
        <v>148</v>
      </c>
      <c r="H373" s="1">
        <v>3</v>
      </c>
      <c r="I373" s="1">
        <v>38</v>
      </c>
      <c r="J373" s="1">
        <v>1</v>
      </c>
      <c r="K373" s="1">
        <v>3</v>
      </c>
      <c r="M373" s="1" t="s">
        <v>148</v>
      </c>
      <c r="N373" s="1">
        <f t="shared" si="85"/>
        <v>0.42857142857142855</v>
      </c>
      <c r="O373" s="1">
        <f t="shared" si="86"/>
        <v>0.3619047619047619</v>
      </c>
      <c r="P373" s="1">
        <f t="shared" si="87"/>
        <v>1</v>
      </c>
      <c r="Q373" s="1">
        <f t="shared" si="88"/>
        <v>1</v>
      </c>
      <c r="S373" s="1" t="s">
        <v>148</v>
      </c>
      <c r="T373" s="1">
        <f t="shared" si="89"/>
        <v>4.2874646285627281E-2</v>
      </c>
      <c r="U373" s="1">
        <f t="shared" si="90"/>
        <v>2.75648914585147E-2</v>
      </c>
      <c r="V373" s="1">
        <f t="shared" si="91"/>
        <v>6.3148764190579729E-2</v>
      </c>
      <c r="W373" s="1">
        <f t="shared" si="92"/>
        <v>4.0360367639778717E-2</v>
      </c>
      <c r="Y373" s="1" t="s">
        <v>148</v>
      </c>
      <c r="Z373" s="1">
        <f t="shared" si="93"/>
        <v>1.2862393885688184E-2</v>
      </c>
      <c r="AA373" s="1">
        <f t="shared" si="94"/>
        <v>5.5129782917029404E-3</v>
      </c>
      <c r="AB373" s="1">
        <f t="shared" si="95"/>
        <v>1.8944629257173919E-2</v>
      </c>
      <c r="AC373" s="1">
        <f t="shared" si="96"/>
        <v>8.0720735279557441E-3</v>
      </c>
      <c r="AK373" s="17" t="s">
        <v>962</v>
      </c>
      <c r="AL373" s="17">
        <f t="shared" si="97"/>
        <v>2.4865564062455117E-2</v>
      </c>
      <c r="AM373" s="17">
        <f t="shared" si="98"/>
        <v>1.4134662100762179E-2</v>
      </c>
      <c r="AO373" s="17" t="s">
        <v>1674</v>
      </c>
      <c r="AP373" s="17">
        <f t="shared" si="99"/>
        <v>0.582577914192691</v>
      </c>
      <c r="AR373" s="1" t="s">
        <v>148</v>
      </c>
      <c r="AS373" s="17">
        <f t="shared" si="100"/>
        <v>0.582577914192691</v>
      </c>
      <c r="AT373" s="17">
        <f t="shared" si="101"/>
        <v>466</v>
      </c>
    </row>
    <row r="374" spans="6:46" x14ac:dyDescent="0.3">
      <c r="F374" s="1">
        <v>372</v>
      </c>
      <c r="G374" s="1" t="s">
        <v>317</v>
      </c>
      <c r="H374" s="1">
        <v>1</v>
      </c>
      <c r="I374" s="1">
        <v>50</v>
      </c>
      <c r="J374" s="1">
        <v>2</v>
      </c>
      <c r="K374" s="1">
        <v>3</v>
      </c>
      <c r="M374" s="1" t="s">
        <v>317</v>
      </c>
      <c r="N374" s="1">
        <f t="shared" si="85"/>
        <v>0.14285714285714285</v>
      </c>
      <c r="O374" s="1">
        <f t="shared" si="86"/>
        <v>0.47619047619047616</v>
      </c>
      <c r="P374" s="1">
        <f t="shared" si="87"/>
        <v>0.5</v>
      </c>
      <c r="Q374" s="1">
        <f t="shared" si="88"/>
        <v>1</v>
      </c>
      <c r="S374" s="1" t="s">
        <v>317</v>
      </c>
      <c r="T374" s="1">
        <f t="shared" si="89"/>
        <v>1.4291548761875762E-2</v>
      </c>
      <c r="U374" s="1">
        <f t="shared" si="90"/>
        <v>3.6269594024361446E-2</v>
      </c>
      <c r="V374" s="1">
        <f t="shared" si="91"/>
        <v>3.1574382095289864E-2</v>
      </c>
      <c r="W374" s="1">
        <f t="shared" si="92"/>
        <v>4.0360367639778717E-2</v>
      </c>
      <c r="Y374" s="1" t="s">
        <v>317</v>
      </c>
      <c r="Z374" s="1">
        <f t="shared" si="93"/>
        <v>4.2874646285627283E-3</v>
      </c>
      <c r="AA374" s="1">
        <f t="shared" si="94"/>
        <v>7.2539188048722893E-3</v>
      </c>
      <c r="AB374" s="1">
        <f t="shared" si="95"/>
        <v>9.4723146285869593E-3</v>
      </c>
      <c r="AC374" s="1">
        <f t="shared" si="96"/>
        <v>8.0720735279557441E-3</v>
      </c>
      <c r="AK374" s="17" t="s">
        <v>963</v>
      </c>
      <c r="AL374" s="17">
        <f t="shared" si="97"/>
        <v>2.7526986992551641E-2</v>
      </c>
      <c r="AM374" s="17">
        <f t="shared" si="98"/>
        <v>1.2392247487348651E-2</v>
      </c>
      <c r="AO374" s="17" t="s">
        <v>1675</v>
      </c>
      <c r="AP374" s="17">
        <f t="shared" si="99"/>
        <v>0.46257764157722098</v>
      </c>
      <c r="AR374" s="1" t="s">
        <v>317</v>
      </c>
      <c r="AS374" s="17">
        <f t="shared" si="100"/>
        <v>0.46257764157722098</v>
      </c>
      <c r="AT374" s="17">
        <f t="shared" si="101"/>
        <v>565</v>
      </c>
    </row>
    <row r="375" spans="6:46" x14ac:dyDescent="0.3">
      <c r="F375" s="1">
        <v>373</v>
      </c>
      <c r="G375" s="1" t="s">
        <v>318</v>
      </c>
      <c r="H375" s="1">
        <v>3</v>
      </c>
      <c r="I375" s="1">
        <v>35</v>
      </c>
      <c r="J375" s="1">
        <v>2</v>
      </c>
      <c r="K375" s="1">
        <v>3</v>
      </c>
      <c r="M375" s="1" t="s">
        <v>318</v>
      </c>
      <c r="N375" s="1">
        <f t="shared" si="85"/>
        <v>0.42857142857142855</v>
      </c>
      <c r="O375" s="1">
        <f t="shared" si="86"/>
        <v>0.33333333333333331</v>
      </c>
      <c r="P375" s="1">
        <f t="shared" si="87"/>
        <v>0.5</v>
      </c>
      <c r="Q375" s="1">
        <f t="shared" si="88"/>
        <v>1</v>
      </c>
      <c r="S375" s="1" t="s">
        <v>318</v>
      </c>
      <c r="T375" s="1">
        <f t="shared" si="89"/>
        <v>4.2874646285627281E-2</v>
      </c>
      <c r="U375" s="1">
        <f t="shared" si="90"/>
        <v>2.5388715817053011E-2</v>
      </c>
      <c r="V375" s="1">
        <f t="shared" si="91"/>
        <v>3.1574382095289864E-2</v>
      </c>
      <c r="W375" s="1">
        <f t="shared" si="92"/>
        <v>4.0360367639778717E-2</v>
      </c>
      <c r="Y375" s="1" t="s">
        <v>318</v>
      </c>
      <c r="Z375" s="1">
        <f t="shared" si="93"/>
        <v>1.2862393885688184E-2</v>
      </c>
      <c r="AA375" s="1">
        <f t="shared" si="94"/>
        <v>5.0777431634106028E-3</v>
      </c>
      <c r="AB375" s="1">
        <f t="shared" si="95"/>
        <v>9.4723146285869593E-3</v>
      </c>
      <c r="AC375" s="1">
        <f t="shared" si="96"/>
        <v>8.0720735279557441E-3</v>
      </c>
      <c r="AK375" s="17" t="s">
        <v>964</v>
      </c>
      <c r="AL375" s="17">
        <f t="shared" si="97"/>
        <v>2.0725647338149331E-2</v>
      </c>
      <c r="AM375" s="17">
        <f t="shared" si="98"/>
        <v>1.6961198783172784E-2</v>
      </c>
      <c r="AO375" s="17" t="s">
        <v>1676</v>
      </c>
      <c r="AP375" s="17">
        <f t="shared" si="99"/>
        <v>0.83532882351606141</v>
      </c>
      <c r="AR375" s="1" t="s">
        <v>318</v>
      </c>
      <c r="AS375" s="17">
        <f t="shared" si="100"/>
        <v>0.83532882351606141</v>
      </c>
      <c r="AT375" s="17">
        <f t="shared" si="101"/>
        <v>283</v>
      </c>
    </row>
    <row r="376" spans="6:46" x14ac:dyDescent="0.3">
      <c r="F376" s="1">
        <v>374</v>
      </c>
      <c r="G376" s="1" t="s">
        <v>319</v>
      </c>
      <c r="H376" s="1">
        <v>3</v>
      </c>
      <c r="I376" s="1">
        <v>39</v>
      </c>
      <c r="J376" s="1">
        <v>2</v>
      </c>
      <c r="K376" s="1">
        <v>3</v>
      </c>
      <c r="M376" s="1" t="s">
        <v>319</v>
      </c>
      <c r="N376" s="1">
        <f t="shared" si="85"/>
        <v>0.42857142857142855</v>
      </c>
      <c r="O376" s="1">
        <f t="shared" si="86"/>
        <v>0.37142857142857144</v>
      </c>
      <c r="P376" s="1">
        <f t="shared" si="87"/>
        <v>0.5</v>
      </c>
      <c r="Q376" s="1">
        <f t="shared" si="88"/>
        <v>1</v>
      </c>
      <c r="S376" s="1" t="s">
        <v>319</v>
      </c>
      <c r="T376" s="1">
        <f t="shared" si="89"/>
        <v>4.2874646285627281E-2</v>
      </c>
      <c r="U376" s="1">
        <f t="shared" si="90"/>
        <v>2.829028333900193E-2</v>
      </c>
      <c r="V376" s="1">
        <f t="shared" si="91"/>
        <v>3.1574382095289864E-2</v>
      </c>
      <c r="W376" s="1">
        <f t="shared" si="92"/>
        <v>4.0360367639778717E-2</v>
      </c>
      <c r="Y376" s="1" t="s">
        <v>319</v>
      </c>
      <c r="Z376" s="1">
        <f t="shared" si="93"/>
        <v>1.2862393885688184E-2</v>
      </c>
      <c r="AA376" s="1">
        <f t="shared" si="94"/>
        <v>5.658056667800386E-3</v>
      </c>
      <c r="AB376" s="1">
        <f t="shared" si="95"/>
        <v>9.4723146285869593E-3</v>
      </c>
      <c r="AC376" s="1">
        <f t="shared" si="96"/>
        <v>8.0720735279557441E-3</v>
      </c>
      <c r="AK376" s="17" t="s">
        <v>965</v>
      </c>
      <c r="AL376" s="17">
        <f t="shared" si="97"/>
        <v>2.0447554612483942E-2</v>
      </c>
      <c r="AM376" s="17">
        <f t="shared" si="98"/>
        <v>1.7035492138110675E-2</v>
      </c>
      <c r="AO376" s="17" t="s">
        <v>1677</v>
      </c>
      <c r="AP376" s="17">
        <f t="shared" si="99"/>
        <v>0.85016651738598625</v>
      </c>
      <c r="AR376" s="1" t="s">
        <v>319</v>
      </c>
      <c r="AS376" s="17">
        <f t="shared" si="100"/>
        <v>0.85016651738598625</v>
      </c>
      <c r="AT376" s="17">
        <f t="shared" si="101"/>
        <v>257</v>
      </c>
    </row>
    <row r="377" spans="6:46" x14ac:dyDescent="0.3">
      <c r="F377" s="1">
        <v>375</v>
      </c>
      <c r="G377" s="1" t="s">
        <v>320</v>
      </c>
      <c r="H377" s="1">
        <v>2</v>
      </c>
      <c r="I377" s="1">
        <v>57</v>
      </c>
      <c r="J377" s="1">
        <v>2</v>
      </c>
      <c r="K377" s="1">
        <v>3</v>
      </c>
      <c r="M377" s="1" t="s">
        <v>320</v>
      </c>
      <c r="N377" s="1">
        <f t="shared" si="85"/>
        <v>0.2857142857142857</v>
      </c>
      <c r="O377" s="1">
        <f t="shared" si="86"/>
        <v>0.54285714285714282</v>
      </c>
      <c r="P377" s="1">
        <f t="shared" si="87"/>
        <v>0.5</v>
      </c>
      <c r="Q377" s="1">
        <f t="shared" si="88"/>
        <v>1</v>
      </c>
      <c r="S377" s="1" t="s">
        <v>320</v>
      </c>
      <c r="T377" s="1">
        <f t="shared" si="89"/>
        <v>2.8583097523751523E-2</v>
      </c>
      <c r="U377" s="1">
        <f t="shared" si="90"/>
        <v>4.1347337187772046E-2</v>
      </c>
      <c r="V377" s="1">
        <f t="shared" si="91"/>
        <v>3.1574382095289864E-2</v>
      </c>
      <c r="W377" s="1">
        <f t="shared" si="92"/>
        <v>4.0360367639778717E-2</v>
      </c>
      <c r="Y377" s="1" t="s">
        <v>320</v>
      </c>
      <c r="Z377" s="1">
        <f t="shared" si="93"/>
        <v>8.5749292571254566E-3</v>
      </c>
      <c r="AA377" s="1">
        <f t="shared" si="94"/>
        <v>8.2694674375544102E-3</v>
      </c>
      <c r="AB377" s="1">
        <f t="shared" si="95"/>
        <v>9.4723146285869593E-3</v>
      </c>
      <c r="AC377" s="1">
        <f t="shared" si="96"/>
        <v>8.0720735279557441E-3</v>
      </c>
      <c r="AK377" s="17" t="s">
        <v>966</v>
      </c>
      <c r="AL377" s="17">
        <f t="shared" si="97"/>
        <v>2.3245509532982548E-2</v>
      </c>
      <c r="AM377" s="17">
        <f t="shared" si="98"/>
        <v>1.4764718346088125E-2</v>
      </c>
      <c r="AO377" s="17" t="s">
        <v>1678</v>
      </c>
      <c r="AP377" s="17">
        <f t="shared" si="99"/>
        <v>0.64992904224007664</v>
      </c>
      <c r="AR377" s="1" t="s">
        <v>320</v>
      </c>
      <c r="AS377" s="17">
        <f t="shared" si="100"/>
        <v>0.64992904224007664</v>
      </c>
      <c r="AT377" s="17">
        <f t="shared" si="101"/>
        <v>383</v>
      </c>
    </row>
    <row r="378" spans="6:46" x14ac:dyDescent="0.3">
      <c r="F378" s="1">
        <v>376</v>
      </c>
      <c r="G378" s="1" t="s">
        <v>321</v>
      </c>
      <c r="H378" s="1">
        <v>2</v>
      </c>
      <c r="I378" s="1">
        <v>63</v>
      </c>
      <c r="J378" s="1">
        <v>2</v>
      </c>
      <c r="K378" s="1">
        <v>3</v>
      </c>
      <c r="M378" s="1" t="s">
        <v>321</v>
      </c>
      <c r="N378" s="1">
        <f t="shared" si="85"/>
        <v>0.2857142857142857</v>
      </c>
      <c r="O378" s="1">
        <f t="shared" si="86"/>
        <v>0.6</v>
      </c>
      <c r="P378" s="1">
        <f t="shared" si="87"/>
        <v>0.5</v>
      </c>
      <c r="Q378" s="1">
        <f t="shared" si="88"/>
        <v>1</v>
      </c>
      <c r="S378" s="1" t="s">
        <v>321</v>
      </c>
      <c r="T378" s="1">
        <f t="shared" si="89"/>
        <v>2.8583097523751523E-2</v>
      </c>
      <c r="U378" s="1">
        <f t="shared" si="90"/>
        <v>4.5699688470695422E-2</v>
      </c>
      <c r="V378" s="1">
        <f t="shared" si="91"/>
        <v>3.1574382095289864E-2</v>
      </c>
      <c r="W378" s="1">
        <f t="shared" si="92"/>
        <v>4.0360367639778717E-2</v>
      </c>
      <c r="Y378" s="1" t="s">
        <v>321</v>
      </c>
      <c r="Z378" s="1">
        <f t="shared" si="93"/>
        <v>8.5749292571254566E-3</v>
      </c>
      <c r="AA378" s="1">
        <f t="shared" si="94"/>
        <v>9.1399376941390855E-3</v>
      </c>
      <c r="AB378" s="1">
        <f t="shared" si="95"/>
        <v>9.4723146285869593E-3</v>
      </c>
      <c r="AC378" s="1">
        <f t="shared" si="96"/>
        <v>8.0720735279557441E-3</v>
      </c>
      <c r="AK378" s="17" t="s">
        <v>967</v>
      </c>
      <c r="AL378" s="17">
        <f t="shared" si="97"/>
        <v>2.2999737747070152E-2</v>
      </c>
      <c r="AM378" s="17">
        <f t="shared" si="98"/>
        <v>1.5086241251403879E-2</v>
      </c>
      <c r="AO378" s="17" t="s">
        <v>1679</v>
      </c>
      <c r="AP378" s="17">
        <f t="shared" si="99"/>
        <v>0.67101725304416482</v>
      </c>
      <c r="AR378" s="1" t="s">
        <v>321</v>
      </c>
      <c r="AS378" s="17">
        <f t="shared" si="100"/>
        <v>0.67101725304416482</v>
      </c>
      <c r="AT378" s="17">
        <f t="shared" si="101"/>
        <v>367</v>
      </c>
    </row>
    <row r="379" spans="6:46" x14ac:dyDescent="0.3">
      <c r="F379" s="1">
        <v>377</v>
      </c>
      <c r="G379" s="1" t="s">
        <v>322</v>
      </c>
      <c r="H379" s="1">
        <v>2</v>
      </c>
      <c r="I379" s="1">
        <v>24</v>
      </c>
      <c r="J379" s="1">
        <v>2</v>
      </c>
      <c r="K379" s="1">
        <v>3</v>
      </c>
      <c r="M379" s="1" t="s">
        <v>322</v>
      </c>
      <c r="N379" s="1">
        <f t="shared" si="85"/>
        <v>0.2857142857142857</v>
      </c>
      <c r="O379" s="1">
        <f t="shared" si="86"/>
        <v>0.22857142857142856</v>
      </c>
      <c r="P379" s="1">
        <f t="shared" si="87"/>
        <v>0.5</v>
      </c>
      <c r="Q379" s="1">
        <f t="shared" si="88"/>
        <v>1</v>
      </c>
      <c r="S379" s="1" t="s">
        <v>322</v>
      </c>
      <c r="T379" s="1">
        <f t="shared" si="89"/>
        <v>2.8583097523751523E-2</v>
      </c>
      <c r="U379" s="1">
        <f t="shared" si="90"/>
        <v>1.7409405131693496E-2</v>
      </c>
      <c r="V379" s="1">
        <f t="shared" si="91"/>
        <v>3.1574382095289864E-2</v>
      </c>
      <c r="W379" s="1">
        <f t="shared" si="92"/>
        <v>4.0360367639778717E-2</v>
      </c>
      <c r="Y379" s="1" t="s">
        <v>322</v>
      </c>
      <c r="Z379" s="1">
        <f t="shared" si="93"/>
        <v>8.5749292571254566E-3</v>
      </c>
      <c r="AA379" s="1">
        <f t="shared" si="94"/>
        <v>3.4818810263386995E-3</v>
      </c>
      <c r="AB379" s="1">
        <f t="shared" si="95"/>
        <v>9.4723146285869593E-3</v>
      </c>
      <c r="AC379" s="1">
        <f t="shared" si="96"/>
        <v>8.0720735279557441E-3</v>
      </c>
      <c r="AK379" s="17" t="s">
        <v>968</v>
      </c>
      <c r="AL379" s="17">
        <f t="shared" si="97"/>
        <v>2.5098882888318269E-2</v>
      </c>
      <c r="AM379" s="17">
        <f t="shared" si="98"/>
        <v>1.3867141852111863E-2</v>
      </c>
      <c r="AO379" s="17" t="s">
        <v>1680</v>
      </c>
      <c r="AP379" s="17">
        <f t="shared" si="99"/>
        <v>0.56636750267757419</v>
      </c>
      <c r="AR379" s="1" t="s">
        <v>322</v>
      </c>
      <c r="AS379" s="17">
        <f t="shared" si="100"/>
        <v>0.56636750267757419</v>
      </c>
      <c r="AT379" s="17">
        <f t="shared" si="101"/>
        <v>501</v>
      </c>
    </row>
    <row r="380" spans="6:46" x14ac:dyDescent="0.3">
      <c r="F380" s="1">
        <v>378</v>
      </c>
      <c r="G380" s="1" t="s">
        <v>323</v>
      </c>
      <c r="H380" s="1">
        <v>3</v>
      </c>
      <c r="I380" s="1">
        <v>43</v>
      </c>
      <c r="J380" s="1">
        <v>2</v>
      </c>
      <c r="K380" s="1">
        <v>3</v>
      </c>
      <c r="M380" s="1" t="s">
        <v>323</v>
      </c>
      <c r="N380" s="1">
        <f t="shared" si="85"/>
        <v>0.42857142857142855</v>
      </c>
      <c r="O380" s="1">
        <f t="shared" si="86"/>
        <v>0.40952380952380951</v>
      </c>
      <c r="P380" s="1">
        <f t="shared" si="87"/>
        <v>0.5</v>
      </c>
      <c r="Q380" s="1">
        <f t="shared" si="88"/>
        <v>1</v>
      </c>
      <c r="S380" s="1" t="s">
        <v>323</v>
      </c>
      <c r="T380" s="1">
        <f t="shared" si="89"/>
        <v>4.2874646285627281E-2</v>
      </c>
      <c r="U380" s="1">
        <f t="shared" si="90"/>
        <v>3.1191850860950845E-2</v>
      </c>
      <c r="V380" s="1">
        <f t="shared" si="91"/>
        <v>3.1574382095289864E-2</v>
      </c>
      <c r="W380" s="1">
        <f t="shared" si="92"/>
        <v>4.0360367639778717E-2</v>
      </c>
      <c r="Y380" s="1" t="s">
        <v>323</v>
      </c>
      <c r="Z380" s="1">
        <f t="shared" si="93"/>
        <v>1.2862393885688184E-2</v>
      </c>
      <c r="AA380" s="1">
        <f t="shared" si="94"/>
        <v>6.2383701721901693E-3</v>
      </c>
      <c r="AB380" s="1">
        <f t="shared" si="95"/>
        <v>9.4723146285869593E-3</v>
      </c>
      <c r="AC380" s="1">
        <f t="shared" si="96"/>
        <v>8.0720735279557441E-3</v>
      </c>
      <c r="AK380" s="17" t="s">
        <v>969</v>
      </c>
      <c r="AL380" s="17">
        <f t="shared" si="97"/>
        <v>2.0182320213554348E-2</v>
      </c>
      <c r="AM380" s="17">
        <f t="shared" si="98"/>
        <v>1.7129134483087973E-2</v>
      </c>
      <c r="AO380" s="17" t="s">
        <v>1681</v>
      </c>
      <c r="AP380" s="17">
        <f t="shared" si="99"/>
        <v>0.86584892001023117</v>
      </c>
      <c r="AR380" s="1" t="s">
        <v>323</v>
      </c>
      <c r="AS380" s="17">
        <f t="shared" si="100"/>
        <v>0.86584892001023117</v>
      </c>
      <c r="AT380" s="17">
        <f t="shared" si="101"/>
        <v>222</v>
      </c>
    </row>
    <row r="381" spans="6:46" x14ac:dyDescent="0.3">
      <c r="F381" s="1">
        <v>379</v>
      </c>
      <c r="G381" s="1" t="s">
        <v>324</v>
      </c>
      <c r="H381" s="1">
        <v>3</v>
      </c>
      <c r="I381" s="1">
        <v>24</v>
      </c>
      <c r="J381" s="1">
        <v>2</v>
      </c>
      <c r="K381" s="1">
        <v>3</v>
      </c>
      <c r="M381" s="1" t="s">
        <v>324</v>
      </c>
      <c r="N381" s="1">
        <f t="shared" si="85"/>
        <v>0.42857142857142855</v>
      </c>
      <c r="O381" s="1">
        <f t="shared" si="86"/>
        <v>0.22857142857142856</v>
      </c>
      <c r="P381" s="1">
        <f t="shared" si="87"/>
        <v>0.5</v>
      </c>
      <c r="Q381" s="1">
        <f t="shared" si="88"/>
        <v>1</v>
      </c>
      <c r="S381" s="1" t="s">
        <v>324</v>
      </c>
      <c r="T381" s="1">
        <f t="shared" si="89"/>
        <v>4.2874646285627281E-2</v>
      </c>
      <c r="U381" s="1">
        <f t="shared" si="90"/>
        <v>1.7409405131693496E-2</v>
      </c>
      <c r="V381" s="1">
        <f t="shared" si="91"/>
        <v>3.1574382095289864E-2</v>
      </c>
      <c r="W381" s="1">
        <f t="shared" si="92"/>
        <v>4.0360367639778717E-2</v>
      </c>
      <c r="Y381" s="1" t="s">
        <v>324</v>
      </c>
      <c r="Z381" s="1">
        <f t="shared" si="93"/>
        <v>1.2862393885688184E-2</v>
      </c>
      <c r="AA381" s="1">
        <f t="shared" si="94"/>
        <v>3.4818810263386995E-3</v>
      </c>
      <c r="AB381" s="1">
        <f t="shared" si="95"/>
        <v>9.4723146285869593E-3</v>
      </c>
      <c r="AC381" s="1">
        <f t="shared" si="96"/>
        <v>8.0720735279557441E-3</v>
      </c>
      <c r="AK381" s="17" t="s">
        <v>970</v>
      </c>
      <c r="AL381" s="17">
        <f t="shared" si="97"/>
        <v>2.1552557754728946E-2</v>
      </c>
      <c r="AM381" s="17">
        <f t="shared" si="98"/>
        <v>1.6858510843264746E-2</v>
      </c>
      <c r="AO381" s="17" t="s">
        <v>1682</v>
      </c>
      <c r="AP381" s="17">
        <f t="shared" si="99"/>
        <v>0.79906315843622822</v>
      </c>
      <c r="AR381" s="1" t="s">
        <v>324</v>
      </c>
      <c r="AS381" s="17">
        <f t="shared" si="100"/>
        <v>0.79906315843622822</v>
      </c>
      <c r="AT381" s="17">
        <f t="shared" si="101"/>
        <v>308</v>
      </c>
    </row>
    <row r="382" spans="6:46" x14ac:dyDescent="0.3">
      <c r="F382" s="1">
        <v>380</v>
      </c>
      <c r="G382" s="1" t="s">
        <v>325</v>
      </c>
      <c r="H382" s="1">
        <v>3</v>
      </c>
      <c r="I382" s="1">
        <v>50</v>
      </c>
      <c r="J382" s="1">
        <v>2</v>
      </c>
      <c r="K382" s="1">
        <v>3</v>
      </c>
      <c r="M382" s="1" t="s">
        <v>325</v>
      </c>
      <c r="N382" s="1">
        <f t="shared" si="85"/>
        <v>0.42857142857142855</v>
      </c>
      <c r="O382" s="1">
        <f t="shared" si="86"/>
        <v>0.47619047619047616</v>
      </c>
      <c r="P382" s="1">
        <f t="shared" si="87"/>
        <v>0.5</v>
      </c>
      <c r="Q382" s="1">
        <f t="shared" si="88"/>
        <v>1</v>
      </c>
      <c r="S382" s="1" t="s">
        <v>325</v>
      </c>
      <c r="T382" s="1">
        <f t="shared" si="89"/>
        <v>4.2874646285627281E-2</v>
      </c>
      <c r="U382" s="1">
        <f t="shared" si="90"/>
        <v>3.6269594024361446E-2</v>
      </c>
      <c r="V382" s="1">
        <f t="shared" si="91"/>
        <v>3.1574382095289864E-2</v>
      </c>
      <c r="W382" s="1">
        <f t="shared" si="92"/>
        <v>4.0360367639778717E-2</v>
      </c>
      <c r="Y382" s="1" t="s">
        <v>325</v>
      </c>
      <c r="Z382" s="1">
        <f t="shared" si="93"/>
        <v>1.2862393885688184E-2</v>
      </c>
      <c r="AA382" s="1">
        <f t="shared" si="94"/>
        <v>7.2539188048722893E-3</v>
      </c>
      <c r="AB382" s="1">
        <f t="shared" si="95"/>
        <v>9.4723146285869593E-3</v>
      </c>
      <c r="AC382" s="1">
        <f t="shared" si="96"/>
        <v>8.0720735279557441E-3</v>
      </c>
      <c r="AK382" s="17" t="s">
        <v>971</v>
      </c>
      <c r="AL382" s="17">
        <f t="shared" si="97"/>
        <v>1.9750644396185572E-2</v>
      </c>
      <c r="AM382" s="17">
        <f t="shared" si="98"/>
        <v>1.7338587639052702E-2</v>
      </c>
      <c r="AO382" s="17" t="s">
        <v>1683</v>
      </c>
      <c r="AP382" s="17">
        <f t="shared" si="99"/>
        <v>0.89521311624943523</v>
      </c>
      <c r="AR382" s="1" t="s">
        <v>325</v>
      </c>
      <c r="AS382" s="17">
        <f t="shared" si="100"/>
        <v>0.89521311624943523</v>
      </c>
      <c r="AT382" s="17">
        <f t="shared" si="101"/>
        <v>181</v>
      </c>
    </row>
    <row r="383" spans="6:46" x14ac:dyDescent="0.3">
      <c r="F383" s="1">
        <v>381</v>
      </c>
      <c r="G383" s="1" t="s">
        <v>326</v>
      </c>
      <c r="H383" s="1">
        <v>3</v>
      </c>
      <c r="I383" s="1">
        <v>46</v>
      </c>
      <c r="J383" s="1">
        <v>3</v>
      </c>
      <c r="K383" s="1">
        <v>3</v>
      </c>
      <c r="M383" s="1" t="s">
        <v>326</v>
      </c>
      <c r="N383" s="1">
        <f t="shared" si="85"/>
        <v>0.42857142857142855</v>
      </c>
      <c r="O383" s="1">
        <f t="shared" si="86"/>
        <v>0.43809523809523809</v>
      </c>
      <c r="P383" s="1">
        <f t="shared" si="87"/>
        <v>0.33333333333333331</v>
      </c>
      <c r="Q383" s="1">
        <f t="shared" si="88"/>
        <v>1</v>
      </c>
      <c r="S383" s="1" t="s">
        <v>326</v>
      </c>
      <c r="T383" s="1">
        <f t="shared" si="89"/>
        <v>4.2874646285627281E-2</v>
      </c>
      <c r="U383" s="1">
        <f t="shared" si="90"/>
        <v>3.336802650241253E-2</v>
      </c>
      <c r="V383" s="1">
        <f t="shared" si="91"/>
        <v>2.1049588063526574E-2</v>
      </c>
      <c r="W383" s="1">
        <f t="shared" si="92"/>
        <v>4.0360367639778717E-2</v>
      </c>
      <c r="Y383" s="1" t="s">
        <v>326</v>
      </c>
      <c r="Z383" s="1">
        <f t="shared" si="93"/>
        <v>1.2862393885688184E-2</v>
      </c>
      <c r="AA383" s="1">
        <f t="shared" si="94"/>
        <v>6.6736053004825061E-3</v>
      </c>
      <c r="AB383" s="1">
        <f t="shared" si="95"/>
        <v>6.314876419057972E-3</v>
      </c>
      <c r="AC383" s="1">
        <f t="shared" si="96"/>
        <v>8.0720735279557441E-3</v>
      </c>
      <c r="AK383" s="17" t="s">
        <v>972</v>
      </c>
      <c r="AL383" s="17">
        <f t="shared" si="97"/>
        <v>1.9333009067360466E-2</v>
      </c>
      <c r="AM383" s="17">
        <f t="shared" si="98"/>
        <v>1.913203085723425E-2</v>
      </c>
      <c r="AO383" s="17" t="s">
        <v>1684</v>
      </c>
      <c r="AP383" s="17">
        <f t="shared" si="99"/>
        <v>1.0087364318366181</v>
      </c>
      <c r="AR383" s="1" t="s">
        <v>326</v>
      </c>
      <c r="AS383" s="17">
        <f t="shared" si="100"/>
        <v>1.0087364318366181</v>
      </c>
      <c r="AT383" s="17">
        <f t="shared" si="101"/>
        <v>134</v>
      </c>
    </row>
    <row r="384" spans="6:46" x14ac:dyDescent="0.3">
      <c r="F384" s="1">
        <v>382</v>
      </c>
      <c r="G384" s="1" t="s">
        <v>327</v>
      </c>
      <c r="H384" s="1">
        <v>3</v>
      </c>
      <c r="I384" s="1">
        <v>39</v>
      </c>
      <c r="J384" s="1">
        <v>2</v>
      </c>
      <c r="K384" s="1">
        <v>3</v>
      </c>
      <c r="M384" s="1" t="s">
        <v>327</v>
      </c>
      <c r="N384" s="1">
        <f t="shared" si="85"/>
        <v>0.42857142857142855</v>
      </c>
      <c r="O384" s="1">
        <f t="shared" si="86"/>
        <v>0.37142857142857144</v>
      </c>
      <c r="P384" s="1">
        <f t="shared" si="87"/>
        <v>0.5</v>
      </c>
      <c r="Q384" s="1">
        <f t="shared" si="88"/>
        <v>1</v>
      </c>
      <c r="S384" s="1" t="s">
        <v>327</v>
      </c>
      <c r="T384" s="1">
        <f t="shared" si="89"/>
        <v>4.2874646285627281E-2</v>
      </c>
      <c r="U384" s="1">
        <f t="shared" si="90"/>
        <v>2.829028333900193E-2</v>
      </c>
      <c r="V384" s="1">
        <f t="shared" si="91"/>
        <v>3.1574382095289864E-2</v>
      </c>
      <c r="W384" s="1">
        <f t="shared" si="92"/>
        <v>4.0360367639778717E-2</v>
      </c>
      <c r="Y384" s="1" t="s">
        <v>327</v>
      </c>
      <c r="Z384" s="1">
        <f t="shared" si="93"/>
        <v>1.2862393885688184E-2</v>
      </c>
      <c r="AA384" s="1">
        <f t="shared" si="94"/>
        <v>5.658056667800386E-3</v>
      </c>
      <c r="AB384" s="1">
        <f t="shared" si="95"/>
        <v>9.4723146285869593E-3</v>
      </c>
      <c r="AC384" s="1">
        <f t="shared" si="96"/>
        <v>8.0720735279557441E-3</v>
      </c>
      <c r="AK384" s="17" t="s">
        <v>973</v>
      </c>
      <c r="AL384" s="17">
        <f t="shared" si="97"/>
        <v>2.0447554612483942E-2</v>
      </c>
      <c r="AM384" s="17">
        <f t="shared" si="98"/>
        <v>1.7035492138110675E-2</v>
      </c>
      <c r="AO384" s="17" t="s">
        <v>1685</v>
      </c>
      <c r="AP384" s="17">
        <f t="shared" si="99"/>
        <v>0.85016651738598625</v>
      </c>
      <c r="AR384" s="1" t="s">
        <v>327</v>
      </c>
      <c r="AS384" s="17">
        <f t="shared" si="100"/>
        <v>0.85016651738598625</v>
      </c>
      <c r="AT384" s="17">
        <f t="shared" si="101"/>
        <v>257</v>
      </c>
    </row>
    <row r="385" spans="6:46" x14ac:dyDescent="0.3">
      <c r="F385" s="1">
        <v>383</v>
      </c>
      <c r="G385" s="1" t="s">
        <v>328</v>
      </c>
      <c r="H385" s="1">
        <v>4</v>
      </c>
      <c r="I385" s="1">
        <v>48</v>
      </c>
      <c r="J385" s="1">
        <v>2</v>
      </c>
      <c r="K385" s="1">
        <v>3</v>
      </c>
      <c r="M385" s="1" t="s">
        <v>328</v>
      </c>
      <c r="N385" s="1">
        <f t="shared" si="85"/>
        <v>0.5714285714285714</v>
      </c>
      <c r="O385" s="1">
        <f t="shared" si="86"/>
        <v>0.45714285714285713</v>
      </c>
      <c r="P385" s="1">
        <f t="shared" si="87"/>
        <v>0.5</v>
      </c>
      <c r="Q385" s="1">
        <f t="shared" si="88"/>
        <v>1</v>
      </c>
      <c r="S385" s="1" t="s">
        <v>328</v>
      </c>
      <c r="T385" s="1">
        <f t="shared" si="89"/>
        <v>5.7166195047503046E-2</v>
      </c>
      <c r="U385" s="1">
        <f t="shared" si="90"/>
        <v>3.4818810263386991E-2</v>
      </c>
      <c r="V385" s="1">
        <f t="shared" si="91"/>
        <v>3.1574382095289864E-2</v>
      </c>
      <c r="W385" s="1">
        <f t="shared" si="92"/>
        <v>4.0360367639778717E-2</v>
      </c>
      <c r="Y385" s="1" t="s">
        <v>328</v>
      </c>
      <c r="Z385" s="1">
        <f t="shared" si="93"/>
        <v>1.7149858514250913E-2</v>
      </c>
      <c r="AA385" s="1">
        <f t="shared" si="94"/>
        <v>6.963762052677399E-3</v>
      </c>
      <c r="AB385" s="1">
        <f t="shared" si="95"/>
        <v>9.4723146285869593E-3</v>
      </c>
      <c r="AC385" s="1">
        <f t="shared" si="96"/>
        <v>8.0720735279557441E-3</v>
      </c>
      <c r="AK385" s="17" t="s">
        <v>974</v>
      </c>
      <c r="AL385" s="17">
        <f t="shared" si="97"/>
        <v>1.6313374150175704E-2</v>
      </c>
      <c r="AM385" s="17">
        <f t="shared" si="98"/>
        <v>2.0664702671525453E-2</v>
      </c>
      <c r="AO385" s="17" t="s">
        <v>1686</v>
      </c>
      <c r="AP385" s="17">
        <f t="shared" si="99"/>
        <v>1.2873985175949625</v>
      </c>
      <c r="AR385" s="1" t="s">
        <v>328</v>
      </c>
      <c r="AS385" s="17">
        <f t="shared" si="100"/>
        <v>1.2873985175949625</v>
      </c>
      <c r="AT385" s="17">
        <f t="shared" si="101"/>
        <v>68</v>
      </c>
    </row>
    <row r="386" spans="6:46" x14ac:dyDescent="0.3">
      <c r="F386" s="1">
        <v>384</v>
      </c>
      <c r="G386" s="1" t="s">
        <v>18</v>
      </c>
      <c r="H386" s="1">
        <v>4</v>
      </c>
      <c r="I386" s="1">
        <v>45</v>
      </c>
      <c r="J386" s="1">
        <v>1</v>
      </c>
      <c r="K386" s="1">
        <v>3</v>
      </c>
      <c r="M386" s="1" t="s">
        <v>18</v>
      </c>
      <c r="N386" s="1">
        <f t="shared" si="85"/>
        <v>0.5714285714285714</v>
      </c>
      <c r="O386" s="1">
        <f t="shared" si="86"/>
        <v>0.42857142857142855</v>
      </c>
      <c r="P386" s="1">
        <f t="shared" si="87"/>
        <v>1</v>
      </c>
      <c r="Q386" s="1">
        <f t="shared" si="88"/>
        <v>1</v>
      </c>
      <c r="S386" s="1" t="s">
        <v>18</v>
      </c>
      <c r="T386" s="1">
        <f t="shared" si="89"/>
        <v>5.7166195047503046E-2</v>
      </c>
      <c r="U386" s="1">
        <f t="shared" si="90"/>
        <v>3.26426346219253E-2</v>
      </c>
      <c r="V386" s="1">
        <f t="shared" si="91"/>
        <v>6.3148764190579729E-2</v>
      </c>
      <c r="W386" s="1">
        <f t="shared" si="92"/>
        <v>4.0360367639778717E-2</v>
      </c>
      <c r="Y386" s="1" t="s">
        <v>18</v>
      </c>
      <c r="Z386" s="1">
        <f t="shared" si="93"/>
        <v>1.7149858514250913E-2</v>
      </c>
      <c r="AA386" s="1">
        <f t="shared" si="94"/>
        <v>6.5285269243850605E-3</v>
      </c>
      <c r="AB386" s="1">
        <f t="shared" si="95"/>
        <v>1.8944629257173919E-2</v>
      </c>
      <c r="AC386" s="1">
        <f t="shared" si="96"/>
        <v>8.0720735279557441E-3</v>
      </c>
      <c r="AK386" s="17" t="s">
        <v>975</v>
      </c>
      <c r="AL386" s="17">
        <f t="shared" si="97"/>
        <v>2.17004232436416E-2</v>
      </c>
      <c r="AM386" s="17">
        <f t="shared" si="98"/>
        <v>1.8281443460612761E-2</v>
      </c>
      <c r="AO386" s="17" t="s">
        <v>1687</v>
      </c>
      <c r="AP386" s="17">
        <f t="shared" si="99"/>
        <v>0.86072784440670369</v>
      </c>
      <c r="AR386" s="1" t="s">
        <v>18</v>
      </c>
      <c r="AS386" s="17">
        <f t="shared" si="100"/>
        <v>0.86072784440670369</v>
      </c>
      <c r="AT386" s="17">
        <f t="shared" si="101"/>
        <v>235</v>
      </c>
    </row>
    <row r="387" spans="6:46" x14ac:dyDescent="0.3">
      <c r="F387" s="1">
        <v>385</v>
      </c>
      <c r="G387" s="1" t="s">
        <v>329</v>
      </c>
      <c r="H387" s="1">
        <v>5</v>
      </c>
      <c r="I387" s="1">
        <v>53</v>
      </c>
      <c r="J387" s="1">
        <v>2</v>
      </c>
      <c r="K387" s="1">
        <v>3</v>
      </c>
      <c r="M387" s="1" t="s">
        <v>329</v>
      </c>
      <c r="N387" s="1">
        <f t="shared" si="85"/>
        <v>0.7142857142857143</v>
      </c>
      <c r="O387" s="1">
        <f t="shared" si="86"/>
        <v>0.50476190476190474</v>
      </c>
      <c r="P387" s="1">
        <f t="shared" si="87"/>
        <v>0.5</v>
      </c>
      <c r="Q387" s="1">
        <f t="shared" si="88"/>
        <v>1</v>
      </c>
      <c r="S387" s="1" t="s">
        <v>329</v>
      </c>
      <c r="T387" s="1">
        <f t="shared" si="89"/>
        <v>7.1457743809378804E-2</v>
      </c>
      <c r="U387" s="1">
        <f t="shared" si="90"/>
        <v>3.844576966582313E-2</v>
      </c>
      <c r="V387" s="1">
        <f t="shared" si="91"/>
        <v>3.1574382095289864E-2</v>
      </c>
      <c r="W387" s="1">
        <f t="shared" si="92"/>
        <v>4.0360367639778717E-2</v>
      </c>
      <c r="Y387" s="1" t="s">
        <v>329</v>
      </c>
      <c r="Z387" s="1">
        <f t="shared" si="93"/>
        <v>2.1437323142813641E-2</v>
      </c>
      <c r="AA387" s="1">
        <f t="shared" si="94"/>
        <v>7.6891539331646261E-3</v>
      </c>
      <c r="AB387" s="1">
        <f t="shared" si="95"/>
        <v>9.4723146285869593E-3</v>
      </c>
      <c r="AC387" s="1">
        <f t="shared" si="96"/>
        <v>8.0720735279557441E-3</v>
      </c>
      <c r="AK387" s="17" t="s">
        <v>976</v>
      </c>
      <c r="AL387" s="17">
        <f t="shared" si="97"/>
        <v>1.2757091979275841E-2</v>
      </c>
      <c r="AM387" s="17">
        <f t="shared" si="98"/>
        <v>2.4463640724722381E-2</v>
      </c>
      <c r="AO387" s="17" t="s">
        <v>1688</v>
      </c>
      <c r="AP387" s="17">
        <f t="shared" si="99"/>
        <v>1.9421138986725421</v>
      </c>
      <c r="AR387" s="1" t="s">
        <v>329</v>
      </c>
      <c r="AS387" s="17">
        <f t="shared" si="100"/>
        <v>1.9421138986725421</v>
      </c>
      <c r="AT387" s="17">
        <f t="shared" si="101"/>
        <v>15</v>
      </c>
    </row>
    <row r="388" spans="6:46" x14ac:dyDescent="0.3">
      <c r="F388" s="1">
        <v>386</v>
      </c>
      <c r="G388" s="1" t="s">
        <v>330</v>
      </c>
      <c r="H388" s="1">
        <v>1</v>
      </c>
      <c r="I388" s="1">
        <v>51</v>
      </c>
      <c r="J388" s="1">
        <v>2</v>
      </c>
      <c r="K388" s="1">
        <v>3</v>
      </c>
      <c r="M388" s="1" t="s">
        <v>330</v>
      </c>
      <c r="N388" s="1">
        <f t="shared" ref="N388:N451" si="102">H388/MAX($H$3:$H$712)</f>
        <v>0.14285714285714285</v>
      </c>
      <c r="O388" s="1">
        <f t="shared" ref="O388:O451" si="103">I388/MAX($I$3:$I$712)</f>
        <v>0.48571428571428571</v>
      </c>
      <c r="P388" s="1">
        <f t="shared" ref="P388:P451" si="104">MIN($J$3:$J$712)/J388</f>
        <v>0.5</v>
      </c>
      <c r="Q388" s="1">
        <f t="shared" ref="Q388:Q451" si="105">K388/MAX($K$3:$K$712)</f>
        <v>1</v>
      </c>
      <c r="S388" s="1" t="s">
        <v>330</v>
      </c>
      <c r="T388" s="1">
        <f t="shared" ref="T388:T451" si="106">N388/SQRT(SUMSQ($N$3:$N$712))</f>
        <v>1.4291548761875762E-2</v>
      </c>
      <c r="U388" s="1">
        <f t="shared" ref="U388:U451" si="107">O388/SQRT(SUMSQ($O$3:$O$712))</f>
        <v>3.6994985904848676E-2</v>
      </c>
      <c r="V388" s="1">
        <f t="shared" ref="V388:V451" si="108">P388/SQRT(SUMSQ($P$3:$P$712))</f>
        <v>3.1574382095289864E-2</v>
      </c>
      <c r="W388" s="1">
        <f t="shared" ref="W388:W451" si="109">Q388/SQRT(SUMSQ($Q$3:$Q$712))</f>
        <v>4.0360367639778717E-2</v>
      </c>
      <c r="Y388" s="1" t="s">
        <v>330</v>
      </c>
      <c r="Z388" s="1">
        <f t="shared" ref="Z388:Z451" si="110">T388*$D$3</f>
        <v>4.2874646285627283E-3</v>
      </c>
      <c r="AA388" s="1">
        <f t="shared" ref="AA388:AA451" si="111">U388*$D$4</f>
        <v>7.3989971809697358E-3</v>
      </c>
      <c r="AB388" s="1">
        <f t="shared" ref="AB388:AB451" si="112">V388*$D$5</f>
        <v>9.4723146285869593E-3</v>
      </c>
      <c r="AC388" s="1">
        <f t="shared" ref="AC388:AC451" si="113">W388*$D$6</f>
        <v>8.0720735279557441E-3</v>
      </c>
      <c r="AK388" s="17" t="s">
        <v>977</v>
      </c>
      <c r="AL388" s="17">
        <f t="shared" ref="AL388:AL451" si="114">SQRT( ($AF$3-Z388)^2 + ($AG$3-AA388)^2 + ($AH$3-AB388)^2 + ($AI$3-AC388)^2 )</f>
        <v>2.7485283512274351E-2</v>
      </c>
      <c r="AM388" s="17">
        <f t="shared" ref="AM388:AM451" si="115">SQRT( (Z388-$AF$4)^2 + (AA388-$AG$4)^2 + (AB388-$AH$4)^2 + (AC388-$AI$4)^2 )</f>
        <v>1.2440559420489501E-2</v>
      </c>
      <c r="AO388" s="17" t="s">
        <v>1689</v>
      </c>
      <c r="AP388" s="17">
        <f t="shared" ref="AP388:AP451" si="116">AM388/AL388+AM388</f>
        <v>0.46506675899866773</v>
      </c>
      <c r="AR388" s="1" t="s">
        <v>330</v>
      </c>
      <c r="AS388" s="17">
        <f t="shared" ref="AS388:AS451" si="117">AP388</f>
        <v>0.46506675899866773</v>
      </c>
      <c r="AT388" s="17">
        <f t="shared" ref="AT388:AT451" si="118">RANK(AS388,$AS$3:$AS$712,0)</f>
        <v>562</v>
      </c>
    </row>
    <row r="389" spans="6:46" x14ac:dyDescent="0.3">
      <c r="F389" s="1">
        <v>387</v>
      </c>
      <c r="G389" s="1" t="s">
        <v>183</v>
      </c>
      <c r="H389" s="1">
        <v>5</v>
      </c>
      <c r="I389" s="1">
        <v>45</v>
      </c>
      <c r="J389" s="1">
        <v>2</v>
      </c>
      <c r="K389" s="1">
        <v>3</v>
      </c>
      <c r="M389" s="1" t="s">
        <v>183</v>
      </c>
      <c r="N389" s="1">
        <f t="shared" si="102"/>
        <v>0.7142857142857143</v>
      </c>
      <c r="O389" s="1">
        <f t="shared" si="103"/>
        <v>0.42857142857142855</v>
      </c>
      <c r="P389" s="1">
        <f t="shared" si="104"/>
        <v>0.5</v>
      </c>
      <c r="Q389" s="1">
        <f t="shared" si="105"/>
        <v>1</v>
      </c>
      <c r="S389" s="1" t="s">
        <v>183</v>
      </c>
      <c r="T389" s="1">
        <f t="shared" si="106"/>
        <v>7.1457743809378804E-2</v>
      </c>
      <c r="U389" s="1">
        <f t="shared" si="107"/>
        <v>3.26426346219253E-2</v>
      </c>
      <c r="V389" s="1">
        <f t="shared" si="108"/>
        <v>3.1574382095289864E-2</v>
      </c>
      <c r="W389" s="1">
        <f t="shared" si="109"/>
        <v>4.0360367639778717E-2</v>
      </c>
      <c r="Y389" s="1" t="s">
        <v>183</v>
      </c>
      <c r="Z389" s="1">
        <f t="shared" si="110"/>
        <v>2.1437323142813641E-2</v>
      </c>
      <c r="AA389" s="1">
        <f t="shared" si="111"/>
        <v>6.5285269243850605E-3</v>
      </c>
      <c r="AB389" s="1">
        <f t="shared" si="112"/>
        <v>9.4723146285869593E-3</v>
      </c>
      <c r="AC389" s="1">
        <f t="shared" si="113"/>
        <v>8.0720735279557441E-3</v>
      </c>
      <c r="AK389" s="17" t="s">
        <v>978</v>
      </c>
      <c r="AL389" s="17">
        <f t="shared" si="114"/>
        <v>1.3475984806938025E-2</v>
      </c>
      <c r="AM389" s="17">
        <f t="shared" si="115"/>
        <v>2.4277089938810878E-2</v>
      </c>
      <c r="AO389" s="17" t="s">
        <v>1690</v>
      </c>
      <c r="AP389" s="17">
        <f t="shared" si="116"/>
        <v>1.8257847561029916</v>
      </c>
      <c r="AR389" s="1" t="s">
        <v>183</v>
      </c>
      <c r="AS389" s="17">
        <f t="shared" si="117"/>
        <v>1.8257847561029916</v>
      </c>
      <c r="AT389" s="17">
        <f t="shared" si="118"/>
        <v>20</v>
      </c>
    </row>
    <row r="390" spans="6:46" x14ac:dyDescent="0.3">
      <c r="F390" s="1">
        <v>388</v>
      </c>
      <c r="G390" s="1" t="s">
        <v>20</v>
      </c>
      <c r="H390" s="1">
        <v>2</v>
      </c>
      <c r="I390" s="1">
        <v>24</v>
      </c>
      <c r="J390" s="1">
        <v>2</v>
      </c>
      <c r="K390" s="1">
        <v>3</v>
      </c>
      <c r="M390" s="1" t="s">
        <v>20</v>
      </c>
      <c r="N390" s="1">
        <f t="shared" si="102"/>
        <v>0.2857142857142857</v>
      </c>
      <c r="O390" s="1">
        <f t="shared" si="103"/>
        <v>0.22857142857142856</v>
      </c>
      <c r="P390" s="1">
        <f t="shared" si="104"/>
        <v>0.5</v>
      </c>
      <c r="Q390" s="1">
        <f t="shared" si="105"/>
        <v>1</v>
      </c>
      <c r="S390" s="1" t="s">
        <v>20</v>
      </c>
      <c r="T390" s="1">
        <f t="shared" si="106"/>
        <v>2.8583097523751523E-2</v>
      </c>
      <c r="U390" s="1">
        <f t="shared" si="107"/>
        <v>1.7409405131693496E-2</v>
      </c>
      <c r="V390" s="1">
        <f t="shared" si="108"/>
        <v>3.1574382095289864E-2</v>
      </c>
      <c r="W390" s="1">
        <f t="shared" si="109"/>
        <v>4.0360367639778717E-2</v>
      </c>
      <c r="Y390" s="1" t="s">
        <v>20</v>
      </c>
      <c r="Z390" s="1">
        <f t="shared" si="110"/>
        <v>8.5749292571254566E-3</v>
      </c>
      <c r="AA390" s="1">
        <f t="shared" si="111"/>
        <v>3.4818810263386995E-3</v>
      </c>
      <c r="AB390" s="1">
        <f t="shared" si="112"/>
        <v>9.4723146285869593E-3</v>
      </c>
      <c r="AC390" s="1">
        <f t="shared" si="113"/>
        <v>8.0720735279557441E-3</v>
      </c>
      <c r="AK390" s="17" t="s">
        <v>979</v>
      </c>
      <c r="AL390" s="17">
        <f t="shared" si="114"/>
        <v>2.5098882888318269E-2</v>
      </c>
      <c r="AM390" s="17">
        <f t="shared" si="115"/>
        <v>1.3867141852111863E-2</v>
      </c>
      <c r="AO390" s="17" t="s">
        <v>1691</v>
      </c>
      <c r="AP390" s="17">
        <f t="shared" si="116"/>
        <v>0.56636750267757419</v>
      </c>
      <c r="AR390" s="1" t="s">
        <v>20</v>
      </c>
      <c r="AS390" s="17">
        <f t="shared" si="117"/>
        <v>0.56636750267757419</v>
      </c>
      <c r="AT390" s="17">
        <f t="shared" si="118"/>
        <v>501</v>
      </c>
    </row>
    <row r="391" spans="6:46" x14ac:dyDescent="0.3">
      <c r="F391" s="1">
        <v>389</v>
      </c>
      <c r="G391" s="1" t="s">
        <v>23</v>
      </c>
      <c r="H391" s="1">
        <v>3</v>
      </c>
      <c r="I391" s="1">
        <v>49</v>
      </c>
      <c r="J391" s="1">
        <v>2</v>
      </c>
      <c r="K391" s="1">
        <v>3</v>
      </c>
      <c r="M391" s="1" t="s">
        <v>23</v>
      </c>
      <c r="N391" s="1">
        <f t="shared" si="102"/>
        <v>0.42857142857142855</v>
      </c>
      <c r="O391" s="1">
        <f t="shared" si="103"/>
        <v>0.46666666666666667</v>
      </c>
      <c r="P391" s="1">
        <f t="shared" si="104"/>
        <v>0.5</v>
      </c>
      <c r="Q391" s="1">
        <f t="shared" si="105"/>
        <v>1</v>
      </c>
      <c r="S391" s="1" t="s">
        <v>23</v>
      </c>
      <c r="T391" s="1">
        <f t="shared" si="106"/>
        <v>4.2874646285627281E-2</v>
      </c>
      <c r="U391" s="1">
        <f t="shared" si="107"/>
        <v>3.5544202143874222E-2</v>
      </c>
      <c r="V391" s="1">
        <f t="shared" si="108"/>
        <v>3.1574382095289864E-2</v>
      </c>
      <c r="W391" s="1">
        <f t="shared" si="109"/>
        <v>4.0360367639778717E-2</v>
      </c>
      <c r="Y391" s="1" t="s">
        <v>23</v>
      </c>
      <c r="Z391" s="1">
        <f t="shared" si="110"/>
        <v>1.2862393885688184E-2</v>
      </c>
      <c r="AA391" s="1">
        <f t="shared" si="111"/>
        <v>7.1088404287748446E-3</v>
      </c>
      <c r="AB391" s="1">
        <f t="shared" si="112"/>
        <v>9.4723146285869593E-3</v>
      </c>
      <c r="AC391" s="1">
        <f t="shared" si="113"/>
        <v>8.0720735279557441E-3</v>
      </c>
      <c r="AK391" s="17" t="s">
        <v>980</v>
      </c>
      <c r="AL391" s="17">
        <f t="shared" si="114"/>
        <v>1.9809700973841212E-2</v>
      </c>
      <c r="AM391" s="17">
        <f t="shared" si="115"/>
        <v>1.7305172518079736E-2</v>
      </c>
      <c r="AO391" s="17" t="s">
        <v>1692</v>
      </c>
      <c r="AP391" s="17">
        <f t="shared" si="116"/>
        <v>0.89087578021838187</v>
      </c>
      <c r="AR391" s="1" t="s">
        <v>23</v>
      </c>
      <c r="AS391" s="17">
        <f t="shared" si="117"/>
        <v>0.89087578021838187</v>
      </c>
      <c r="AT391" s="17">
        <f t="shared" si="118"/>
        <v>187</v>
      </c>
    </row>
    <row r="392" spans="6:46" x14ac:dyDescent="0.3">
      <c r="F392" s="1">
        <v>390</v>
      </c>
      <c r="G392" s="1" t="s">
        <v>186</v>
      </c>
      <c r="H392" s="1">
        <v>2</v>
      </c>
      <c r="I392" s="1">
        <v>58</v>
      </c>
      <c r="J392" s="1">
        <v>2</v>
      </c>
      <c r="K392" s="1">
        <v>3</v>
      </c>
      <c r="M392" s="1" t="s">
        <v>186</v>
      </c>
      <c r="N392" s="1">
        <f t="shared" si="102"/>
        <v>0.2857142857142857</v>
      </c>
      <c r="O392" s="1">
        <f t="shared" si="103"/>
        <v>0.55238095238095242</v>
      </c>
      <c r="P392" s="1">
        <f t="shared" si="104"/>
        <v>0.5</v>
      </c>
      <c r="Q392" s="1">
        <f t="shared" si="105"/>
        <v>1</v>
      </c>
      <c r="S392" s="1" t="s">
        <v>186</v>
      </c>
      <c r="T392" s="1">
        <f t="shared" si="106"/>
        <v>2.8583097523751523E-2</v>
      </c>
      <c r="U392" s="1">
        <f t="shared" si="107"/>
        <v>4.2072729068259283E-2</v>
      </c>
      <c r="V392" s="1">
        <f t="shared" si="108"/>
        <v>3.1574382095289864E-2</v>
      </c>
      <c r="W392" s="1">
        <f t="shared" si="109"/>
        <v>4.0360367639778717E-2</v>
      </c>
      <c r="Y392" s="1" t="s">
        <v>186</v>
      </c>
      <c r="Z392" s="1">
        <f t="shared" si="110"/>
        <v>8.5749292571254566E-3</v>
      </c>
      <c r="AA392" s="1">
        <f t="shared" si="111"/>
        <v>8.4145458136518567E-3</v>
      </c>
      <c r="AB392" s="1">
        <f t="shared" si="112"/>
        <v>9.4723146285869593E-3</v>
      </c>
      <c r="AC392" s="1">
        <f t="shared" si="113"/>
        <v>8.0720735279557441E-3</v>
      </c>
      <c r="AK392" s="17" t="s">
        <v>981</v>
      </c>
      <c r="AL392" s="17">
        <f t="shared" si="114"/>
        <v>2.3202460615265152E-2</v>
      </c>
      <c r="AM392" s="17">
        <f t="shared" si="115"/>
        <v>1.4815238676420213E-2</v>
      </c>
      <c r="AO392" s="17" t="s">
        <v>1693</v>
      </c>
      <c r="AP392" s="17">
        <f t="shared" si="116"/>
        <v>0.65333539057242662</v>
      </c>
      <c r="AR392" s="1" t="s">
        <v>186</v>
      </c>
      <c r="AS392" s="17">
        <f t="shared" si="117"/>
        <v>0.65333539057242662</v>
      </c>
      <c r="AT392" s="17">
        <f t="shared" si="118"/>
        <v>382</v>
      </c>
    </row>
    <row r="393" spans="6:46" x14ac:dyDescent="0.3">
      <c r="F393" s="1">
        <v>391</v>
      </c>
      <c r="G393" s="1" t="s">
        <v>331</v>
      </c>
      <c r="H393" s="1">
        <v>3</v>
      </c>
      <c r="I393" s="1">
        <v>47</v>
      </c>
      <c r="J393" s="1">
        <v>2</v>
      </c>
      <c r="K393" s="1">
        <v>3</v>
      </c>
      <c r="M393" s="1" t="s">
        <v>331</v>
      </c>
      <c r="N393" s="1">
        <f t="shared" si="102"/>
        <v>0.42857142857142855</v>
      </c>
      <c r="O393" s="1">
        <f t="shared" si="103"/>
        <v>0.44761904761904764</v>
      </c>
      <c r="P393" s="1">
        <f t="shared" si="104"/>
        <v>0.5</v>
      </c>
      <c r="Q393" s="1">
        <f t="shared" si="105"/>
        <v>1</v>
      </c>
      <c r="S393" s="1" t="s">
        <v>331</v>
      </c>
      <c r="T393" s="1">
        <f t="shared" si="106"/>
        <v>4.2874646285627281E-2</v>
      </c>
      <c r="U393" s="1">
        <f t="shared" si="107"/>
        <v>3.4093418382899761E-2</v>
      </c>
      <c r="V393" s="1">
        <f t="shared" si="108"/>
        <v>3.1574382095289864E-2</v>
      </c>
      <c r="W393" s="1">
        <f t="shared" si="109"/>
        <v>4.0360367639778717E-2</v>
      </c>
      <c r="Y393" s="1" t="s">
        <v>331</v>
      </c>
      <c r="Z393" s="1">
        <f t="shared" si="110"/>
        <v>1.2862393885688184E-2</v>
      </c>
      <c r="AA393" s="1">
        <f t="shared" si="111"/>
        <v>6.8186836765799525E-3</v>
      </c>
      <c r="AB393" s="1">
        <f t="shared" si="112"/>
        <v>9.4723146285869593E-3</v>
      </c>
      <c r="AC393" s="1">
        <f t="shared" si="113"/>
        <v>8.0720735279557441E-3</v>
      </c>
      <c r="AK393" s="17" t="s">
        <v>982</v>
      </c>
      <c r="AL393" s="17">
        <f t="shared" si="114"/>
        <v>1.9930457503557965E-2</v>
      </c>
      <c r="AM393" s="17">
        <f t="shared" si="115"/>
        <v>1.7241810560917049E-2</v>
      </c>
      <c r="AO393" s="17" t="s">
        <v>1694</v>
      </c>
      <c r="AP393" s="17">
        <f t="shared" si="116"/>
        <v>0.88234039436608347</v>
      </c>
      <c r="AR393" s="1" t="s">
        <v>331</v>
      </c>
      <c r="AS393" s="17">
        <f t="shared" si="117"/>
        <v>0.88234039436608347</v>
      </c>
      <c r="AT393" s="17">
        <f t="shared" si="118"/>
        <v>199</v>
      </c>
    </row>
    <row r="394" spans="6:46" x14ac:dyDescent="0.3">
      <c r="F394" s="1">
        <v>392</v>
      </c>
      <c r="G394" s="1" t="s">
        <v>189</v>
      </c>
      <c r="H394" s="1">
        <v>2</v>
      </c>
      <c r="I394" s="1">
        <v>60</v>
      </c>
      <c r="J394" s="1">
        <v>2</v>
      </c>
      <c r="K394" s="1">
        <v>3</v>
      </c>
      <c r="M394" s="1" t="s">
        <v>189</v>
      </c>
      <c r="N394" s="1">
        <f t="shared" si="102"/>
        <v>0.2857142857142857</v>
      </c>
      <c r="O394" s="1">
        <f t="shared" si="103"/>
        <v>0.5714285714285714</v>
      </c>
      <c r="P394" s="1">
        <f t="shared" si="104"/>
        <v>0.5</v>
      </c>
      <c r="Q394" s="1">
        <f t="shared" si="105"/>
        <v>1</v>
      </c>
      <c r="S394" s="1" t="s">
        <v>189</v>
      </c>
      <c r="T394" s="1">
        <f t="shared" si="106"/>
        <v>2.8583097523751523E-2</v>
      </c>
      <c r="U394" s="1">
        <f t="shared" si="107"/>
        <v>4.3523512829233738E-2</v>
      </c>
      <c r="V394" s="1">
        <f t="shared" si="108"/>
        <v>3.1574382095289864E-2</v>
      </c>
      <c r="W394" s="1">
        <f t="shared" si="109"/>
        <v>4.0360367639778717E-2</v>
      </c>
      <c r="Y394" s="1" t="s">
        <v>189</v>
      </c>
      <c r="Z394" s="1">
        <f t="shared" si="110"/>
        <v>8.5749292571254566E-3</v>
      </c>
      <c r="AA394" s="1">
        <f t="shared" si="111"/>
        <v>8.7047025658467479E-3</v>
      </c>
      <c r="AB394" s="1">
        <f t="shared" si="112"/>
        <v>9.4723146285869593E-3</v>
      </c>
      <c r="AC394" s="1">
        <f t="shared" si="113"/>
        <v>8.0720735279557441E-3</v>
      </c>
      <c r="AK394" s="17" t="s">
        <v>983</v>
      </c>
      <c r="AL394" s="17">
        <f t="shared" si="114"/>
        <v>2.3118853676687635E-2</v>
      </c>
      <c r="AM394" s="17">
        <f t="shared" si="115"/>
        <v>1.4919998721532653E-2</v>
      </c>
      <c r="AO394" s="17" t="s">
        <v>1695</v>
      </c>
      <c r="AP394" s="17">
        <f t="shared" si="116"/>
        <v>0.66028066107035555</v>
      </c>
      <c r="AR394" s="1" t="s">
        <v>189</v>
      </c>
      <c r="AS394" s="17">
        <f t="shared" si="117"/>
        <v>0.66028066107035555</v>
      </c>
      <c r="AT394" s="17">
        <f t="shared" si="118"/>
        <v>376</v>
      </c>
    </row>
    <row r="395" spans="6:46" x14ac:dyDescent="0.3">
      <c r="F395" s="1">
        <v>393</v>
      </c>
      <c r="G395" s="1" t="s">
        <v>28</v>
      </c>
      <c r="H395" s="1">
        <v>3</v>
      </c>
      <c r="I395" s="1">
        <v>41</v>
      </c>
      <c r="J395" s="1">
        <v>2</v>
      </c>
      <c r="K395" s="1">
        <v>3</v>
      </c>
      <c r="M395" s="1" t="s">
        <v>28</v>
      </c>
      <c r="N395" s="1">
        <f t="shared" si="102"/>
        <v>0.42857142857142855</v>
      </c>
      <c r="O395" s="1">
        <f t="shared" si="103"/>
        <v>0.39047619047619048</v>
      </c>
      <c r="P395" s="1">
        <f t="shared" si="104"/>
        <v>0.5</v>
      </c>
      <c r="Q395" s="1">
        <f t="shared" si="105"/>
        <v>1</v>
      </c>
      <c r="S395" s="1" t="s">
        <v>28</v>
      </c>
      <c r="T395" s="1">
        <f t="shared" si="106"/>
        <v>4.2874646285627281E-2</v>
      </c>
      <c r="U395" s="1">
        <f t="shared" si="107"/>
        <v>2.9741067099976388E-2</v>
      </c>
      <c r="V395" s="1">
        <f t="shared" si="108"/>
        <v>3.1574382095289864E-2</v>
      </c>
      <c r="W395" s="1">
        <f t="shared" si="109"/>
        <v>4.0360367639778717E-2</v>
      </c>
      <c r="Y395" s="1" t="s">
        <v>28</v>
      </c>
      <c r="Z395" s="1">
        <f t="shared" si="110"/>
        <v>1.2862393885688184E-2</v>
      </c>
      <c r="AA395" s="1">
        <f t="shared" si="111"/>
        <v>5.9482134199952781E-3</v>
      </c>
      <c r="AB395" s="1">
        <f t="shared" si="112"/>
        <v>9.4723146285869593E-3</v>
      </c>
      <c r="AC395" s="1">
        <f t="shared" si="113"/>
        <v>8.0720735279557441E-3</v>
      </c>
      <c r="AK395" s="17" t="s">
        <v>984</v>
      </c>
      <c r="AL395" s="17">
        <f t="shared" si="114"/>
        <v>2.0313298069876161E-2</v>
      </c>
      <c r="AM395" s="17">
        <f t="shared" si="115"/>
        <v>1.7079913036161156E-2</v>
      </c>
      <c r="AO395" s="17" t="s">
        <v>1696</v>
      </c>
      <c r="AP395" s="17">
        <f t="shared" si="116"/>
        <v>0.85790413455881043</v>
      </c>
      <c r="AR395" s="1" t="s">
        <v>28</v>
      </c>
      <c r="AS395" s="17">
        <f t="shared" si="117"/>
        <v>0.85790413455881043</v>
      </c>
      <c r="AT395" s="17">
        <f t="shared" si="118"/>
        <v>239</v>
      </c>
    </row>
    <row r="396" spans="6:46" x14ac:dyDescent="0.3">
      <c r="F396" s="1">
        <v>394</v>
      </c>
      <c r="G396" s="1" t="s">
        <v>28</v>
      </c>
      <c r="H396" s="1">
        <v>3</v>
      </c>
      <c r="I396" s="1">
        <v>44</v>
      </c>
      <c r="J396" s="1">
        <v>2</v>
      </c>
      <c r="K396" s="1">
        <v>3</v>
      </c>
      <c r="M396" s="1" t="s">
        <v>28</v>
      </c>
      <c r="N396" s="1">
        <f t="shared" si="102"/>
        <v>0.42857142857142855</v>
      </c>
      <c r="O396" s="1">
        <f t="shared" si="103"/>
        <v>0.41904761904761906</v>
      </c>
      <c r="P396" s="1">
        <f t="shared" si="104"/>
        <v>0.5</v>
      </c>
      <c r="Q396" s="1">
        <f t="shared" si="105"/>
        <v>1</v>
      </c>
      <c r="S396" s="1" t="s">
        <v>28</v>
      </c>
      <c r="T396" s="1">
        <f t="shared" si="106"/>
        <v>4.2874646285627281E-2</v>
      </c>
      <c r="U396" s="1">
        <f t="shared" si="107"/>
        <v>3.1917242741438076E-2</v>
      </c>
      <c r="V396" s="1">
        <f t="shared" si="108"/>
        <v>3.1574382095289864E-2</v>
      </c>
      <c r="W396" s="1">
        <f t="shared" si="109"/>
        <v>4.0360367639778717E-2</v>
      </c>
      <c r="Y396" s="1" t="s">
        <v>28</v>
      </c>
      <c r="Z396" s="1">
        <f t="shared" si="110"/>
        <v>1.2862393885688184E-2</v>
      </c>
      <c r="AA396" s="1">
        <f t="shared" si="111"/>
        <v>6.3834485482876157E-3</v>
      </c>
      <c r="AB396" s="1">
        <f t="shared" si="112"/>
        <v>9.4723146285869593E-3</v>
      </c>
      <c r="AC396" s="1">
        <f t="shared" si="113"/>
        <v>8.0720735279557441E-3</v>
      </c>
      <c r="AK396" s="17" t="s">
        <v>985</v>
      </c>
      <c r="AL396" s="17">
        <f t="shared" si="114"/>
        <v>2.0118080867008233E-2</v>
      </c>
      <c r="AM396" s="17">
        <f t="shared" si="115"/>
        <v>1.7155532657244704E-2</v>
      </c>
      <c r="AO396" s="17" t="s">
        <v>1697</v>
      </c>
      <c r="AP396" s="17">
        <f t="shared" si="116"/>
        <v>0.86989753974292894</v>
      </c>
      <c r="AR396" s="1" t="s">
        <v>28</v>
      </c>
      <c r="AS396" s="17">
        <f t="shared" si="117"/>
        <v>0.86989753974292894</v>
      </c>
      <c r="AT396" s="17">
        <f t="shared" si="118"/>
        <v>218</v>
      </c>
    </row>
    <row r="397" spans="6:46" x14ac:dyDescent="0.3">
      <c r="F397" s="1">
        <v>395</v>
      </c>
      <c r="G397" s="1" t="s">
        <v>332</v>
      </c>
      <c r="H397" s="1">
        <v>0</v>
      </c>
      <c r="I397" s="1">
        <v>71</v>
      </c>
      <c r="J397" s="1">
        <v>1</v>
      </c>
      <c r="K397" s="1">
        <v>2</v>
      </c>
      <c r="M397" s="1" t="s">
        <v>332</v>
      </c>
      <c r="N397" s="1">
        <f t="shared" si="102"/>
        <v>0</v>
      </c>
      <c r="O397" s="1">
        <f t="shared" si="103"/>
        <v>0.67619047619047623</v>
      </c>
      <c r="P397" s="1">
        <f t="shared" si="104"/>
        <v>1</v>
      </c>
      <c r="Q397" s="1">
        <f t="shared" si="105"/>
        <v>0.66666666666666663</v>
      </c>
      <c r="S397" s="1" t="s">
        <v>332</v>
      </c>
      <c r="T397" s="1">
        <f t="shared" si="106"/>
        <v>0</v>
      </c>
      <c r="U397" s="1">
        <f t="shared" si="107"/>
        <v>5.150282351459326E-2</v>
      </c>
      <c r="V397" s="1">
        <f t="shared" si="108"/>
        <v>6.3148764190579729E-2</v>
      </c>
      <c r="W397" s="1">
        <f t="shared" si="109"/>
        <v>2.6906911759852478E-2</v>
      </c>
      <c r="Y397" s="1" t="s">
        <v>332</v>
      </c>
      <c r="Z397" s="1">
        <f t="shared" si="110"/>
        <v>0</v>
      </c>
      <c r="AA397" s="1">
        <f t="shared" si="111"/>
        <v>1.0300564702918652E-2</v>
      </c>
      <c r="AB397" s="1">
        <f t="shared" si="112"/>
        <v>1.8944629257173919E-2</v>
      </c>
      <c r="AC397" s="1">
        <f t="shared" si="113"/>
        <v>5.3813823519704958E-3</v>
      </c>
      <c r="AK397" s="17" t="s">
        <v>986</v>
      </c>
      <c r="AL397" s="17">
        <f t="shared" si="114"/>
        <v>3.4088145164395602E-2</v>
      </c>
      <c r="AM397" s="17">
        <f t="shared" si="115"/>
        <v>7.6010151457755019E-3</v>
      </c>
      <c r="AO397" s="17" t="s">
        <v>1698</v>
      </c>
      <c r="AP397" s="17">
        <f t="shared" si="116"/>
        <v>0.23058220432806673</v>
      </c>
      <c r="AR397" s="1" t="s">
        <v>332</v>
      </c>
      <c r="AS397" s="17">
        <f t="shared" si="117"/>
        <v>0.23058220432806673</v>
      </c>
      <c r="AT397" s="17">
        <f t="shared" si="118"/>
        <v>670</v>
      </c>
    </row>
    <row r="398" spans="6:46" x14ac:dyDescent="0.3">
      <c r="F398" s="1">
        <v>396</v>
      </c>
      <c r="G398" s="1" t="s">
        <v>333</v>
      </c>
      <c r="H398" s="1">
        <v>4</v>
      </c>
      <c r="I398" s="1">
        <v>55</v>
      </c>
      <c r="J398" s="1">
        <v>2</v>
      </c>
      <c r="K398" s="1">
        <v>3</v>
      </c>
      <c r="M398" s="1" t="s">
        <v>333</v>
      </c>
      <c r="N398" s="1">
        <f t="shared" si="102"/>
        <v>0.5714285714285714</v>
      </c>
      <c r="O398" s="1">
        <f t="shared" si="103"/>
        <v>0.52380952380952384</v>
      </c>
      <c r="P398" s="1">
        <f t="shared" si="104"/>
        <v>0.5</v>
      </c>
      <c r="Q398" s="1">
        <f t="shared" si="105"/>
        <v>1</v>
      </c>
      <c r="S398" s="1" t="s">
        <v>333</v>
      </c>
      <c r="T398" s="1">
        <f t="shared" si="106"/>
        <v>5.7166195047503046E-2</v>
      </c>
      <c r="U398" s="1">
        <f t="shared" si="107"/>
        <v>3.9896553426797592E-2</v>
      </c>
      <c r="V398" s="1">
        <f t="shared" si="108"/>
        <v>3.1574382095289864E-2</v>
      </c>
      <c r="W398" s="1">
        <f t="shared" si="109"/>
        <v>4.0360367639778717E-2</v>
      </c>
      <c r="Y398" s="1" t="s">
        <v>333</v>
      </c>
      <c r="Z398" s="1">
        <f t="shared" si="110"/>
        <v>1.7149858514250913E-2</v>
      </c>
      <c r="AA398" s="1">
        <f t="shared" si="111"/>
        <v>7.979310685359519E-3</v>
      </c>
      <c r="AB398" s="1">
        <f t="shared" si="112"/>
        <v>9.4723146285869593E-3</v>
      </c>
      <c r="AC398" s="1">
        <f t="shared" si="113"/>
        <v>8.0720735279557441E-3</v>
      </c>
      <c r="AK398" s="17" t="s">
        <v>987</v>
      </c>
      <c r="AL398" s="17">
        <f t="shared" si="114"/>
        <v>1.5822813355738225E-2</v>
      </c>
      <c r="AM398" s="17">
        <f t="shared" si="115"/>
        <v>2.0873970660722982E-2</v>
      </c>
      <c r="AO398" s="17" t="s">
        <v>1699</v>
      </c>
      <c r="AP398" s="17">
        <f t="shared" si="116"/>
        <v>1.3401065364138247</v>
      </c>
      <c r="AR398" s="1" t="s">
        <v>333</v>
      </c>
      <c r="AS398" s="17">
        <f t="shared" si="117"/>
        <v>1.3401065364138247</v>
      </c>
      <c r="AT398" s="17">
        <f t="shared" si="118"/>
        <v>54</v>
      </c>
    </row>
    <row r="399" spans="6:46" x14ac:dyDescent="0.3">
      <c r="F399" s="1">
        <v>397</v>
      </c>
      <c r="G399" s="1" t="s">
        <v>333</v>
      </c>
      <c r="H399" s="1">
        <v>3</v>
      </c>
      <c r="I399" s="1">
        <v>30</v>
      </c>
      <c r="J399" s="1">
        <v>2</v>
      </c>
      <c r="K399" s="1">
        <v>3</v>
      </c>
      <c r="M399" s="1" t="s">
        <v>333</v>
      </c>
      <c r="N399" s="1">
        <f t="shared" si="102"/>
        <v>0.42857142857142855</v>
      </c>
      <c r="O399" s="1">
        <f t="shared" si="103"/>
        <v>0.2857142857142857</v>
      </c>
      <c r="P399" s="1">
        <f t="shared" si="104"/>
        <v>0.5</v>
      </c>
      <c r="Q399" s="1">
        <f t="shared" si="105"/>
        <v>1</v>
      </c>
      <c r="S399" s="1" t="s">
        <v>333</v>
      </c>
      <c r="T399" s="1">
        <f t="shared" si="106"/>
        <v>4.2874646285627281E-2</v>
      </c>
      <c r="U399" s="1">
        <f t="shared" si="107"/>
        <v>2.1761756414616869E-2</v>
      </c>
      <c r="V399" s="1">
        <f t="shared" si="108"/>
        <v>3.1574382095289864E-2</v>
      </c>
      <c r="W399" s="1">
        <f t="shared" si="109"/>
        <v>4.0360367639778717E-2</v>
      </c>
      <c r="Y399" s="1" t="s">
        <v>333</v>
      </c>
      <c r="Z399" s="1">
        <f t="shared" si="110"/>
        <v>1.2862393885688184E-2</v>
      </c>
      <c r="AA399" s="1">
        <f t="shared" si="111"/>
        <v>4.3523512829233739E-3</v>
      </c>
      <c r="AB399" s="1">
        <f t="shared" si="112"/>
        <v>9.4723146285869593E-3</v>
      </c>
      <c r="AC399" s="1">
        <f t="shared" si="113"/>
        <v>8.0720735279557441E-3</v>
      </c>
      <c r="AK399" s="17" t="s">
        <v>988</v>
      </c>
      <c r="AL399" s="17">
        <f t="shared" si="114"/>
        <v>2.1090568167153857E-2</v>
      </c>
      <c r="AM399" s="17">
        <f t="shared" si="115"/>
        <v>1.6895924122851031E-2</v>
      </c>
      <c r="AO399" s="17" t="s">
        <v>1700</v>
      </c>
      <c r="AP399" s="17">
        <f t="shared" si="116"/>
        <v>0.81800872435383276</v>
      </c>
      <c r="AR399" s="1" t="s">
        <v>333</v>
      </c>
      <c r="AS399" s="17">
        <f t="shared" si="117"/>
        <v>0.81800872435383276</v>
      </c>
      <c r="AT399" s="17">
        <f t="shared" si="118"/>
        <v>298</v>
      </c>
    </row>
    <row r="400" spans="6:46" x14ac:dyDescent="0.3">
      <c r="F400" s="1">
        <v>398</v>
      </c>
      <c r="G400" s="1" t="s">
        <v>334</v>
      </c>
      <c r="H400" s="1">
        <v>0</v>
      </c>
      <c r="I400" s="1">
        <v>66</v>
      </c>
      <c r="J400" s="1">
        <v>1</v>
      </c>
      <c r="K400" s="1">
        <v>2</v>
      </c>
      <c r="M400" s="1" t="s">
        <v>334</v>
      </c>
      <c r="N400" s="1">
        <f t="shared" si="102"/>
        <v>0</v>
      </c>
      <c r="O400" s="1">
        <f t="shared" si="103"/>
        <v>0.62857142857142856</v>
      </c>
      <c r="P400" s="1">
        <f t="shared" si="104"/>
        <v>1</v>
      </c>
      <c r="Q400" s="1">
        <f t="shared" si="105"/>
        <v>0.66666666666666663</v>
      </c>
      <c r="S400" s="1" t="s">
        <v>334</v>
      </c>
      <c r="T400" s="1">
        <f t="shared" si="106"/>
        <v>0</v>
      </c>
      <c r="U400" s="1">
        <f t="shared" si="107"/>
        <v>4.7875864112157107E-2</v>
      </c>
      <c r="V400" s="1">
        <f t="shared" si="108"/>
        <v>6.3148764190579729E-2</v>
      </c>
      <c r="W400" s="1">
        <f t="shared" si="109"/>
        <v>2.6906911759852478E-2</v>
      </c>
      <c r="Y400" s="1" t="s">
        <v>334</v>
      </c>
      <c r="Z400" s="1">
        <f t="shared" si="110"/>
        <v>0</v>
      </c>
      <c r="AA400" s="1">
        <f t="shared" si="111"/>
        <v>9.5751728224314214E-3</v>
      </c>
      <c r="AB400" s="1">
        <f t="shared" si="112"/>
        <v>1.8944629257173919E-2</v>
      </c>
      <c r="AC400" s="1">
        <f t="shared" si="113"/>
        <v>5.3813823519704958E-3</v>
      </c>
      <c r="AK400" s="17" t="s">
        <v>989</v>
      </c>
      <c r="AL400" s="17">
        <f t="shared" si="114"/>
        <v>3.4200644205934896E-2</v>
      </c>
      <c r="AM400" s="17">
        <f t="shared" si="115"/>
        <v>6.9273540672582998E-3</v>
      </c>
      <c r="AO400" s="17" t="s">
        <v>1701</v>
      </c>
      <c r="AP400" s="17">
        <f t="shared" si="116"/>
        <v>0.20947775123364221</v>
      </c>
      <c r="AR400" s="1" t="s">
        <v>334</v>
      </c>
      <c r="AS400" s="17">
        <f t="shared" si="117"/>
        <v>0.20947775123364221</v>
      </c>
      <c r="AT400" s="17">
        <f t="shared" si="118"/>
        <v>680</v>
      </c>
    </row>
    <row r="401" spans="6:46" x14ac:dyDescent="0.3">
      <c r="F401" s="1">
        <v>399</v>
      </c>
      <c r="G401" s="1" t="s">
        <v>335</v>
      </c>
      <c r="H401" s="1">
        <v>4</v>
      </c>
      <c r="I401" s="1">
        <v>35</v>
      </c>
      <c r="J401" s="1">
        <v>2</v>
      </c>
      <c r="K401" s="1">
        <v>3</v>
      </c>
      <c r="M401" s="1" t="s">
        <v>335</v>
      </c>
      <c r="N401" s="1">
        <f t="shared" si="102"/>
        <v>0.5714285714285714</v>
      </c>
      <c r="O401" s="1">
        <f t="shared" si="103"/>
        <v>0.33333333333333331</v>
      </c>
      <c r="P401" s="1">
        <f t="shared" si="104"/>
        <v>0.5</v>
      </c>
      <c r="Q401" s="1">
        <f t="shared" si="105"/>
        <v>1</v>
      </c>
      <c r="S401" s="1" t="s">
        <v>335</v>
      </c>
      <c r="T401" s="1">
        <f t="shared" si="106"/>
        <v>5.7166195047503046E-2</v>
      </c>
      <c r="U401" s="1">
        <f t="shared" si="107"/>
        <v>2.5388715817053011E-2</v>
      </c>
      <c r="V401" s="1">
        <f t="shared" si="108"/>
        <v>3.1574382095289864E-2</v>
      </c>
      <c r="W401" s="1">
        <f t="shared" si="109"/>
        <v>4.0360367639778717E-2</v>
      </c>
      <c r="Y401" s="1" t="s">
        <v>335</v>
      </c>
      <c r="Z401" s="1">
        <f t="shared" si="110"/>
        <v>1.7149858514250913E-2</v>
      </c>
      <c r="AA401" s="1">
        <f t="shared" si="111"/>
        <v>5.0777431634106028E-3</v>
      </c>
      <c r="AB401" s="1">
        <f t="shared" si="112"/>
        <v>9.4723146285869593E-3</v>
      </c>
      <c r="AC401" s="1">
        <f t="shared" si="113"/>
        <v>8.0720735279557441E-3</v>
      </c>
      <c r="AK401" s="17" t="s">
        <v>990</v>
      </c>
      <c r="AL401" s="17">
        <f t="shared" si="114"/>
        <v>1.7345777209370028E-2</v>
      </c>
      <c r="AM401" s="17">
        <f t="shared" si="115"/>
        <v>2.0404870368383565E-2</v>
      </c>
      <c r="AO401" s="17" t="s">
        <v>1702</v>
      </c>
      <c r="AP401" s="17">
        <f t="shared" si="116"/>
        <v>1.1967644028407043</v>
      </c>
      <c r="AR401" s="1" t="s">
        <v>335</v>
      </c>
      <c r="AS401" s="17">
        <f t="shared" si="117"/>
        <v>1.1967644028407043</v>
      </c>
      <c r="AT401" s="17">
        <f t="shared" si="118"/>
        <v>86</v>
      </c>
    </row>
    <row r="402" spans="6:46" x14ac:dyDescent="0.3">
      <c r="F402" s="1">
        <v>400</v>
      </c>
      <c r="G402" s="1" t="s">
        <v>336</v>
      </c>
      <c r="H402" s="1">
        <v>3</v>
      </c>
      <c r="I402" s="1">
        <v>41</v>
      </c>
      <c r="J402" s="1">
        <v>2</v>
      </c>
      <c r="K402" s="1">
        <v>3</v>
      </c>
      <c r="M402" s="1" t="s">
        <v>336</v>
      </c>
      <c r="N402" s="1">
        <f t="shared" si="102"/>
        <v>0.42857142857142855</v>
      </c>
      <c r="O402" s="1">
        <f t="shared" si="103"/>
        <v>0.39047619047619048</v>
      </c>
      <c r="P402" s="1">
        <f t="shared" si="104"/>
        <v>0.5</v>
      </c>
      <c r="Q402" s="1">
        <f t="shared" si="105"/>
        <v>1</v>
      </c>
      <c r="S402" s="1" t="s">
        <v>336</v>
      </c>
      <c r="T402" s="1">
        <f t="shared" si="106"/>
        <v>4.2874646285627281E-2</v>
      </c>
      <c r="U402" s="1">
        <f t="shared" si="107"/>
        <v>2.9741067099976388E-2</v>
      </c>
      <c r="V402" s="1">
        <f t="shared" si="108"/>
        <v>3.1574382095289864E-2</v>
      </c>
      <c r="W402" s="1">
        <f t="shared" si="109"/>
        <v>4.0360367639778717E-2</v>
      </c>
      <c r="Y402" s="1" t="s">
        <v>336</v>
      </c>
      <c r="Z402" s="1">
        <f t="shared" si="110"/>
        <v>1.2862393885688184E-2</v>
      </c>
      <c r="AA402" s="1">
        <f t="shared" si="111"/>
        <v>5.9482134199952781E-3</v>
      </c>
      <c r="AB402" s="1">
        <f t="shared" si="112"/>
        <v>9.4723146285869593E-3</v>
      </c>
      <c r="AC402" s="1">
        <f t="shared" si="113"/>
        <v>8.0720735279557441E-3</v>
      </c>
      <c r="AK402" s="17" t="s">
        <v>991</v>
      </c>
      <c r="AL402" s="17">
        <f t="shared" si="114"/>
        <v>2.0313298069876161E-2</v>
      </c>
      <c r="AM402" s="17">
        <f t="shared" si="115"/>
        <v>1.7079913036161156E-2</v>
      </c>
      <c r="AO402" s="17" t="s">
        <v>1703</v>
      </c>
      <c r="AP402" s="17">
        <f t="shared" si="116"/>
        <v>0.85790413455881043</v>
      </c>
      <c r="AR402" s="1" t="s">
        <v>336</v>
      </c>
      <c r="AS402" s="17">
        <f t="shared" si="117"/>
        <v>0.85790413455881043</v>
      </c>
      <c r="AT402" s="17">
        <f t="shared" si="118"/>
        <v>239</v>
      </c>
    </row>
    <row r="403" spans="6:46" x14ac:dyDescent="0.3">
      <c r="F403" s="1">
        <v>401</v>
      </c>
      <c r="G403" s="1" t="s">
        <v>337</v>
      </c>
      <c r="H403" s="1">
        <v>2</v>
      </c>
      <c r="I403" s="1">
        <v>39</v>
      </c>
      <c r="J403" s="1">
        <v>5</v>
      </c>
      <c r="K403" s="1">
        <v>3</v>
      </c>
      <c r="M403" s="1" t="s">
        <v>337</v>
      </c>
      <c r="N403" s="1">
        <f t="shared" si="102"/>
        <v>0.2857142857142857</v>
      </c>
      <c r="O403" s="1">
        <f t="shared" si="103"/>
        <v>0.37142857142857144</v>
      </c>
      <c r="P403" s="1">
        <f t="shared" si="104"/>
        <v>0.2</v>
      </c>
      <c r="Q403" s="1">
        <f t="shared" si="105"/>
        <v>1</v>
      </c>
      <c r="S403" s="1" t="s">
        <v>337</v>
      </c>
      <c r="T403" s="1">
        <f t="shared" si="106"/>
        <v>2.8583097523751523E-2</v>
      </c>
      <c r="U403" s="1">
        <f t="shared" si="107"/>
        <v>2.829028333900193E-2</v>
      </c>
      <c r="V403" s="1">
        <f t="shared" si="108"/>
        <v>1.2629752838115946E-2</v>
      </c>
      <c r="W403" s="1">
        <f t="shared" si="109"/>
        <v>4.0360367639778717E-2</v>
      </c>
      <c r="Y403" s="1" t="s">
        <v>337</v>
      </c>
      <c r="Z403" s="1">
        <f t="shared" si="110"/>
        <v>8.5749292571254566E-3</v>
      </c>
      <c r="AA403" s="1">
        <f t="shared" si="111"/>
        <v>5.658056667800386E-3</v>
      </c>
      <c r="AB403" s="1">
        <f t="shared" si="112"/>
        <v>3.7889258514347836E-3</v>
      </c>
      <c r="AC403" s="1">
        <f t="shared" si="113"/>
        <v>8.0720735279557441E-3</v>
      </c>
      <c r="AK403" s="17" t="s">
        <v>992</v>
      </c>
      <c r="AL403" s="17">
        <f t="shared" si="114"/>
        <v>2.3478559540756387E-2</v>
      </c>
      <c r="AM403" s="17">
        <f t="shared" si="115"/>
        <v>1.8392031670849695E-2</v>
      </c>
      <c r="AO403" s="17" t="s">
        <v>1704</v>
      </c>
      <c r="AP403" s="17">
        <f t="shared" si="116"/>
        <v>0.8017463783854768</v>
      </c>
      <c r="AR403" s="1" t="s">
        <v>337</v>
      </c>
      <c r="AS403" s="17">
        <f t="shared" si="117"/>
        <v>0.8017463783854768</v>
      </c>
      <c r="AT403" s="17">
        <f t="shared" si="118"/>
        <v>307</v>
      </c>
    </row>
    <row r="404" spans="6:46" x14ac:dyDescent="0.3">
      <c r="F404" s="1">
        <v>402</v>
      </c>
      <c r="G404" s="1" t="s">
        <v>338</v>
      </c>
      <c r="H404" s="1">
        <v>0</v>
      </c>
      <c r="I404" s="1">
        <v>48</v>
      </c>
      <c r="J404" s="1">
        <v>1</v>
      </c>
      <c r="K404" s="1">
        <v>2</v>
      </c>
      <c r="M404" s="1" t="s">
        <v>338</v>
      </c>
      <c r="N404" s="1">
        <f t="shared" si="102"/>
        <v>0</v>
      </c>
      <c r="O404" s="1">
        <f t="shared" si="103"/>
        <v>0.45714285714285713</v>
      </c>
      <c r="P404" s="1">
        <f t="shared" si="104"/>
        <v>1</v>
      </c>
      <c r="Q404" s="1">
        <f t="shared" si="105"/>
        <v>0.66666666666666663</v>
      </c>
      <c r="S404" s="1" t="s">
        <v>338</v>
      </c>
      <c r="T404" s="1">
        <f t="shared" si="106"/>
        <v>0</v>
      </c>
      <c r="U404" s="1">
        <f t="shared" si="107"/>
        <v>3.4818810263386991E-2</v>
      </c>
      <c r="V404" s="1">
        <f t="shared" si="108"/>
        <v>6.3148764190579729E-2</v>
      </c>
      <c r="W404" s="1">
        <f t="shared" si="109"/>
        <v>2.6906911759852478E-2</v>
      </c>
      <c r="Y404" s="1" t="s">
        <v>338</v>
      </c>
      <c r="Z404" s="1">
        <f t="shared" si="110"/>
        <v>0</v>
      </c>
      <c r="AA404" s="1">
        <f t="shared" si="111"/>
        <v>6.963762052677399E-3</v>
      </c>
      <c r="AB404" s="1">
        <f t="shared" si="112"/>
        <v>1.8944629257173919E-2</v>
      </c>
      <c r="AC404" s="1">
        <f t="shared" si="113"/>
        <v>5.3813823519704958E-3</v>
      </c>
      <c r="AK404" s="17" t="s">
        <v>993</v>
      </c>
      <c r="AL404" s="17">
        <f t="shared" si="114"/>
        <v>3.4728296107722885E-2</v>
      </c>
      <c r="AM404" s="17">
        <f t="shared" si="115"/>
        <v>4.6333668112086166E-3</v>
      </c>
      <c r="AO404" s="17" t="s">
        <v>1705</v>
      </c>
      <c r="AP404" s="17">
        <f t="shared" si="116"/>
        <v>0.13805099250860781</v>
      </c>
      <c r="AR404" s="1" t="s">
        <v>338</v>
      </c>
      <c r="AS404" s="17">
        <f t="shared" si="117"/>
        <v>0.13805099250860781</v>
      </c>
      <c r="AT404" s="17">
        <f t="shared" si="118"/>
        <v>700</v>
      </c>
    </row>
    <row r="405" spans="6:46" x14ac:dyDescent="0.3">
      <c r="F405" s="1">
        <v>403</v>
      </c>
      <c r="G405" s="1" t="s">
        <v>339</v>
      </c>
      <c r="H405" s="1">
        <v>2</v>
      </c>
      <c r="I405" s="1">
        <v>70</v>
      </c>
      <c r="J405" s="1">
        <v>2</v>
      </c>
      <c r="K405" s="1">
        <v>3</v>
      </c>
      <c r="M405" s="1" t="s">
        <v>339</v>
      </c>
      <c r="N405" s="1">
        <f t="shared" si="102"/>
        <v>0.2857142857142857</v>
      </c>
      <c r="O405" s="1">
        <f t="shared" si="103"/>
        <v>0.66666666666666663</v>
      </c>
      <c r="P405" s="1">
        <f t="shared" si="104"/>
        <v>0.5</v>
      </c>
      <c r="Q405" s="1">
        <f t="shared" si="105"/>
        <v>1</v>
      </c>
      <c r="S405" s="1" t="s">
        <v>339</v>
      </c>
      <c r="T405" s="1">
        <f t="shared" si="106"/>
        <v>2.8583097523751523E-2</v>
      </c>
      <c r="U405" s="1">
        <f t="shared" si="107"/>
        <v>5.0777431634106023E-2</v>
      </c>
      <c r="V405" s="1">
        <f t="shared" si="108"/>
        <v>3.1574382095289864E-2</v>
      </c>
      <c r="W405" s="1">
        <f t="shared" si="109"/>
        <v>4.0360367639778717E-2</v>
      </c>
      <c r="Y405" s="1" t="s">
        <v>339</v>
      </c>
      <c r="Z405" s="1">
        <f t="shared" si="110"/>
        <v>8.5749292571254566E-3</v>
      </c>
      <c r="AA405" s="1">
        <f t="shared" si="111"/>
        <v>1.0155486326821206E-2</v>
      </c>
      <c r="AB405" s="1">
        <f t="shared" si="112"/>
        <v>9.4723146285869593E-3</v>
      </c>
      <c r="AC405" s="1">
        <f t="shared" si="113"/>
        <v>8.0720735279557441E-3</v>
      </c>
      <c r="AK405" s="17" t="s">
        <v>994</v>
      </c>
      <c r="AL405" s="17">
        <f t="shared" si="114"/>
        <v>2.2751773714487313E-2</v>
      </c>
      <c r="AM405" s="17">
        <f t="shared" si="115"/>
        <v>1.5514748278075861E-2</v>
      </c>
      <c r="AO405" s="17" t="s">
        <v>1706</v>
      </c>
      <c r="AP405" s="17">
        <f t="shared" si="116"/>
        <v>0.69742853982553499</v>
      </c>
      <c r="AR405" s="1" t="s">
        <v>339</v>
      </c>
      <c r="AS405" s="17">
        <f t="shared" si="117"/>
        <v>0.69742853982553499</v>
      </c>
      <c r="AT405" s="17">
        <f t="shared" si="118"/>
        <v>345</v>
      </c>
    </row>
    <row r="406" spans="6:46" x14ac:dyDescent="0.3">
      <c r="F406" s="1">
        <v>404</v>
      </c>
      <c r="G406" s="1" t="s">
        <v>340</v>
      </c>
      <c r="H406" s="1">
        <v>4</v>
      </c>
      <c r="I406" s="1">
        <v>50</v>
      </c>
      <c r="J406" s="1">
        <v>2</v>
      </c>
      <c r="K406" s="1">
        <v>3</v>
      </c>
      <c r="M406" s="1" t="s">
        <v>340</v>
      </c>
      <c r="N406" s="1">
        <f t="shared" si="102"/>
        <v>0.5714285714285714</v>
      </c>
      <c r="O406" s="1">
        <f t="shared" si="103"/>
        <v>0.47619047619047616</v>
      </c>
      <c r="P406" s="1">
        <f t="shared" si="104"/>
        <v>0.5</v>
      </c>
      <c r="Q406" s="1">
        <f t="shared" si="105"/>
        <v>1</v>
      </c>
      <c r="S406" s="1" t="s">
        <v>340</v>
      </c>
      <c r="T406" s="1">
        <f t="shared" si="106"/>
        <v>5.7166195047503046E-2</v>
      </c>
      <c r="U406" s="1">
        <f t="shared" si="107"/>
        <v>3.6269594024361446E-2</v>
      </c>
      <c r="V406" s="1">
        <f t="shared" si="108"/>
        <v>3.1574382095289864E-2</v>
      </c>
      <c r="W406" s="1">
        <f t="shared" si="109"/>
        <v>4.0360367639778717E-2</v>
      </c>
      <c r="Y406" s="1" t="s">
        <v>340</v>
      </c>
      <c r="Z406" s="1">
        <f t="shared" si="110"/>
        <v>1.7149858514250913E-2</v>
      </c>
      <c r="AA406" s="1">
        <f t="shared" si="111"/>
        <v>7.2539188048722893E-3</v>
      </c>
      <c r="AB406" s="1">
        <f t="shared" si="112"/>
        <v>9.4723146285869593E-3</v>
      </c>
      <c r="AC406" s="1">
        <f t="shared" si="113"/>
        <v>8.0720735279557441E-3</v>
      </c>
      <c r="AK406" s="17" t="s">
        <v>995</v>
      </c>
      <c r="AL406" s="17">
        <f t="shared" si="114"/>
        <v>1.616822449981261E-2</v>
      </c>
      <c r="AM406" s="17">
        <f t="shared" si="115"/>
        <v>2.0719630592878506E-2</v>
      </c>
      <c r="AO406" s="17" t="s">
        <v>1707</v>
      </c>
      <c r="AP406" s="17">
        <f t="shared" si="116"/>
        <v>1.3022227785185303</v>
      </c>
      <c r="AR406" s="1" t="s">
        <v>340</v>
      </c>
      <c r="AS406" s="17">
        <f t="shared" si="117"/>
        <v>1.3022227785185303</v>
      </c>
      <c r="AT406" s="17">
        <f t="shared" si="118"/>
        <v>62</v>
      </c>
    </row>
    <row r="407" spans="6:46" x14ac:dyDescent="0.3">
      <c r="F407" s="1">
        <v>405</v>
      </c>
      <c r="G407" s="1" t="s">
        <v>341</v>
      </c>
      <c r="H407" s="1">
        <v>2</v>
      </c>
      <c r="I407" s="1">
        <v>56</v>
      </c>
      <c r="J407" s="1">
        <v>2</v>
      </c>
      <c r="K407" s="1">
        <v>3</v>
      </c>
      <c r="M407" s="1" t="s">
        <v>341</v>
      </c>
      <c r="N407" s="1">
        <f t="shared" si="102"/>
        <v>0.2857142857142857</v>
      </c>
      <c r="O407" s="1">
        <f t="shared" si="103"/>
        <v>0.53333333333333333</v>
      </c>
      <c r="P407" s="1">
        <f t="shared" si="104"/>
        <v>0.5</v>
      </c>
      <c r="Q407" s="1">
        <f t="shared" si="105"/>
        <v>1</v>
      </c>
      <c r="S407" s="1" t="s">
        <v>341</v>
      </c>
      <c r="T407" s="1">
        <f t="shared" si="106"/>
        <v>2.8583097523751523E-2</v>
      </c>
      <c r="U407" s="1">
        <f t="shared" si="107"/>
        <v>4.0621945307284822E-2</v>
      </c>
      <c r="V407" s="1">
        <f t="shared" si="108"/>
        <v>3.1574382095289864E-2</v>
      </c>
      <c r="W407" s="1">
        <f t="shared" si="109"/>
        <v>4.0360367639778717E-2</v>
      </c>
      <c r="Y407" s="1" t="s">
        <v>341</v>
      </c>
      <c r="Z407" s="1">
        <f t="shared" si="110"/>
        <v>8.5749292571254566E-3</v>
      </c>
      <c r="AA407" s="1">
        <f t="shared" si="111"/>
        <v>8.1243890614569655E-3</v>
      </c>
      <c r="AB407" s="1">
        <f t="shared" si="112"/>
        <v>9.4723146285869593E-3</v>
      </c>
      <c r="AC407" s="1">
        <f t="shared" si="113"/>
        <v>8.0720735279557441E-3</v>
      </c>
      <c r="AK407" s="17" t="s">
        <v>996</v>
      </c>
      <c r="AL407" s="17">
        <f t="shared" si="114"/>
        <v>2.32893826402388E-2</v>
      </c>
      <c r="AM407" s="17">
        <f t="shared" si="115"/>
        <v>1.4715454940631204E-2</v>
      </c>
      <c r="AO407" s="17" t="s">
        <v>1708</v>
      </c>
      <c r="AP407" s="17">
        <f t="shared" si="116"/>
        <v>0.64656796764769697</v>
      </c>
      <c r="AR407" s="1" t="s">
        <v>341</v>
      </c>
      <c r="AS407" s="17">
        <f t="shared" si="117"/>
        <v>0.64656796764769697</v>
      </c>
      <c r="AT407" s="17">
        <f t="shared" si="118"/>
        <v>385</v>
      </c>
    </row>
    <row r="408" spans="6:46" x14ac:dyDescent="0.3">
      <c r="F408" s="1">
        <v>406</v>
      </c>
      <c r="G408" s="1" t="s">
        <v>40</v>
      </c>
      <c r="H408" s="1">
        <v>4</v>
      </c>
      <c r="I408" s="1">
        <v>55</v>
      </c>
      <c r="J408" s="1">
        <v>2</v>
      </c>
      <c r="K408" s="1">
        <v>3</v>
      </c>
      <c r="M408" s="1" t="s">
        <v>40</v>
      </c>
      <c r="N408" s="1">
        <f t="shared" si="102"/>
        <v>0.5714285714285714</v>
      </c>
      <c r="O408" s="1">
        <f t="shared" si="103"/>
        <v>0.52380952380952384</v>
      </c>
      <c r="P408" s="1">
        <f t="shared" si="104"/>
        <v>0.5</v>
      </c>
      <c r="Q408" s="1">
        <f t="shared" si="105"/>
        <v>1</v>
      </c>
      <c r="S408" s="1" t="s">
        <v>40</v>
      </c>
      <c r="T408" s="1">
        <f t="shared" si="106"/>
        <v>5.7166195047503046E-2</v>
      </c>
      <c r="U408" s="1">
        <f t="shared" si="107"/>
        <v>3.9896553426797592E-2</v>
      </c>
      <c r="V408" s="1">
        <f t="shared" si="108"/>
        <v>3.1574382095289864E-2</v>
      </c>
      <c r="W408" s="1">
        <f t="shared" si="109"/>
        <v>4.0360367639778717E-2</v>
      </c>
      <c r="Y408" s="1" t="s">
        <v>40</v>
      </c>
      <c r="Z408" s="1">
        <f t="shared" si="110"/>
        <v>1.7149858514250913E-2</v>
      </c>
      <c r="AA408" s="1">
        <f t="shared" si="111"/>
        <v>7.979310685359519E-3</v>
      </c>
      <c r="AB408" s="1">
        <f t="shared" si="112"/>
        <v>9.4723146285869593E-3</v>
      </c>
      <c r="AC408" s="1">
        <f t="shared" si="113"/>
        <v>8.0720735279557441E-3</v>
      </c>
      <c r="AK408" s="17" t="s">
        <v>997</v>
      </c>
      <c r="AL408" s="17">
        <f t="shared" si="114"/>
        <v>1.5822813355738225E-2</v>
      </c>
      <c r="AM408" s="17">
        <f t="shared" si="115"/>
        <v>2.0873970660722982E-2</v>
      </c>
      <c r="AO408" s="17" t="s">
        <v>1709</v>
      </c>
      <c r="AP408" s="17">
        <f t="shared" si="116"/>
        <v>1.3401065364138247</v>
      </c>
      <c r="AR408" s="1" t="s">
        <v>40</v>
      </c>
      <c r="AS408" s="17">
        <f t="shared" si="117"/>
        <v>1.3401065364138247</v>
      </c>
      <c r="AT408" s="17">
        <f t="shared" si="118"/>
        <v>54</v>
      </c>
    </row>
    <row r="409" spans="6:46" x14ac:dyDescent="0.3">
      <c r="F409" s="1">
        <v>407</v>
      </c>
      <c r="G409" s="1" t="s">
        <v>342</v>
      </c>
      <c r="H409" s="1">
        <v>3</v>
      </c>
      <c r="I409" s="1">
        <v>48</v>
      </c>
      <c r="J409" s="1">
        <v>5</v>
      </c>
      <c r="K409" s="1">
        <v>3</v>
      </c>
      <c r="M409" s="1" t="s">
        <v>342</v>
      </c>
      <c r="N409" s="1">
        <f t="shared" si="102"/>
        <v>0.42857142857142855</v>
      </c>
      <c r="O409" s="1">
        <f t="shared" si="103"/>
        <v>0.45714285714285713</v>
      </c>
      <c r="P409" s="1">
        <f t="shared" si="104"/>
        <v>0.2</v>
      </c>
      <c r="Q409" s="1">
        <f t="shared" si="105"/>
        <v>1</v>
      </c>
      <c r="S409" s="1" t="s">
        <v>342</v>
      </c>
      <c r="T409" s="1">
        <f t="shared" si="106"/>
        <v>4.2874646285627281E-2</v>
      </c>
      <c r="U409" s="1">
        <f t="shared" si="107"/>
        <v>3.4818810263386991E-2</v>
      </c>
      <c r="V409" s="1">
        <f t="shared" si="108"/>
        <v>1.2629752838115946E-2</v>
      </c>
      <c r="W409" s="1">
        <f t="shared" si="109"/>
        <v>4.0360367639778717E-2</v>
      </c>
      <c r="Y409" s="1" t="s">
        <v>342</v>
      </c>
      <c r="Z409" s="1">
        <f t="shared" si="110"/>
        <v>1.2862393885688184E-2</v>
      </c>
      <c r="AA409" s="1">
        <f t="shared" si="111"/>
        <v>6.963762052677399E-3</v>
      </c>
      <c r="AB409" s="1">
        <f t="shared" si="112"/>
        <v>3.7889258514347836E-3</v>
      </c>
      <c r="AC409" s="1">
        <f t="shared" si="113"/>
        <v>8.0720735279557441E-3</v>
      </c>
      <c r="AK409" s="17" t="s">
        <v>998</v>
      </c>
      <c r="AL409" s="17">
        <f t="shared" si="114"/>
        <v>1.9039478426669081E-2</v>
      </c>
      <c r="AM409" s="17">
        <f t="shared" si="115"/>
        <v>2.0936190370124785E-2</v>
      </c>
      <c r="AO409" s="17" t="s">
        <v>1710</v>
      </c>
      <c r="AP409" s="17">
        <f t="shared" si="116"/>
        <v>1.1205561432360045</v>
      </c>
      <c r="AR409" s="1" t="s">
        <v>342</v>
      </c>
      <c r="AS409" s="17">
        <f t="shared" si="117"/>
        <v>1.1205561432360045</v>
      </c>
      <c r="AT409" s="17">
        <f t="shared" si="118"/>
        <v>100</v>
      </c>
    </row>
    <row r="410" spans="6:46" x14ac:dyDescent="0.3">
      <c r="F410" s="1">
        <v>408</v>
      </c>
      <c r="G410" s="1" t="s">
        <v>343</v>
      </c>
      <c r="H410" s="1">
        <v>0</v>
      </c>
      <c r="I410" s="1">
        <v>76</v>
      </c>
      <c r="J410" s="1">
        <v>1</v>
      </c>
      <c r="K410" s="1">
        <v>2</v>
      </c>
      <c r="M410" s="1" t="s">
        <v>343</v>
      </c>
      <c r="N410" s="1">
        <f t="shared" si="102"/>
        <v>0</v>
      </c>
      <c r="O410" s="1">
        <f t="shared" si="103"/>
        <v>0.72380952380952379</v>
      </c>
      <c r="P410" s="1">
        <f t="shared" si="104"/>
        <v>1</v>
      </c>
      <c r="Q410" s="1">
        <f t="shared" si="105"/>
        <v>0.66666666666666663</v>
      </c>
      <c r="S410" s="1" t="s">
        <v>343</v>
      </c>
      <c r="T410" s="1">
        <f t="shared" si="106"/>
        <v>0</v>
      </c>
      <c r="U410" s="1">
        <f t="shared" si="107"/>
        <v>5.5129782917029399E-2</v>
      </c>
      <c r="V410" s="1">
        <f t="shared" si="108"/>
        <v>6.3148764190579729E-2</v>
      </c>
      <c r="W410" s="1">
        <f t="shared" si="109"/>
        <v>2.6906911759852478E-2</v>
      </c>
      <c r="Y410" s="1" t="s">
        <v>343</v>
      </c>
      <c r="Z410" s="1">
        <f t="shared" si="110"/>
        <v>0</v>
      </c>
      <c r="AA410" s="1">
        <f t="shared" si="111"/>
        <v>1.1025956583405881E-2</v>
      </c>
      <c r="AB410" s="1">
        <f t="shared" si="112"/>
        <v>1.8944629257173919E-2</v>
      </c>
      <c r="AC410" s="1">
        <f t="shared" si="113"/>
        <v>5.3813823519704958E-3</v>
      </c>
      <c r="AK410" s="17" t="s">
        <v>999</v>
      </c>
      <c r="AL410" s="17">
        <f t="shared" si="114"/>
        <v>3.3990757628470411E-2</v>
      </c>
      <c r="AM410" s="17">
        <f t="shared" si="115"/>
        <v>8.2834180674411576E-3</v>
      </c>
      <c r="AO410" s="17" t="s">
        <v>1711</v>
      </c>
      <c r="AP410" s="17">
        <f t="shared" si="116"/>
        <v>0.25197960624840204</v>
      </c>
      <c r="AR410" s="1" t="s">
        <v>343</v>
      </c>
      <c r="AS410" s="17">
        <f t="shared" si="117"/>
        <v>0.25197960624840204</v>
      </c>
      <c r="AT410" s="17">
        <f t="shared" si="118"/>
        <v>663</v>
      </c>
    </row>
    <row r="411" spans="6:46" x14ac:dyDescent="0.3">
      <c r="F411" s="1">
        <v>409</v>
      </c>
      <c r="G411" s="1" t="s">
        <v>43</v>
      </c>
      <c r="H411" s="1">
        <v>3</v>
      </c>
      <c r="I411" s="1">
        <v>42</v>
      </c>
      <c r="J411" s="1">
        <v>2</v>
      </c>
      <c r="K411" s="1">
        <v>3</v>
      </c>
      <c r="M411" s="1" t="s">
        <v>43</v>
      </c>
      <c r="N411" s="1">
        <f t="shared" si="102"/>
        <v>0.42857142857142855</v>
      </c>
      <c r="O411" s="1">
        <f t="shared" si="103"/>
        <v>0.4</v>
      </c>
      <c r="P411" s="1">
        <f t="shared" si="104"/>
        <v>0.5</v>
      </c>
      <c r="Q411" s="1">
        <f t="shared" si="105"/>
        <v>1</v>
      </c>
      <c r="S411" s="1" t="s">
        <v>43</v>
      </c>
      <c r="T411" s="1">
        <f t="shared" si="106"/>
        <v>4.2874646285627281E-2</v>
      </c>
      <c r="U411" s="1">
        <f t="shared" si="107"/>
        <v>3.0466458980463618E-2</v>
      </c>
      <c r="V411" s="1">
        <f t="shared" si="108"/>
        <v>3.1574382095289864E-2</v>
      </c>
      <c r="W411" s="1">
        <f t="shared" si="109"/>
        <v>4.0360367639778717E-2</v>
      </c>
      <c r="Y411" s="1" t="s">
        <v>43</v>
      </c>
      <c r="Z411" s="1">
        <f t="shared" si="110"/>
        <v>1.2862393885688184E-2</v>
      </c>
      <c r="AA411" s="1">
        <f t="shared" si="111"/>
        <v>6.0932917960927237E-3</v>
      </c>
      <c r="AB411" s="1">
        <f t="shared" si="112"/>
        <v>9.4723146285869593E-3</v>
      </c>
      <c r="AC411" s="1">
        <f t="shared" si="113"/>
        <v>8.0720735279557441E-3</v>
      </c>
      <c r="AK411" s="17" t="s">
        <v>1000</v>
      </c>
      <c r="AL411" s="17">
        <f t="shared" si="114"/>
        <v>2.0247395291835158E-2</v>
      </c>
      <c r="AM411" s="17">
        <f t="shared" si="115"/>
        <v>1.7103926186582411E-2</v>
      </c>
      <c r="AO411" s="17" t="s">
        <v>1712</v>
      </c>
      <c r="AP411" s="17">
        <f t="shared" si="116"/>
        <v>0.86185091413518222</v>
      </c>
      <c r="AR411" s="1" t="s">
        <v>43</v>
      </c>
      <c r="AS411" s="17">
        <f t="shared" si="117"/>
        <v>0.86185091413518222</v>
      </c>
      <c r="AT411" s="17">
        <f t="shared" si="118"/>
        <v>232</v>
      </c>
    </row>
    <row r="412" spans="6:46" x14ac:dyDescent="0.3">
      <c r="F412" s="1">
        <v>410</v>
      </c>
      <c r="G412" s="1" t="s">
        <v>45</v>
      </c>
      <c r="H412" s="1">
        <v>3</v>
      </c>
      <c r="I412" s="1">
        <v>48</v>
      </c>
      <c r="J412" s="1">
        <v>2</v>
      </c>
      <c r="K412" s="1">
        <v>3</v>
      </c>
      <c r="M412" s="1" t="s">
        <v>45</v>
      </c>
      <c r="N412" s="1">
        <f t="shared" si="102"/>
        <v>0.42857142857142855</v>
      </c>
      <c r="O412" s="1">
        <f t="shared" si="103"/>
        <v>0.45714285714285713</v>
      </c>
      <c r="P412" s="1">
        <f t="shared" si="104"/>
        <v>0.5</v>
      </c>
      <c r="Q412" s="1">
        <f t="shared" si="105"/>
        <v>1</v>
      </c>
      <c r="S412" s="1" t="s">
        <v>45</v>
      </c>
      <c r="T412" s="1">
        <f t="shared" si="106"/>
        <v>4.2874646285627281E-2</v>
      </c>
      <c r="U412" s="1">
        <f t="shared" si="107"/>
        <v>3.4818810263386991E-2</v>
      </c>
      <c r="V412" s="1">
        <f t="shared" si="108"/>
        <v>3.1574382095289864E-2</v>
      </c>
      <c r="W412" s="1">
        <f t="shared" si="109"/>
        <v>4.0360367639778717E-2</v>
      </c>
      <c r="Y412" s="1" t="s">
        <v>45</v>
      </c>
      <c r="Z412" s="1">
        <f t="shared" si="110"/>
        <v>1.2862393885688184E-2</v>
      </c>
      <c r="AA412" s="1">
        <f t="shared" si="111"/>
        <v>6.963762052677399E-3</v>
      </c>
      <c r="AB412" s="1">
        <f t="shared" si="112"/>
        <v>9.4723146285869593E-3</v>
      </c>
      <c r="AC412" s="1">
        <f t="shared" si="113"/>
        <v>8.0720735279557441E-3</v>
      </c>
      <c r="AK412" s="17" t="s">
        <v>1001</v>
      </c>
      <c r="AL412" s="17">
        <f t="shared" si="114"/>
        <v>1.9869641334253032E-2</v>
      </c>
      <c r="AM412" s="17">
        <f t="shared" si="115"/>
        <v>1.727291133290261E-2</v>
      </c>
      <c r="AO412" s="17" t="s">
        <v>1713</v>
      </c>
      <c r="AP412" s="17">
        <f t="shared" si="116"/>
        <v>0.88658459352849661</v>
      </c>
      <c r="AR412" s="1" t="s">
        <v>45</v>
      </c>
      <c r="AS412" s="17">
        <f t="shared" si="117"/>
        <v>0.88658459352849661</v>
      </c>
      <c r="AT412" s="17">
        <f t="shared" si="118"/>
        <v>191</v>
      </c>
    </row>
    <row r="413" spans="6:46" x14ac:dyDescent="0.3">
      <c r="F413" s="1">
        <v>411</v>
      </c>
      <c r="G413" s="1" t="s">
        <v>45</v>
      </c>
      <c r="H413" s="1">
        <v>3</v>
      </c>
      <c r="I413" s="1">
        <v>47</v>
      </c>
      <c r="J413" s="1">
        <v>2</v>
      </c>
      <c r="K413" s="1">
        <v>3</v>
      </c>
      <c r="M413" s="1" t="s">
        <v>45</v>
      </c>
      <c r="N413" s="1">
        <f t="shared" si="102"/>
        <v>0.42857142857142855</v>
      </c>
      <c r="O413" s="1">
        <f t="shared" si="103"/>
        <v>0.44761904761904764</v>
      </c>
      <c r="P413" s="1">
        <f t="shared" si="104"/>
        <v>0.5</v>
      </c>
      <c r="Q413" s="1">
        <f t="shared" si="105"/>
        <v>1</v>
      </c>
      <c r="S413" s="1" t="s">
        <v>45</v>
      </c>
      <c r="T413" s="1">
        <f t="shared" si="106"/>
        <v>4.2874646285627281E-2</v>
      </c>
      <c r="U413" s="1">
        <f t="shared" si="107"/>
        <v>3.4093418382899761E-2</v>
      </c>
      <c r="V413" s="1">
        <f t="shared" si="108"/>
        <v>3.1574382095289864E-2</v>
      </c>
      <c r="W413" s="1">
        <f t="shared" si="109"/>
        <v>4.0360367639778717E-2</v>
      </c>
      <c r="Y413" s="1" t="s">
        <v>45</v>
      </c>
      <c r="Z413" s="1">
        <f t="shared" si="110"/>
        <v>1.2862393885688184E-2</v>
      </c>
      <c r="AA413" s="1">
        <f t="shared" si="111"/>
        <v>6.8186836765799525E-3</v>
      </c>
      <c r="AB413" s="1">
        <f t="shared" si="112"/>
        <v>9.4723146285869593E-3</v>
      </c>
      <c r="AC413" s="1">
        <f t="shared" si="113"/>
        <v>8.0720735279557441E-3</v>
      </c>
      <c r="AK413" s="17" t="s">
        <v>1002</v>
      </c>
      <c r="AL413" s="17">
        <f t="shared" si="114"/>
        <v>1.9930457503557965E-2</v>
      </c>
      <c r="AM413" s="17">
        <f t="shared" si="115"/>
        <v>1.7241810560917049E-2</v>
      </c>
      <c r="AO413" s="17" t="s">
        <v>1714</v>
      </c>
      <c r="AP413" s="17">
        <f t="shared" si="116"/>
        <v>0.88234039436608347</v>
      </c>
      <c r="AR413" s="1" t="s">
        <v>45</v>
      </c>
      <c r="AS413" s="17">
        <f t="shared" si="117"/>
        <v>0.88234039436608347</v>
      </c>
      <c r="AT413" s="17">
        <f t="shared" si="118"/>
        <v>199</v>
      </c>
    </row>
    <row r="414" spans="6:46" x14ac:dyDescent="0.3">
      <c r="F414" s="1">
        <v>412</v>
      </c>
      <c r="G414" s="1" t="s">
        <v>45</v>
      </c>
      <c r="H414" s="1">
        <v>3</v>
      </c>
      <c r="I414" s="1">
        <v>48</v>
      </c>
      <c r="J414" s="1">
        <v>2</v>
      </c>
      <c r="K414" s="1">
        <v>3</v>
      </c>
      <c r="M414" s="1" t="s">
        <v>45</v>
      </c>
      <c r="N414" s="1">
        <f t="shared" si="102"/>
        <v>0.42857142857142855</v>
      </c>
      <c r="O414" s="1">
        <f t="shared" si="103"/>
        <v>0.45714285714285713</v>
      </c>
      <c r="P414" s="1">
        <f t="shared" si="104"/>
        <v>0.5</v>
      </c>
      <c r="Q414" s="1">
        <f t="shared" si="105"/>
        <v>1</v>
      </c>
      <c r="S414" s="1" t="s">
        <v>45</v>
      </c>
      <c r="T414" s="1">
        <f t="shared" si="106"/>
        <v>4.2874646285627281E-2</v>
      </c>
      <c r="U414" s="1">
        <f t="shared" si="107"/>
        <v>3.4818810263386991E-2</v>
      </c>
      <c r="V414" s="1">
        <f t="shared" si="108"/>
        <v>3.1574382095289864E-2</v>
      </c>
      <c r="W414" s="1">
        <f t="shared" si="109"/>
        <v>4.0360367639778717E-2</v>
      </c>
      <c r="Y414" s="1" t="s">
        <v>45</v>
      </c>
      <c r="Z414" s="1">
        <f t="shared" si="110"/>
        <v>1.2862393885688184E-2</v>
      </c>
      <c r="AA414" s="1">
        <f t="shared" si="111"/>
        <v>6.963762052677399E-3</v>
      </c>
      <c r="AB414" s="1">
        <f t="shared" si="112"/>
        <v>9.4723146285869593E-3</v>
      </c>
      <c r="AC414" s="1">
        <f t="shared" si="113"/>
        <v>8.0720735279557441E-3</v>
      </c>
      <c r="AK414" s="17" t="s">
        <v>1003</v>
      </c>
      <c r="AL414" s="17">
        <f t="shared" si="114"/>
        <v>1.9869641334253032E-2</v>
      </c>
      <c r="AM414" s="17">
        <f t="shared" si="115"/>
        <v>1.727291133290261E-2</v>
      </c>
      <c r="AO414" s="17" t="s">
        <v>1715</v>
      </c>
      <c r="AP414" s="17">
        <f t="shared" si="116"/>
        <v>0.88658459352849661</v>
      </c>
      <c r="AR414" s="1" t="s">
        <v>45</v>
      </c>
      <c r="AS414" s="17">
        <f t="shared" si="117"/>
        <v>0.88658459352849661</v>
      </c>
      <c r="AT414" s="17">
        <f t="shared" si="118"/>
        <v>191</v>
      </c>
    </row>
    <row r="415" spans="6:46" x14ac:dyDescent="0.3">
      <c r="F415" s="1">
        <v>413</v>
      </c>
      <c r="G415" s="1" t="s">
        <v>208</v>
      </c>
      <c r="H415" s="1">
        <v>1</v>
      </c>
      <c r="I415" s="1">
        <v>32</v>
      </c>
      <c r="J415" s="1">
        <v>1</v>
      </c>
      <c r="K415" s="1">
        <v>2</v>
      </c>
      <c r="M415" s="1" t="s">
        <v>208</v>
      </c>
      <c r="N415" s="1">
        <f t="shared" si="102"/>
        <v>0.14285714285714285</v>
      </c>
      <c r="O415" s="1">
        <f t="shared" si="103"/>
        <v>0.30476190476190479</v>
      </c>
      <c r="P415" s="1">
        <f t="shared" si="104"/>
        <v>1</v>
      </c>
      <c r="Q415" s="1">
        <f t="shared" si="105"/>
        <v>0.66666666666666663</v>
      </c>
      <c r="S415" s="1" t="s">
        <v>208</v>
      </c>
      <c r="T415" s="1">
        <f t="shared" si="106"/>
        <v>1.4291548761875762E-2</v>
      </c>
      <c r="U415" s="1">
        <f t="shared" si="107"/>
        <v>2.321254017559133E-2</v>
      </c>
      <c r="V415" s="1">
        <f t="shared" si="108"/>
        <v>6.3148764190579729E-2</v>
      </c>
      <c r="W415" s="1">
        <f t="shared" si="109"/>
        <v>2.6906911759852478E-2</v>
      </c>
      <c r="Y415" s="1" t="s">
        <v>208</v>
      </c>
      <c r="Z415" s="1">
        <f t="shared" si="110"/>
        <v>4.2874646285627283E-3</v>
      </c>
      <c r="AA415" s="1">
        <f t="shared" si="111"/>
        <v>4.642508035118266E-3</v>
      </c>
      <c r="AB415" s="1">
        <f t="shared" si="112"/>
        <v>1.8944629257173919E-2</v>
      </c>
      <c r="AC415" s="1">
        <f t="shared" si="113"/>
        <v>5.3813823519704958E-3</v>
      </c>
      <c r="AK415" s="17" t="s">
        <v>1004</v>
      </c>
      <c r="AL415" s="17">
        <f t="shared" si="114"/>
        <v>3.1794075730384355E-2</v>
      </c>
      <c r="AM415" s="17">
        <f t="shared" si="115"/>
        <v>5.2656381822917351E-3</v>
      </c>
      <c r="AO415" s="17" t="s">
        <v>1716</v>
      </c>
      <c r="AP415" s="17">
        <f t="shared" si="116"/>
        <v>0.17088259861682861</v>
      </c>
      <c r="AR415" s="1" t="s">
        <v>208</v>
      </c>
      <c r="AS415" s="17">
        <f t="shared" si="117"/>
        <v>0.17088259861682861</v>
      </c>
      <c r="AT415" s="17">
        <f t="shared" si="118"/>
        <v>697</v>
      </c>
    </row>
    <row r="416" spans="6:46" x14ac:dyDescent="0.3">
      <c r="F416" s="1">
        <v>414</v>
      </c>
      <c r="G416" s="1" t="s">
        <v>344</v>
      </c>
      <c r="H416" s="1">
        <v>3</v>
      </c>
      <c r="I416" s="1">
        <v>29</v>
      </c>
      <c r="J416" s="1">
        <v>2</v>
      </c>
      <c r="K416" s="1">
        <v>3</v>
      </c>
      <c r="M416" s="1" t="s">
        <v>344</v>
      </c>
      <c r="N416" s="1">
        <f t="shared" si="102"/>
        <v>0.42857142857142855</v>
      </c>
      <c r="O416" s="1">
        <f t="shared" si="103"/>
        <v>0.27619047619047621</v>
      </c>
      <c r="P416" s="1">
        <f t="shared" si="104"/>
        <v>0.5</v>
      </c>
      <c r="Q416" s="1">
        <f t="shared" si="105"/>
        <v>1</v>
      </c>
      <c r="S416" s="1" t="s">
        <v>344</v>
      </c>
      <c r="T416" s="1">
        <f t="shared" si="106"/>
        <v>4.2874646285627281E-2</v>
      </c>
      <c r="U416" s="1">
        <f t="shared" si="107"/>
        <v>2.1036364534129642E-2</v>
      </c>
      <c r="V416" s="1">
        <f t="shared" si="108"/>
        <v>3.1574382095289864E-2</v>
      </c>
      <c r="W416" s="1">
        <f t="shared" si="109"/>
        <v>4.0360367639778717E-2</v>
      </c>
      <c r="Y416" s="1" t="s">
        <v>344</v>
      </c>
      <c r="Z416" s="1">
        <f t="shared" si="110"/>
        <v>1.2862393885688184E-2</v>
      </c>
      <c r="AA416" s="1">
        <f t="shared" si="111"/>
        <v>4.2072729068259283E-3</v>
      </c>
      <c r="AB416" s="1">
        <f t="shared" si="112"/>
        <v>9.4723146285869593E-3</v>
      </c>
      <c r="AC416" s="1">
        <f t="shared" si="113"/>
        <v>8.0720735279557441E-3</v>
      </c>
      <c r="AK416" s="17" t="s">
        <v>1005</v>
      </c>
      <c r="AL416" s="17">
        <f t="shared" si="114"/>
        <v>2.1165780723380732E-2</v>
      </c>
      <c r="AM416" s="17">
        <f t="shared" si="115"/>
        <v>1.6886578574032494E-2</v>
      </c>
      <c r="AO416" s="17" t="s">
        <v>1717</v>
      </c>
      <c r="AP416" s="17">
        <f t="shared" si="116"/>
        <v>0.81471108572196749</v>
      </c>
      <c r="AR416" s="1" t="s">
        <v>344</v>
      </c>
      <c r="AS416" s="17">
        <f t="shared" si="117"/>
        <v>0.81471108572196749</v>
      </c>
      <c r="AT416" s="17">
        <f t="shared" si="118"/>
        <v>300</v>
      </c>
    </row>
    <row r="417" spans="6:46" x14ac:dyDescent="0.3">
      <c r="F417" s="1">
        <v>415</v>
      </c>
      <c r="G417" s="1" t="s">
        <v>345</v>
      </c>
      <c r="H417" s="1">
        <v>2</v>
      </c>
      <c r="I417" s="1">
        <v>30</v>
      </c>
      <c r="J417" s="1">
        <v>2</v>
      </c>
      <c r="K417" s="1">
        <v>3</v>
      </c>
      <c r="M417" s="1" t="s">
        <v>345</v>
      </c>
      <c r="N417" s="1">
        <f t="shared" si="102"/>
        <v>0.2857142857142857</v>
      </c>
      <c r="O417" s="1">
        <f t="shared" si="103"/>
        <v>0.2857142857142857</v>
      </c>
      <c r="P417" s="1">
        <f t="shared" si="104"/>
        <v>0.5</v>
      </c>
      <c r="Q417" s="1">
        <f t="shared" si="105"/>
        <v>1</v>
      </c>
      <c r="S417" s="1" t="s">
        <v>345</v>
      </c>
      <c r="T417" s="1">
        <f t="shared" si="106"/>
        <v>2.8583097523751523E-2</v>
      </c>
      <c r="U417" s="1">
        <f t="shared" si="107"/>
        <v>2.1761756414616869E-2</v>
      </c>
      <c r="V417" s="1">
        <f t="shared" si="108"/>
        <v>3.1574382095289864E-2</v>
      </c>
      <c r="W417" s="1">
        <f t="shared" si="109"/>
        <v>4.0360367639778717E-2</v>
      </c>
      <c r="Y417" s="1" t="s">
        <v>345</v>
      </c>
      <c r="Z417" s="1">
        <f t="shared" si="110"/>
        <v>8.5749292571254566E-3</v>
      </c>
      <c r="AA417" s="1">
        <f t="shared" si="111"/>
        <v>4.3523512829233739E-3</v>
      </c>
      <c r="AB417" s="1">
        <f t="shared" si="112"/>
        <v>9.4723146285869593E-3</v>
      </c>
      <c r="AC417" s="1">
        <f t="shared" si="113"/>
        <v>8.0720735279557441E-3</v>
      </c>
      <c r="AK417" s="17" t="s">
        <v>1006</v>
      </c>
      <c r="AL417" s="17">
        <f t="shared" si="114"/>
        <v>2.470330427460975E-2</v>
      </c>
      <c r="AM417" s="17">
        <f t="shared" si="115"/>
        <v>1.3912601742997488E-2</v>
      </c>
      <c r="AO417" s="17" t="s">
        <v>1718</v>
      </c>
      <c r="AP417" s="17">
        <f t="shared" si="116"/>
        <v>0.57710048901267619</v>
      </c>
      <c r="AR417" s="1" t="s">
        <v>345</v>
      </c>
      <c r="AS417" s="17">
        <f t="shared" si="117"/>
        <v>0.57710048901267619</v>
      </c>
      <c r="AT417" s="17">
        <f t="shared" si="118"/>
        <v>477</v>
      </c>
    </row>
    <row r="418" spans="6:46" x14ac:dyDescent="0.3">
      <c r="F418" s="1">
        <v>416</v>
      </c>
      <c r="G418" s="1" t="s">
        <v>346</v>
      </c>
      <c r="H418" s="1">
        <v>0</v>
      </c>
      <c r="I418" s="1">
        <v>60</v>
      </c>
      <c r="J418" s="1">
        <v>1</v>
      </c>
      <c r="K418" s="1">
        <v>2</v>
      </c>
      <c r="M418" s="1" t="s">
        <v>346</v>
      </c>
      <c r="N418" s="1">
        <f t="shared" si="102"/>
        <v>0</v>
      </c>
      <c r="O418" s="1">
        <f t="shared" si="103"/>
        <v>0.5714285714285714</v>
      </c>
      <c r="P418" s="1">
        <f t="shared" si="104"/>
        <v>1</v>
      </c>
      <c r="Q418" s="1">
        <f t="shared" si="105"/>
        <v>0.66666666666666663</v>
      </c>
      <c r="S418" s="1" t="s">
        <v>346</v>
      </c>
      <c r="T418" s="1">
        <f t="shared" si="106"/>
        <v>0</v>
      </c>
      <c r="U418" s="1">
        <f t="shared" si="107"/>
        <v>4.3523512829233738E-2</v>
      </c>
      <c r="V418" s="1">
        <f t="shared" si="108"/>
        <v>6.3148764190579729E-2</v>
      </c>
      <c r="W418" s="1">
        <f t="shared" si="109"/>
        <v>2.6906911759852478E-2</v>
      </c>
      <c r="Y418" s="1" t="s">
        <v>346</v>
      </c>
      <c r="Z418" s="1">
        <f t="shared" si="110"/>
        <v>0</v>
      </c>
      <c r="AA418" s="1">
        <f t="shared" si="111"/>
        <v>8.7047025658467479E-3</v>
      </c>
      <c r="AB418" s="1">
        <f t="shared" si="112"/>
        <v>1.8944629257173919E-2</v>
      </c>
      <c r="AC418" s="1">
        <f t="shared" si="113"/>
        <v>5.3813823519704958E-3</v>
      </c>
      <c r="AK418" s="17" t="s">
        <v>1007</v>
      </c>
      <c r="AL418" s="17">
        <f t="shared" si="114"/>
        <v>3.4355379821031352E-2</v>
      </c>
      <c r="AM418" s="17">
        <f t="shared" si="115"/>
        <v>6.1345536634145386E-3</v>
      </c>
      <c r="AO418" s="17" t="s">
        <v>1719</v>
      </c>
      <c r="AP418" s="17">
        <f t="shared" si="116"/>
        <v>0.18469621403135333</v>
      </c>
      <c r="AR418" s="1" t="s">
        <v>346</v>
      </c>
      <c r="AS418" s="17">
        <f t="shared" si="117"/>
        <v>0.18469621403135333</v>
      </c>
      <c r="AT418" s="17">
        <f t="shared" si="118"/>
        <v>692</v>
      </c>
    </row>
    <row r="419" spans="6:46" x14ac:dyDescent="0.3">
      <c r="F419" s="1">
        <v>417</v>
      </c>
      <c r="G419" s="1" t="s">
        <v>347</v>
      </c>
      <c r="H419" s="1">
        <v>4</v>
      </c>
      <c r="I419" s="1">
        <v>33</v>
      </c>
      <c r="J419" s="1">
        <v>1</v>
      </c>
      <c r="K419" s="1">
        <v>3</v>
      </c>
      <c r="M419" s="1" t="s">
        <v>347</v>
      </c>
      <c r="N419" s="1">
        <f t="shared" si="102"/>
        <v>0.5714285714285714</v>
      </c>
      <c r="O419" s="1">
        <f t="shared" si="103"/>
        <v>0.31428571428571428</v>
      </c>
      <c r="P419" s="1">
        <f t="shared" si="104"/>
        <v>1</v>
      </c>
      <c r="Q419" s="1">
        <f t="shared" si="105"/>
        <v>1</v>
      </c>
      <c r="S419" s="1" t="s">
        <v>347</v>
      </c>
      <c r="T419" s="1">
        <f t="shared" si="106"/>
        <v>5.7166195047503046E-2</v>
      </c>
      <c r="U419" s="1">
        <f t="shared" si="107"/>
        <v>2.3937932056078554E-2</v>
      </c>
      <c r="V419" s="1">
        <f t="shared" si="108"/>
        <v>6.3148764190579729E-2</v>
      </c>
      <c r="W419" s="1">
        <f t="shared" si="109"/>
        <v>4.0360367639778717E-2</v>
      </c>
      <c r="Y419" s="1" t="s">
        <v>347</v>
      </c>
      <c r="Z419" s="1">
        <f t="shared" si="110"/>
        <v>1.7149858514250913E-2</v>
      </c>
      <c r="AA419" s="1">
        <f t="shared" si="111"/>
        <v>4.7875864112157107E-3</v>
      </c>
      <c r="AB419" s="1">
        <f t="shared" si="112"/>
        <v>1.8944629257173919E-2</v>
      </c>
      <c r="AC419" s="1">
        <f t="shared" si="113"/>
        <v>8.0720735279557441E-3</v>
      </c>
      <c r="AK419" s="17" t="s">
        <v>1008</v>
      </c>
      <c r="AL419" s="17">
        <f t="shared" si="114"/>
        <v>2.2455466629030859E-2</v>
      </c>
      <c r="AM419" s="17">
        <f t="shared" si="115"/>
        <v>1.8045046385018349E-2</v>
      </c>
      <c r="AO419" s="17" t="s">
        <v>1720</v>
      </c>
      <c r="AP419" s="17">
        <f t="shared" si="116"/>
        <v>0.82163762734209211</v>
      </c>
      <c r="AR419" s="1" t="s">
        <v>347</v>
      </c>
      <c r="AS419" s="17">
        <f t="shared" si="117"/>
        <v>0.82163762734209211</v>
      </c>
      <c r="AT419" s="17">
        <f t="shared" si="118"/>
        <v>297</v>
      </c>
    </row>
    <row r="420" spans="6:46" x14ac:dyDescent="0.3">
      <c r="F420" s="1">
        <v>418</v>
      </c>
      <c r="G420" s="1" t="s">
        <v>348</v>
      </c>
      <c r="H420" s="1">
        <v>2</v>
      </c>
      <c r="I420" s="1">
        <v>49</v>
      </c>
      <c r="J420" s="1">
        <v>2</v>
      </c>
      <c r="K420" s="1">
        <v>3</v>
      </c>
      <c r="M420" s="1" t="s">
        <v>348</v>
      </c>
      <c r="N420" s="1">
        <f t="shared" si="102"/>
        <v>0.2857142857142857</v>
      </c>
      <c r="O420" s="1">
        <f t="shared" si="103"/>
        <v>0.46666666666666667</v>
      </c>
      <c r="P420" s="1">
        <f t="shared" si="104"/>
        <v>0.5</v>
      </c>
      <c r="Q420" s="1">
        <f t="shared" si="105"/>
        <v>1</v>
      </c>
      <c r="S420" s="1" t="s">
        <v>348</v>
      </c>
      <c r="T420" s="1">
        <f t="shared" si="106"/>
        <v>2.8583097523751523E-2</v>
      </c>
      <c r="U420" s="1">
        <f t="shared" si="107"/>
        <v>3.5544202143874222E-2</v>
      </c>
      <c r="V420" s="1">
        <f t="shared" si="108"/>
        <v>3.1574382095289864E-2</v>
      </c>
      <c r="W420" s="1">
        <f t="shared" si="109"/>
        <v>4.0360367639778717E-2</v>
      </c>
      <c r="Y420" s="1" t="s">
        <v>348</v>
      </c>
      <c r="Z420" s="1">
        <f t="shared" si="110"/>
        <v>8.5749292571254566E-3</v>
      </c>
      <c r="AA420" s="1">
        <f t="shared" si="111"/>
        <v>7.1088404287748446E-3</v>
      </c>
      <c r="AB420" s="1">
        <f t="shared" si="112"/>
        <v>9.4723146285869593E-3</v>
      </c>
      <c r="AC420" s="1">
        <f t="shared" si="113"/>
        <v>8.0720735279557441E-3</v>
      </c>
      <c r="AK420" s="17" t="s">
        <v>1009</v>
      </c>
      <c r="AL420" s="17">
        <f t="shared" si="114"/>
        <v>2.3619175030969948E-2</v>
      </c>
      <c r="AM420" s="17">
        <f t="shared" si="115"/>
        <v>1.4406846677001168E-2</v>
      </c>
      <c r="AO420" s="17" t="s">
        <v>1721</v>
      </c>
      <c r="AP420" s="17">
        <f t="shared" si="116"/>
        <v>0.62437085507740531</v>
      </c>
      <c r="AR420" s="1" t="s">
        <v>348</v>
      </c>
      <c r="AS420" s="17">
        <f t="shared" si="117"/>
        <v>0.62437085507740531</v>
      </c>
      <c r="AT420" s="17">
        <f t="shared" si="118"/>
        <v>408</v>
      </c>
    </row>
    <row r="421" spans="6:46" x14ac:dyDescent="0.3">
      <c r="F421" s="1">
        <v>419</v>
      </c>
      <c r="G421" s="1" t="s">
        <v>349</v>
      </c>
      <c r="H421" s="1">
        <v>3</v>
      </c>
      <c r="I421" s="1">
        <v>32</v>
      </c>
      <c r="J421" s="1">
        <v>2</v>
      </c>
      <c r="K421" s="1">
        <v>3</v>
      </c>
      <c r="M421" s="1" t="s">
        <v>349</v>
      </c>
      <c r="N421" s="1">
        <f t="shared" si="102"/>
        <v>0.42857142857142855</v>
      </c>
      <c r="O421" s="1">
        <f t="shared" si="103"/>
        <v>0.30476190476190479</v>
      </c>
      <c r="P421" s="1">
        <f t="shared" si="104"/>
        <v>0.5</v>
      </c>
      <c r="Q421" s="1">
        <f t="shared" si="105"/>
        <v>1</v>
      </c>
      <c r="S421" s="1" t="s">
        <v>349</v>
      </c>
      <c r="T421" s="1">
        <f t="shared" si="106"/>
        <v>4.2874646285627281E-2</v>
      </c>
      <c r="U421" s="1">
        <f t="shared" si="107"/>
        <v>2.321254017559133E-2</v>
      </c>
      <c r="V421" s="1">
        <f t="shared" si="108"/>
        <v>3.1574382095289864E-2</v>
      </c>
      <c r="W421" s="1">
        <f t="shared" si="109"/>
        <v>4.0360367639778717E-2</v>
      </c>
      <c r="Y421" s="1" t="s">
        <v>349</v>
      </c>
      <c r="Z421" s="1">
        <f t="shared" si="110"/>
        <v>1.2862393885688184E-2</v>
      </c>
      <c r="AA421" s="1">
        <f t="shared" si="111"/>
        <v>4.642508035118266E-3</v>
      </c>
      <c r="AB421" s="1">
        <f t="shared" si="112"/>
        <v>9.4723146285869593E-3</v>
      </c>
      <c r="AC421" s="1">
        <f t="shared" si="113"/>
        <v>8.0720735279557441E-3</v>
      </c>
      <c r="AK421" s="17" t="s">
        <v>1010</v>
      </c>
      <c r="AL421" s="17">
        <f t="shared" si="114"/>
        <v>2.0942347910176792E-2</v>
      </c>
      <c r="AM421" s="17">
        <f t="shared" si="115"/>
        <v>1.6918332377416457E-2</v>
      </c>
      <c r="AO421" s="17" t="s">
        <v>1722</v>
      </c>
      <c r="AP421" s="17">
        <f t="shared" si="116"/>
        <v>0.82477103590332379</v>
      </c>
      <c r="AR421" s="1" t="s">
        <v>349</v>
      </c>
      <c r="AS421" s="17">
        <f t="shared" si="117"/>
        <v>0.82477103590332379</v>
      </c>
      <c r="AT421" s="17">
        <f t="shared" si="118"/>
        <v>296</v>
      </c>
    </row>
    <row r="422" spans="6:46" x14ac:dyDescent="0.3">
      <c r="F422" s="1">
        <v>420</v>
      </c>
      <c r="G422" s="1" t="s">
        <v>350</v>
      </c>
      <c r="H422" s="1">
        <v>2</v>
      </c>
      <c r="I422" s="1">
        <v>29</v>
      </c>
      <c r="J422" s="1">
        <v>3</v>
      </c>
      <c r="K422" s="1">
        <v>3</v>
      </c>
      <c r="M422" s="1" t="s">
        <v>350</v>
      </c>
      <c r="N422" s="1">
        <f t="shared" si="102"/>
        <v>0.2857142857142857</v>
      </c>
      <c r="O422" s="1">
        <f t="shared" si="103"/>
        <v>0.27619047619047621</v>
      </c>
      <c r="P422" s="1">
        <f t="shared" si="104"/>
        <v>0.33333333333333331</v>
      </c>
      <c r="Q422" s="1">
        <f t="shared" si="105"/>
        <v>1</v>
      </c>
      <c r="S422" s="1" t="s">
        <v>350</v>
      </c>
      <c r="T422" s="1">
        <f t="shared" si="106"/>
        <v>2.8583097523751523E-2</v>
      </c>
      <c r="U422" s="1">
        <f t="shared" si="107"/>
        <v>2.1036364534129642E-2</v>
      </c>
      <c r="V422" s="1">
        <f t="shared" si="108"/>
        <v>2.1049588063526574E-2</v>
      </c>
      <c r="W422" s="1">
        <f t="shared" si="109"/>
        <v>4.0360367639778717E-2</v>
      </c>
      <c r="Y422" s="1" t="s">
        <v>350</v>
      </c>
      <c r="Z422" s="1">
        <f t="shared" si="110"/>
        <v>8.5749292571254566E-3</v>
      </c>
      <c r="AA422" s="1">
        <f t="shared" si="111"/>
        <v>4.2072729068259283E-3</v>
      </c>
      <c r="AB422" s="1">
        <f t="shared" si="112"/>
        <v>6.314876419057972E-3</v>
      </c>
      <c r="AC422" s="1">
        <f t="shared" si="113"/>
        <v>8.0720735279557441E-3</v>
      </c>
      <c r="AK422" s="17" t="s">
        <v>1011</v>
      </c>
      <c r="AL422" s="17">
        <f t="shared" si="114"/>
        <v>2.4238625546400952E-2</v>
      </c>
      <c r="AM422" s="17">
        <f t="shared" si="115"/>
        <v>1.6218220727319196E-2</v>
      </c>
      <c r="AO422" s="17" t="s">
        <v>1723</v>
      </c>
      <c r="AP422" s="17">
        <f t="shared" si="116"/>
        <v>0.68532467217490722</v>
      </c>
      <c r="AR422" s="1" t="s">
        <v>350</v>
      </c>
      <c r="AS422" s="17">
        <f t="shared" si="117"/>
        <v>0.68532467217490722</v>
      </c>
      <c r="AT422" s="17">
        <f t="shared" si="118"/>
        <v>357</v>
      </c>
    </row>
    <row r="423" spans="6:46" x14ac:dyDescent="0.3">
      <c r="F423" s="1">
        <v>421</v>
      </c>
      <c r="G423" s="1" t="s">
        <v>59</v>
      </c>
      <c r="H423" s="1">
        <v>4</v>
      </c>
      <c r="I423" s="1">
        <v>32</v>
      </c>
      <c r="J423" s="1">
        <v>2</v>
      </c>
      <c r="K423" s="1">
        <v>3</v>
      </c>
      <c r="M423" s="1" t="s">
        <v>59</v>
      </c>
      <c r="N423" s="1">
        <f t="shared" si="102"/>
        <v>0.5714285714285714</v>
      </c>
      <c r="O423" s="1">
        <f t="shared" si="103"/>
        <v>0.30476190476190479</v>
      </c>
      <c r="P423" s="1">
        <f t="shared" si="104"/>
        <v>0.5</v>
      </c>
      <c r="Q423" s="1">
        <f t="shared" si="105"/>
        <v>1</v>
      </c>
      <c r="S423" s="1" t="s">
        <v>59</v>
      </c>
      <c r="T423" s="1">
        <f t="shared" si="106"/>
        <v>5.7166195047503046E-2</v>
      </c>
      <c r="U423" s="1">
        <f t="shared" si="107"/>
        <v>2.321254017559133E-2</v>
      </c>
      <c r="V423" s="1">
        <f t="shared" si="108"/>
        <v>3.1574382095289864E-2</v>
      </c>
      <c r="W423" s="1">
        <f t="shared" si="109"/>
        <v>4.0360367639778717E-2</v>
      </c>
      <c r="Y423" s="1" t="s">
        <v>59</v>
      </c>
      <c r="Z423" s="1">
        <f t="shared" si="110"/>
        <v>1.7149858514250913E-2</v>
      </c>
      <c r="AA423" s="1">
        <f t="shared" si="111"/>
        <v>4.642508035118266E-3</v>
      </c>
      <c r="AB423" s="1">
        <f t="shared" si="112"/>
        <v>9.4723146285869593E-3</v>
      </c>
      <c r="AC423" s="1">
        <f t="shared" si="113"/>
        <v>8.0720735279557441E-3</v>
      </c>
      <c r="AK423" s="17" t="s">
        <v>1012</v>
      </c>
      <c r="AL423" s="17">
        <f t="shared" si="114"/>
        <v>1.7604132054794705E-2</v>
      </c>
      <c r="AM423" s="17">
        <f t="shared" si="115"/>
        <v>2.0369252343200368E-2</v>
      </c>
      <c r="AO423" s="17" t="s">
        <v>1724</v>
      </c>
      <c r="AP423" s="17">
        <f t="shared" si="116"/>
        <v>1.1774414828740176</v>
      </c>
      <c r="AR423" s="1" t="s">
        <v>59</v>
      </c>
      <c r="AS423" s="17">
        <f t="shared" si="117"/>
        <v>1.1774414828740176</v>
      </c>
      <c r="AT423" s="17">
        <f t="shared" si="118"/>
        <v>91</v>
      </c>
    </row>
    <row r="424" spans="6:46" x14ac:dyDescent="0.3">
      <c r="F424" s="1">
        <v>422</v>
      </c>
      <c r="G424" s="1" t="s">
        <v>59</v>
      </c>
      <c r="H424" s="1">
        <v>4</v>
      </c>
      <c r="I424" s="1">
        <v>50</v>
      </c>
      <c r="J424" s="1">
        <v>2</v>
      </c>
      <c r="K424" s="1">
        <v>3</v>
      </c>
      <c r="M424" s="1" t="s">
        <v>59</v>
      </c>
      <c r="N424" s="1">
        <f t="shared" si="102"/>
        <v>0.5714285714285714</v>
      </c>
      <c r="O424" s="1">
        <f t="shared" si="103"/>
        <v>0.47619047619047616</v>
      </c>
      <c r="P424" s="1">
        <f t="shared" si="104"/>
        <v>0.5</v>
      </c>
      <c r="Q424" s="1">
        <f t="shared" si="105"/>
        <v>1</v>
      </c>
      <c r="S424" s="1" t="s">
        <v>59</v>
      </c>
      <c r="T424" s="1">
        <f t="shared" si="106"/>
        <v>5.7166195047503046E-2</v>
      </c>
      <c r="U424" s="1">
        <f t="shared" si="107"/>
        <v>3.6269594024361446E-2</v>
      </c>
      <c r="V424" s="1">
        <f t="shared" si="108"/>
        <v>3.1574382095289864E-2</v>
      </c>
      <c r="W424" s="1">
        <f t="shared" si="109"/>
        <v>4.0360367639778717E-2</v>
      </c>
      <c r="Y424" s="1" t="s">
        <v>59</v>
      </c>
      <c r="Z424" s="1">
        <f t="shared" si="110"/>
        <v>1.7149858514250913E-2</v>
      </c>
      <c r="AA424" s="1">
        <f t="shared" si="111"/>
        <v>7.2539188048722893E-3</v>
      </c>
      <c r="AB424" s="1">
        <f t="shared" si="112"/>
        <v>9.4723146285869593E-3</v>
      </c>
      <c r="AC424" s="1">
        <f t="shared" si="113"/>
        <v>8.0720735279557441E-3</v>
      </c>
      <c r="AK424" s="17" t="s">
        <v>1013</v>
      </c>
      <c r="AL424" s="17">
        <f t="shared" si="114"/>
        <v>1.616822449981261E-2</v>
      </c>
      <c r="AM424" s="17">
        <f t="shared" si="115"/>
        <v>2.0719630592878506E-2</v>
      </c>
      <c r="AO424" s="17" t="s">
        <v>1725</v>
      </c>
      <c r="AP424" s="17">
        <f t="shared" si="116"/>
        <v>1.3022227785185303</v>
      </c>
      <c r="AR424" s="1" t="s">
        <v>59</v>
      </c>
      <c r="AS424" s="17">
        <f t="shared" si="117"/>
        <v>1.3022227785185303</v>
      </c>
      <c r="AT424" s="17">
        <f t="shared" si="118"/>
        <v>62</v>
      </c>
    </row>
    <row r="425" spans="6:46" x14ac:dyDescent="0.3">
      <c r="F425" s="1">
        <v>423</v>
      </c>
      <c r="G425" s="1" t="s">
        <v>351</v>
      </c>
      <c r="H425" s="1">
        <v>3</v>
      </c>
      <c r="I425" s="1">
        <v>40</v>
      </c>
      <c r="J425" s="1">
        <v>3</v>
      </c>
      <c r="K425" s="1">
        <v>3</v>
      </c>
      <c r="M425" s="1" t="s">
        <v>351</v>
      </c>
      <c r="N425" s="1">
        <f t="shared" si="102"/>
        <v>0.42857142857142855</v>
      </c>
      <c r="O425" s="1">
        <f t="shared" si="103"/>
        <v>0.38095238095238093</v>
      </c>
      <c r="P425" s="1">
        <f t="shared" si="104"/>
        <v>0.33333333333333331</v>
      </c>
      <c r="Q425" s="1">
        <f t="shared" si="105"/>
        <v>1</v>
      </c>
      <c r="S425" s="1" t="s">
        <v>351</v>
      </c>
      <c r="T425" s="1">
        <f t="shared" si="106"/>
        <v>4.2874646285627281E-2</v>
      </c>
      <c r="U425" s="1">
        <f t="shared" si="107"/>
        <v>2.9015675219489157E-2</v>
      </c>
      <c r="V425" s="1">
        <f t="shared" si="108"/>
        <v>2.1049588063526574E-2</v>
      </c>
      <c r="W425" s="1">
        <f t="shared" si="109"/>
        <v>4.0360367639778717E-2</v>
      </c>
      <c r="Y425" s="1" t="s">
        <v>351</v>
      </c>
      <c r="Z425" s="1">
        <f t="shared" si="110"/>
        <v>1.2862393885688184E-2</v>
      </c>
      <c r="AA425" s="1">
        <f t="shared" si="111"/>
        <v>5.8031350438978316E-3</v>
      </c>
      <c r="AB425" s="1">
        <f t="shared" si="112"/>
        <v>6.314876419057972E-3</v>
      </c>
      <c r="AC425" s="1">
        <f t="shared" si="113"/>
        <v>8.0720735279557441E-3</v>
      </c>
      <c r="AK425" s="17" t="s">
        <v>1014</v>
      </c>
      <c r="AL425" s="17">
        <f t="shared" si="114"/>
        <v>1.973384794194177E-2</v>
      </c>
      <c r="AM425" s="17">
        <f t="shared" si="115"/>
        <v>1.8992908556852827E-2</v>
      </c>
      <c r="AO425" s="17" t="s">
        <v>1726</v>
      </c>
      <c r="AP425" s="17">
        <f t="shared" si="116"/>
        <v>0.98144628372885012</v>
      </c>
      <c r="AR425" s="1" t="s">
        <v>351</v>
      </c>
      <c r="AS425" s="17">
        <f t="shared" si="117"/>
        <v>0.98144628372885012</v>
      </c>
      <c r="AT425" s="17">
        <f t="shared" si="118"/>
        <v>142</v>
      </c>
    </row>
    <row r="426" spans="6:46" x14ac:dyDescent="0.3">
      <c r="F426" s="1">
        <v>424</v>
      </c>
      <c r="G426" s="1" t="s">
        <v>352</v>
      </c>
      <c r="H426" s="1">
        <v>4</v>
      </c>
      <c r="I426" s="1">
        <v>35</v>
      </c>
      <c r="J426" s="1">
        <v>2</v>
      </c>
      <c r="K426" s="1">
        <v>3</v>
      </c>
      <c r="M426" s="1" t="s">
        <v>352</v>
      </c>
      <c r="N426" s="1">
        <f t="shared" si="102"/>
        <v>0.5714285714285714</v>
      </c>
      <c r="O426" s="1">
        <f t="shared" si="103"/>
        <v>0.33333333333333331</v>
      </c>
      <c r="P426" s="1">
        <f t="shared" si="104"/>
        <v>0.5</v>
      </c>
      <c r="Q426" s="1">
        <f t="shared" si="105"/>
        <v>1</v>
      </c>
      <c r="S426" s="1" t="s">
        <v>352</v>
      </c>
      <c r="T426" s="1">
        <f t="shared" si="106"/>
        <v>5.7166195047503046E-2</v>
      </c>
      <c r="U426" s="1">
        <f t="shared" si="107"/>
        <v>2.5388715817053011E-2</v>
      </c>
      <c r="V426" s="1">
        <f t="shared" si="108"/>
        <v>3.1574382095289864E-2</v>
      </c>
      <c r="W426" s="1">
        <f t="shared" si="109"/>
        <v>4.0360367639778717E-2</v>
      </c>
      <c r="Y426" s="1" t="s">
        <v>352</v>
      </c>
      <c r="Z426" s="1">
        <f t="shared" si="110"/>
        <v>1.7149858514250913E-2</v>
      </c>
      <c r="AA426" s="1">
        <f t="shared" si="111"/>
        <v>5.0777431634106028E-3</v>
      </c>
      <c r="AB426" s="1">
        <f t="shared" si="112"/>
        <v>9.4723146285869593E-3</v>
      </c>
      <c r="AC426" s="1">
        <f t="shared" si="113"/>
        <v>8.0720735279557441E-3</v>
      </c>
      <c r="AK426" s="17" t="s">
        <v>1015</v>
      </c>
      <c r="AL426" s="17">
        <f t="shared" si="114"/>
        <v>1.7345777209370028E-2</v>
      </c>
      <c r="AM426" s="17">
        <f t="shared" si="115"/>
        <v>2.0404870368383565E-2</v>
      </c>
      <c r="AO426" s="17" t="s">
        <v>1727</v>
      </c>
      <c r="AP426" s="17">
        <f t="shared" si="116"/>
        <v>1.1967644028407043</v>
      </c>
      <c r="AR426" s="1" t="s">
        <v>352</v>
      </c>
      <c r="AS426" s="17">
        <f t="shared" si="117"/>
        <v>1.1967644028407043</v>
      </c>
      <c r="AT426" s="17">
        <f t="shared" si="118"/>
        <v>86</v>
      </c>
    </row>
    <row r="427" spans="6:46" x14ac:dyDescent="0.3">
      <c r="F427" s="1">
        <v>425</v>
      </c>
      <c r="G427" s="1" t="s">
        <v>65</v>
      </c>
      <c r="H427" s="1">
        <v>3</v>
      </c>
      <c r="I427" s="1">
        <v>40</v>
      </c>
      <c r="J427" s="1">
        <v>2</v>
      </c>
      <c r="K427" s="1">
        <v>3</v>
      </c>
      <c r="M427" s="1" t="s">
        <v>65</v>
      </c>
      <c r="N427" s="1">
        <f t="shared" si="102"/>
        <v>0.42857142857142855</v>
      </c>
      <c r="O427" s="1">
        <f t="shared" si="103"/>
        <v>0.38095238095238093</v>
      </c>
      <c r="P427" s="1">
        <f t="shared" si="104"/>
        <v>0.5</v>
      </c>
      <c r="Q427" s="1">
        <f t="shared" si="105"/>
        <v>1</v>
      </c>
      <c r="S427" s="1" t="s">
        <v>65</v>
      </c>
      <c r="T427" s="1">
        <f t="shared" si="106"/>
        <v>4.2874646285627281E-2</v>
      </c>
      <c r="U427" s="1">
        <f t="shared" si="107"/>
        <v>2.9015675219489157E-2</v>
      </c>
      <c r="V427" s="1">
        <f t="shared" si="108"/>
        <v>3.1574382095289864E-2</v>
      </c>
      <c r="W427" s="1">
        <f t="shared" si="109"/>
        <v>4.0360367639778717E-2</v>
      </c>
      <c r="Y427" s="1" t="s">
        <v>65</v>
      </c>
      <c r="Z427" s="1">
        <f t="shared" si="110"/>
        <v>1.2862393885688184E-2</v>
      </c>
      <c r="AA427" s="1">
        <f t="shared" si="111"/>
        <v>5.8031350438978316E-3</v>
      </c>
      <c r="AB427" s="1">
        <f t="shared" si="112"/>
        <v>9.4723146285869593E-3</v>
      </c>
      <c r="AC427" s="1">
        <f t="shared" si="113"/>
        <v>8.0720735279557441E-3</v>
      </c>
      <c r="AK427" s="17" t="s">
        <v>1016</v>
      </c>
      <c r="AL427" s="17">
        <f t="shared" si="114"/>
        <v>2.0380020518092293E-2</v>
      </c>
      <c r="AM427" s="17">
        <f t="shared" si="115"/>
        <v>1.7057100079439589E-2</v>
      </c>
      <c r="AO427" s="17" t="s">
        <v>1728</v>
      </c>
      <c r="AP427" s="17">
        <f t="shared" si="116"/>
        <v>0.85400915634931462</v>
      </c>
      <c r="AR427" s="1" t="s">
        <v>65</v>
      </c>
      <c r="AS427" s="17">
        <f t="shared" si="117"/>
        <v>0.85400915634931462</v>
      </c>
      <c r="AT427" s="17">
        <f t="shared" si="118"/>
        <v>247</v>
      </c>
    </row>
    <row r="428" spans="6:46" x14ac:dyDescent="0.3">
      <c r="F428" s="1">
        <v>426</v>
      </c>
      <c r="G428" s="1" t="s">
        <v>353</v>
      </c>
      <c r="H428" s="1">
        <v>3</v>
      </c>
      <c r="I428" s="1">
        <v>40</v>
      </c>
      <c r="J428" s="1">
        <v>2</v>
      </c>
      <c r="K428" s="1">
        <v>3</v>
      </c>
      <c r="M428" s="1" t="s">
        <v>353</v>
      </c>
      <c r="N428" s="1">
        <f t="shared" si="102"/>
        <v>0.42857142857142855</v>
      </c>
      <c r="O428" s="1">
        <f t="shared" si="103"/>
        <v>0.38095238095238093</v>
      </c>
      <c r="P428" s="1">
        <f t="shared" si="104"/>
        <v>0.5</v>
      </c>
      <c r="Q428" s="1">
        <f t="shared" si="105"/>
        <v>1</v>
      </c>
      <c r="S428" s="1" t="s">
        <v>353</v>
      </c>
      <c r="T428" s="1">
        <f t="shared" si="106"/>
        <v>4.2874646285627281E-2</v>
      </c>
      <c r="U428" s="1">
        <f t="shared" si="107"/>
        <v>2.9015675219489157E-2</v>
      </c>
      <c r="V428" s="1">
        <f t="shared" si="108"/>
        <v>3.1574382095289864E-2</v>
      </c>
      <c r="W428" s="1">
        <f t="shared" si="109"/>
        <v>4.0360367639778717E-2</v>
      </c>
      <c r="Y428" s="1" t="s">
        <v>353</v>
      </c>
      <c r="Z428" s="1">
        <f t="shared" si="110"/>
        <v>1.2862393885688184E-2</v>
      </c>
      <c r="AA428" s="1">
        <f t="shared" si="111"/>
        <v>5.8031350438978316E-3</v>
      </c>
      <c r="AB428" s="1">
        <f t="shared" si="112"/>
        <v>9.4723146285869593E-3</v>
      </c>
      <c r="AC428" s="1">
        <f t="shared" si="113"/>
        <v>8.0720735279557441E-3</v>
      </c>
      <c r="AK428" s="17" t="s">
        <v>1017</v>
      </c>
      <c r="AL428" s="17">
        <f t="shared" si="114"/>
        <v>2.0380020518092293E-2</v>
      </c>
      <c r="AM428" s="17">
        <f t="shared" si="115"/>
        <v>1.7057100079439589E-2</v>
      </c>
      <c r="AO428" s="17" t="s">
        <v>1729</v>
      </c>
      <c r="AP428" s="17">
        <f t="shared" si="116"/>
        <v>0.85400915634931462</v>
      </c>
      <c r="AR428" s="1" t="s">
        <v>353</v>
      </c>
      <c r="AS428" s="17">
        <f t="shared" si="117"/>
        <v>0.85400915634931462</v>
      </c>
      <c r="AT428" s="17">
        <f t="shared" si="118"/>
        <v>247</v>
      </c>
    </row>
    <row r="429" spans="6:46" x14ac:dyDescent="0.3">
      <c r="F429" s="1">
        <v>427</v>
      </c>
      <c r="G429" s="1" t="s">
        <v>353</v>
      </c>
      <c r="H429" s="1">
        <v>4</v>
      </c>
      <c r="I429" s="1">
        <v>51</v>
      </c>
      <c r="J429" s="1">
        <v>2</v>
      </c>
      <c r="K429" s="1">
        <v>3</v>
      </c>
      <c r="M429" s="1" t="s">
        <v>353</v>
      </c>
      <c r="N429" s="1">
        <f t="shared" si="102"/>
        <v>0.5714285714285714</v>
      </c>
      <c r="O429" s="1">
        <f t="shared" si="103"/>
        <v>0.48571428571428571</v>
      </c>
      <c r="P429" s="1">
        <f t="shared" si="104"/>
        <v>0.5</v>
      </c>
      <c r="Q429" s="1">
        <f t="shared" si="105"/>
        <v>1</v>
      </c>
      <c r="S429" s="1" t="s">
        <v>353</v>
      </c>
      <c r="T429" s="1">
        <f t="shared" si="106"/>
        <v>5.7166195047503046E-2</v>
      </c>
      <c r="U429" s="1">
        <f t="shared" si="107"/>
        <v>3.6994985904848676E-2</v>
      </c>
      <c r="V429" s="1">
        <f t="shared" si="108"/>
        <v>3.1574382095289864E-2</v>
      </c>
      <c r="W429" s="1">
        <f t="shared" si="109"/>
        <v>4.0360367639778717E-2</v>
      </c>
      <c r="Y429" s="1" t="s">
        <v>353</v>
      </c>
      <c r="Z429" s="1">
        <f t="shared" si="110"/>
        <v>1.7149858514250913E-2</v>
      </c>
      <c r="AA429" s="1">
        <f t="shared" si="111"/>
        <v>7.3989971809697358E-3</v>
      </c>
      <c r="AB429" s="1">
        <f t="shared" si="112"/>
        <v>9.4723146285869593E-3</v>
      </c>
      <c r="AC429" s="1">
        <f t="shared" si="113"/>
        <v>8.0720735279557441E-3</v>
      </c>
      <c r="AK429" s="17" t="s">
        <v>1018</v>
      </c>
      <c r="AL429" s="17">
        <f t="shared" si="114"/>
        <v>1.6097120249856305E-2</v>
      </c>
      <c r="AM429" s="17">
        <f t="shared" si="115"/>
        <v>2.0748561704667098E-2</v>
      </c>
      <c r="AO429" s="17" t="s">
        <v>1730</v>
      </c>
      <c r="AP429" s="17">
        <f t="shared" si="116"/>
        <v>1.3097096542859512</v>
      </c>
      <c r="AR429" s="1" t="s">
        <v>353</v>
      </c>
      <c r="AS429" s="17">
        <f t="shared" si="117"/>
        <v>1.3097096542859512</v>
      </c>
      <c r="AT429" s="17">
        <f t="shared" si="118"/>
        <v>59</v>
      </c>
    </row>
    <row r="430" spans="6:46" x14ac:dyDescent="0.3">
      <c r="F430" s="1">
        <v>428</v>
      </c>
      <c r="G430" s="1" t="s">
        <v>67</v>
      </c>
      <c r="H430" s="1">
        <v>1</v>
      </c>
      <c r="I430" s="1">
        <v>60</v>
      </c>
      <c r="J430" s="1">
        <v>2</v>
      </c>
      <c r="K430" s="1">
        <v>3</v>
      </c>
      <c r="M430" s="1" t="s">
        <v>67</v>
      </c>
      <c r="N430" s="1">
        <f t="shared" si="102"/>
        <v>0.14285714285714285</v>
      </c>
      <c r="O430" s="1">
        <f t="shared" si="103"/>
        <v>0.5714285714285714</v>
      </c>
      <c r="P430" s="1">
        <f t="shared" si="104"/>
        <v>0.5</v>
      </c>
      <c r="Q430" s="1">
        <f t="shared" si="105"/>
        <v>1</v>
      </c>
      <c r="S430" s="1" t="s">
        <v>67</v>
      </c>
      <c r="T430" s="1">
        <f t="shared" si="106"/>
        <v>1.4291548761875762E-2</v>
      </c>
      <c r="U430" s="1">
        <f t="shared" si="107"/>
        <v>4.3523512829233738E-2</v>
      </c>
      <c r="V430" s="1">
        <f t="shared" si="108"/>
        <v>3.1574382095289864E-2</v>
      </c>
      <c r="W430" s="1">
        <f t="shared" si="109"/>
        <v>4.0360367639778717E-2</v>
      </c>
      <c r="Y430" s="1" t="s">
        <v>67</v>
      </c>
      <c r="Z430" s="1">
        <f t="shared" si="110"/>
        <v>4.2874646285627283E-3</v>
      </c>
      <c r="AA430" s="1">
        <f t="shared" si="111"/>
        <v>8.7047025658467479E-3</v>
      </c>
      <c r="AB430" s="1">
        <f t="shared" si="112"/>
        <v>9.4723146285869593E-3</v>
      </c>
      <c r="AC430" s="1">
        <f t="shared" si="113"/>
        <v>8.0720735279557441E-3</v>
      </c>
      <c r="AK430" s="17" t="s">
        <v>1019</v>
      </c>
      <c r="AL430" s="17">
        <f t="shared" si="114"/>
        <v>2.7141983672477499E-2</v>
      </c>
      <c r="AM430" s="17">
        <f t="shared" si="115"/>
        <v>1.2940606748796844E-2</v>
      </c>
      <c r="AO430" s="17" t="s">
        <v>1731</v>
      </c>
      <c r="AP430" s="17">
        <f t="shared" si="116"/>
        <v>0.48971514559427082</v>
      </c>
      <c r="AR430" s="1" t="s">
        <v>67</v>
      </c>
      <c r="AS430" s="17">
        <f t="shared" si="117"/>
        <v>0.48971514559427082</v>
      </c>
      <c r="AT430" s="17">
        <f t="shared" si="118"/>
        <v>544</v>
      </c>
    </row>
    <row r="431" spans="6:46" x14ac:dyDescent="0.3">
      <c r="F431" s="1">
        <v>429</v>
      </c>
      <c r="G431" s="1" t="s">
        <v>354</v>
      </c>
      <c r="H431" s="1">
        <v>1</v>
      </c>
      <c r="I431" s="1">
        <v>67</v>
      </c>
      <c r="J431" s="1">
        <v>2</v>
      </c>
      <c r="K431" s="1">
        <v>3</v>
      </c>
      <c r="M431" s="1" t="s">
        <v>354</v>
      </c>
      <c r="N431" s="1">
        <f t="shared" si="102"/>
        <v>0.14285714285714285</v>
      </c>
      <c r="O431" s="1">
        <f t="shared" si="103"/>
        <v>0.63809523809523805</v>
      </c>
      <c r="P431" s="1">
        <f t="shared" si="104"/>
        <v>0.5</v>
      </c>
      <c r="Q431" s="1">
        <f t="shared" si="105"/>
        <v>1</v>
      </c>
      <c r="S431" s="1" t="s">
        <v>354</v>
      </c>
      <c r="T431" s="1">
        <f t="shared" si="106"/>
        <v>1.4291548761875762E-2</v>
      </c>
      <c r="U431" s="1">
        <f t="shared" si="107"/>
        <v>4.8601255992644338E-2</v>
      </c>
      <c r="V431" s="1">
        <f t="shared" si="108"/>
        <v>3.1574382095289864E-2</v>
      </c>
      <c r="W431" s="1">
        <f t="shared" si="109"/>
        <v>4.0360367639778717E-2</v>
      </c>
      <c r="Y431" s="1" t="s">
        <v>354</v>
      </c>
      <c r="Z431" s="1">
        <f t="shared" si="110"/>
        <v>4.2874646285627283E-3</v>
      </c>
      <c r="AA431" s="1">
        <f t="shared" si="111"/>
        <v>9.7202511985288679E-3</v>
      </c>
      <c r="AB431" s="1">
        <f t="shared" si="112"/>
        <v>9.4723146285869593E-3</v>
      </c>
      <c r="AC431" s="1">
        <f t="shared" si="113"/>
        <v>8.0720735279557441E-3</v>
      </c>
      <c r="AK431" s="17" t="s">
        <v>1020</v>
      </c>
      <c r="AL431" s="17">
        <f t="shared" si="114"/>
        <v>2.6915767563259318E-2</v>
      </c>
      <c r="AM431" s="17">
        <f t="shared" si="115"/>
        <v>1.3404776655529893E-2</v>
      </c>
      <c r="AO431" s="17" t="s">
        <v>1732</v>
      </c>
      <c r="AP431" s="17">
        <f t="shared" si="116"/>
        <v>0.51143169058339943</v>
      </c>
      <c r="AR431" s="1" t="s">
        <v>354</v>
      </c>
      <c r="AS431" s="17">
        <f t="shared" si="117"/>
        <v>0.51143169058339943</v>
      </c>
      <c r="AT431" s="17">
        <f t="shared" si="118"/>
        <v>524</v>
      </c>
    </row>
    <row r="432" spans="6:46" x14ac:dyDescent="0.3">
      <c r="F432" s="1">
        <v>430</v>
      </c>
      <c r="G432" s="1" t="s">
        <v>355</v>
      </c>
      <c r="H432" s="1">
        <v>2</v>
      </c>
      <c r="I432" s="1">
        <v>50</v>
      </c>
      <c r="J432" s="1">
        <v>5</v>
      </c>
      <c r="K432" s="1">
        <v>3</v>
      </c>
      <c r="M432" s="1" t="s">
        <v>355</v>
      </c>
      <c r="N432" s="1">
        <f t="shared" si="102"/>
        <v>0.2857142857142857</v>
      </c>
      <c r="O432" s="1">
        <f t="shared" si="103"/>
        <v>0.47619047619047616</v>
      </c>
      <c r="P432" s="1">
        <f t="shared" si="104"/>
        <v>0.2</v>
      </c>
      <c r="Q432" s="1">
        <f t="shared" si="105"/>
        <v>1</v>
      </c>
      <c r="S432" s="1" t="s">
        <v>355</v>
      </c>
      <c r="T432" s="1">
        <f t="shared" si="106"/>
        <v>2.8583097523751523E-2</v>
      </c>
      <c r="U432" s="1">
        <f t="shared" si="107"/>
        <v>3.6269594024361446E-2</v>
      </c>
      <c r="V432" s="1">
        <f t="shared" si="108"/>
        <v>1.2629752838115946E-2</v>
      </c>
      <c r="W432" s="1">
        <f t="shared" si="109"/>
        <v>4.0360367639778717E-2</v>
      </c>
      <c r="Y432" s="1" t="s">
        <v>355</v>
      </c>
      <c r="Z432" s="1">
        <f t="shared" si="110"/>
        <v>8.5749292571254566E-3</v>
      </c>
      <c r="AA432" s="1">
        <f t="shared" si="111"/>
        <v>7.2539188048722893E-3</v>
      </c>
      <c r="AB432" s="1">
        <f t="shared" si="112"/>
        <v>3.7889258514347836E-3</v>
      </c>
      <c r="AC432" s="1">
        <f t="shared" si="113"/>
        <v>8.0720735279557441E-3</v>
      </c>
      <c r="AK432" s="17" t="s">
        <v>1021</v>
      </c>
      <c r="AL432" s="17">
        <f t="shared" si="114"/>
        <v>2.287418244534449E-2</v>
      </c>
      <c r="AM432" s="17">
        <f t="shared" si="115"/>
        <v>1.8673121268577966E-2</v>
      </c>
      <c r="AO432" s="17" t="s">
        <v>1733</v>
      </c>
      <c r="AP432" s="17">
        <f t="shared" si="116"/>
        <v>0.83501360964211757</v>
      </c>
      <c r="AR432" s="1" t="s">
        <v>355</v>
      </c>
      <c r="AS432" s="17">
        <f t="shared" si="117"/>
        <v>0.83501360964211757</v>
      </c>
      <c r="AT432" s="17">
        <f t="shared" si="118"/>
        <v>287</v>
      </c>
    </row>
    <row r="433" spans="6:46" x14ac:dyDescent="0.3">
      <c r="F433" s="1">
        <v>431</v>
      </c>
      <c r="G433" s="1" t="s">
        <v>72</v>
      </c>
      <c r="H433" s="1">
        <v>2</v>
      </c>
      <c r="I433" s="1">
        <v>75</v>
      </c>
      <c r="J433" s="1">
        <v>2</v>
      </c>
      <c r="K433" s="1">
        <v>3</v>
      </c>
      <c r="M433" s="1" t="s">
        <v>72</v>
      </c>
      <c r="N433" s="1">
        <f t="shared" si="102"/>
        <v>0.2857142857142857</v>
      </c>
      <c r="O433" s="1">
        <f t="shared" si="103"/>
        <v>0.7142857142857143</v>
      </c>
      <c r="P433" s="1">
        <f t="shared" si="104"/>
        <v>0.5</v>
      </c>
      <c r="Q433" s="1">
        <f t="shared" si="105"/>
        <v>1</v>
      </c>
      <c r="S433" s="1" t="s">
        <v>72</v>
      </c>
      <c r="T433" s="1">
        <f t="shared" si="106"/>
        <v>2.8583097523751523E-2</v>
      </c>
      <c r="U433" s="1">
        <f t="shared" si="107"/>
        <v>5.4404391036542175E-2</v>
      </c>
      <c r="V433" s="1">
        <f t="shared" si="108"/>
        <v>3.1574382095289864E-2</v>
      </c>
      <c r="W433" s="1">
        <f t="shared" si="109"/>
        <v>4.0360367639778717E-2</v>
      </c>
      <c r="Y433" s="1" t="s">
        <v>72</v>
      </c>
      <c r="Z433" s="1">
        <f t="shared" si="110"/>
        <v>8.5749292571254566E-3</v>
      </c>
      <c r="AA433" s="1">
        <f t="shared" si="111"/>
        <v>1.0880878207308436E-2</v>
      </c>
      <c r="AB433" s="1">
        <f t="shared" si="112"/>
        <v>9.4723146285869593E-3</v>
      </c>
      <c r="AC433" s="1">
        <f t="shared" si="113"/>
        <v>8.0720735279557441E-3</v>
      </c>
      <c r="AK433" s="17" t="s">
        <v>1022</v>
      </c>
      <c r="AL433" s="17">
        <f t="shared" si="114"/>
        <v>2.2600944520343336E-2</v>
      </c>
      <c r="AM433" s="17">
        <f t="shared" si="115"/>
        <v>1.5853596450447739E-2</v>
      </c>
      <c r="AO433" s="17" t="s">
        <v>1734</v>
      </c>
      <c r="AP433" s="17">
        <f t="shared" si="116"/>
        <v>0.71731084909658194</v>
      </c>
      <c r="AR433" s="1" t="s">
        <v>72</v>
      </c>
      <c r="AS433" s="17">
        <f t="shared" si="117"/>
        <v>0.71731084909658194</v>
      </c>
      <c r="AT433" s="17">
        <f t="shared" si="118"/>
        <v>332</v>
      </c>
    </row>
    <row r="434" spans="6:46" x14ac:dyDescent="0.3">
      <c r="F434" s="1">
        <v>432</v>
      </c>
      <c r="G434" s="1" t="s">
        <v>72</v>
      </c>
      <c r="H434" s="1">
        <v>3</v>
      </c>
      <c r="I434" s="1">
        <v>43</v>
      </c>
      <c r="J434" s="1">
        <v>2</v>
      </c>
      <c r="K434" s="1">
        <v>3</v>
      </c>
      <c r="M434" s="1" t="s">
        <v>72</v>
      </c>
      <c r="N434" s="1">
        <f t="shared" si="102"/>
        <v>0.42857142857142855</v>
      </c>
      <c r="O434" s="1">
        <f t="shared" si="103"/>
        <v>0.40952380952380951</v>
      </c>
      <c r="P434" s="1">
        <f t="shared" si="104"/>
        <v>0.5</v>
      </c>
      <c r="Q434" s="1">
        <f t="shared" si="105"/>
        <v>1</v>
      </c>
      <c r="S434" s="1" t="s">
        <v>72</v>
      </c>
      <c r="T434" s="1">
        <f t="shared" si="106"/>
        <v>4.2874646285627281E-2</v>
      </c>
      <c r="U434" s="1">
        <f t="shared" si="107"/>
        <v>3.1191850860950845E-2</v>
      </c>
      <c r="V434" s="1">
        <f t="shared" si="108"/>
        <v>3.1574382095289864E-2</v>
      </c>
      <c r="W434" s="1">
        <f t="shared" si="109"/>
        <v>4.0360367639778717E-2</v>
      </c>
      <c r="Y434" s="1" t="s">
        <v>72</v>
      </c>
      <c r="Z434" s="1">
        <f t="shared" si="110"/>
        <v>1.2862393885688184E-2</v>
      </c>
      <c r="AA434" s="1">
        <f t="shared" si="111"/>
        <v>6.2383701721901693E-3</v>
      </c>
      <c r="AB434" s="1">
        <f t="shared" si="112"/>
        <v>9.4723146285869593E-3</v>
      </c>
      <c r="AC434" s="1">
        <f t="shared" si="113"/>
        <v>8.0720735279557441E-3</v>
      </c>
      <c r="AK434" s="17" t="s">
        <v>1023</v>
      </c>
      <c r="AL434" s="17">
        <f t="shared" si="114"/>
        <v>2.0182320213554348E-2</v>
      </c>
      <c r="AM434" s="17">
        <f t="shared" si="115"/>
        <v>1.7129134483087973E-2</v>
      </c>
      <c r="AO434" s="17" t="s">
        <v>1735</v>
      </c>
      <c r="AP434" s="17">
        <f t="shared" si="116"/>
        <v>0.86584892001023117</v>
      </c>
      <c r="AR434" s="1" t="s">
        <v>72</v>
      </c>
      <c r="AS434" s="17">
        <f t="shared" si="117"/>
        <v>0.86584892001023117</v>
      </c>
      <c r="AT434" s="17">
        <f t="shared" si="118"/>
        <v>222</v>
      </c>
    </row>
    <row r="435" spans="6:46" x14ac:dyDescent="0.3">
      <c r="F435" s="1">
        <v>433</v>
      </c>
      <c r="G435" s="1" t="s">
        <v>356</v>
      </c>
      <c r="H435" s="1">
        <v>3</v>
      </c>
      <c r="I435" s="1">
        <v>36</v>
      </c>
      <c r="J435" s="1">
        <v>2</v>
      </c>
      <c r="K435" s="1">
        <v>3</v>
      </c>
      <c r="M435" s="1" t="s">
        <v>356</v>
      </c>
      <c r="N435" s="1">
        <f t="shared" si="102"/>
        <v>0.42857142857142855</v>
      </c>
      <c r="O435" s="1">
        <f t="shared" si="103"/>
        <v>0.34285714285714286</v>
      </c>
      <c r="P435" s="1">
        <f t="shared" si="104"/>
        <v>0.5</v>
      </c>
      <c r="Q435" s="1">
        <f t="shared" si="105"/>
        <v>1</v>
      </c>
      <c r="S435" s="1" t="s">
        <v>356</v>
      </c>
      <c r="T435" s="1">
        <f t="shared" si="106"/>
        <v>4.2874646285627281E-2</v>
      </c>
      <c r="U435" s="1">
        <f t="shared" si="107"/>
        <v>2.6114107697540242E-2</v>
      </c>
      <c r="V435" s="1">
        <f t="shared" si="108"/>
        <v>3.1574382095289864E-2</v>
      </c>
      <c r="W435" s="1">
        <f t="shared" si="109"/>
        <v>4.0360367639778717E-2</v>
      </c>
      <c r="Y435" s="1" t="s">
        <v>356</v>
      </c>
      <c r="Z435" s="1">
        <f t="shared" si="110"/>
        <v>1.2862393885688184E-2</v>
      </c>
      <c r="AA435" s="1">
        <f t="shared" si="111"/>
        <v>5.2228215395080484E-3</v>
      </c>
      <c r="AB435" s="1">
        <f t="shared" si="112"/>
        <v>9.4723146285869593E-3</v>
      </c>
      <c r="AC435" s="1">
        <f t="shared" si="113"/>
        <v>8.0720735279557441E-3</v>
      </c>
      <c r="AK435" s="17" t="s">
        <v>1024</v>
      </c>
      <c r="AL435" s="17">
        <f t="shared" si="114"/>
        <v>2.0654946680904247E-2</v>
      </c>
      <c r="AM435" s="17">
        <f t="shared" si="115"/>
        <v>1.697794313257648E-2</v>
      </c>
      <c r="AO435" s="17" t="s">
        <v>1736</v>
      </c>
      <c r="AP435" s="17">
        <f t="shared" si="116"/>
        <v>0.83895746188257159</v>
      </c>
      <c r="AR435" s="1" t="s">
        <v>356</v>
      </c>
      <c r="AS435" s="17">
        <f t="shared" si="117"/>
        <v>0.83895746188257159</v>
      </c>
      <c r="AT435" s="17">
        <f t="shared" si="118"/>
        <v>276</v>
      </c>
    </row>
    <row r="436" spans="6:46" x14ac:dyDescent="0.3">
      <c r="F436" s="1">
        <v>434</v>
      </c>
      <c r="G436" s="1" t="s">
        <v>357</v>
      </c>
      <c r="H436" s="1">
        <v>3</v>
      </c>
      <c r="I436" s="1">
        <v>52</v>
      </c>
      <c r="J436" s="1">
        <v>1</v>
      </c>
      <c r="K436" s="1">
        <v>3</v>
      </c>
      <c r="M436" s="1" t="s">
        <v>357</v>
      </c>
      <c r="N436" s="1">
        <f t="shared" si="102"/>
        <v>0.42857142857142855</v>
      </c>
      <c r="O436" s="1">
        <f t="shared" si="103"/>
        <v>0.49523809523809526</v>
      </c>
      <c r="P436" s="1">
        <f t="shared" si="104"/>
        <v>1</v>
      </c>
      <c r="Q436" s="1">
        <f t="shared" si="105"/>
        <v>1</v>
      </c>
      <c r="S436" s="1" t="s">
        <v>357</v>
      </c>
      <c r="T436" s="1">
        <f t="shared" si="106"/>
        <v>4.2874646285627281E-2</v>
      </c>
      <c r="U436" s="1">
        <f t="shared" si="107"/>
        <v>3.7720377785335907E-2</v>
      </c>
      <c r="V436" s="1">
        <f t="shared" si="108"/>
        <v>6.3148764190579729E-2</v>
      </c>
      <c r="W436" s="1">
        <f t="shared" si="109"/>
        <v>4.0360367639778717E-2</v>
      </c>
      <c r="Y436" s="1" t="s">
        <v>357</v>
      </c>
      <c r="Z436" s="1">
        <f t="shared" si="110"/>
        <v>1.2862393885688184E-2</v>
      </c>
      <c r="AA436" s="1">
        <f t="shared" si="111"/>
        <v>7.5440755570671814E-3</v>
      </c>
      <c r="AB436" s="1">
        <f t="shared" si="112"/>
        <v>1.8944629257173919E-2</v>
      </c>
      <c r="AC436" s="1">
        <f t="shared" si="113"/>
        <v>8.0720735279557441E-3</v>
      </c>
      <c r="AK436" s="17" t="s">
        <v>1025</v>
      </c>
      <c r="AL436" s="17">
        <f t="shared" si="114"/>
        <v>2.4144069271551109E-2</v>
      </c>
      <c r="AM436" s="17">
        <f t="shared" si="115"/>
        <v>1.4606279956876529E-2</v>
      </c>
      <c r="AO436" s="17" t="s">
        <v>1737</v>
      </c>
      <c r="AP436" s="17">
        <f t="shared" si="116"/>
        <v>0.61956975121758362</v>
      </c>
      <c r="AR436" s="1" t="s">
        <v>357</v>
      </c>
      <c r="AS436" s="17">
        <f t="shared" si="117"/>
        <v>0.61956975121758362</v>
      </c>
      <c r="AT436" s="17">
        <f t="shared" si="118"/>
        <v>412</v>
      </c>
    </row>
    <row r="437" spans="6:46" x14ac:dyDescent="0.3">
      <c r="F437" s="1">
        <v>435</v>
      </c>
      <c r="G437" s="1" t="s">
        <v>358</v>
      </c>
      <c r="H437" s="1">
        <v>2</v>
      </c>
      <c r="I437" s="1">
        <v>64</v>
      </c>
      <c r="J437" s="1">
        <v>1</v>
      </c>
      <c r="K437" s="1">
        <v>2</v>
      </c>
      <c r="M437" s="1" t="s">
        <v>358</v>
      </c>
      <c r="N437" s="1">
        <f t="shared" si="102"/>
        <v>0.2857142857142857</v>
      </c>
      <c r="O437" s="1">
        <f t="shared" si="103"/>
        <v>0.60952380952380958</v>
      </c>
      <c r="P437" s="1">
        <f t="shared" si="104"/>
        <v>1</v>
      </c>
      <c r="Q437" s="1">
        <f t="shared" si="105"/>
        <v>0.66666666666666663</v>
      </c>
      <c r="S437" s="1" t="s">
        <v>358</v>
      </c>
      <c r="T437" s="1">
        <f t="shared" si="106"/>
        <v>2.8583097523751523E-2</v>
      </c>
      <c r="U437" s="1">
        <f t="shared" si="107"/>
        <v>4.642508035118266E-2</v>
      </c>
      <c r="V437" s="1">
        <f t="shared" si="108"/>
        <v>6.3148764190579729E-2</v>
      </c>
      <c r="W437" s="1">
        <f t="shared" si="109"/>
        <v>2.6906911759852478E-2</v>
      </c>
      <c r="Y437" s="1" t="s">
        <v>358</v>
      </c>
      <c r="Z437" s="1">
        <f t="shared" si="110"/>
        <v>8.5749292571254566E-3</v>
      </c>
      <c r="AA437" s="1">
        <f t="shared" si="111"/>
        <v>9.285016070236532E-3</v>
      </c>
      <c r="AB437" s="1">
        <f t="shared" si="112"/>
        <v>1.8944629257173919E-2</v>
      </c>
      <c r="AC437" s="1">
        <f t="shared" si="113"/>
        <v>5.3813823519704958E-3</v>
      </c>
      <c r="AK437" s="17" t="s">
        <v>1026</v>
      </c>
      <c r="AL437" s="17">
        <f t="shared" si="114"/>
        <v>2.7053192623911936E-2</v>
      </c>
      <c r="AM437" s="17">
        <f t="shared" si="115"/>
        <v>1.0858058559501413E-2</v>
      </c>
      <c r="AO437" s="17" t="s">
        <v>1738</v>
      </c>
      <c r="AP437" s="17">
        <f t="shared" si="116"/>
        <v>0.41221765816195743</v>
      </c>
      <c r="AR437" s="1" t="s">
        <v>358</v>
      </c>
      <c r="AS437" s="17">
        <f t="shared" si="117"/>
        <v>0.41221765816195743</v>
      </c>
      <c r="AT437" s="17">
        <f t="shared" si="118"/>
        <v>588</v>
      </c>
    </row>
    <row r="438" spans="6:46" x14ac:dyDescent="0.3">
      <c r="F438" s="1">
        <v>436</v>
      </c>
      <c r="G438" s="1" t="s">
        <v>358</v>
      </c>
      <c r="H438" s="1">
        <v>2</v>
      </c>
      <c r="I438" s="1">
        <v>61</v>
      </c>
      <c r="J438" s="1">
        <v>1</v>
      </c>
      <c r="K438" s="1">
        <v>2</v>
      </c>
      <c r="M438" s="1" t="s">
        <v>358</v>
      </c>
      <c r="N438" s="1">
        <f t="shared" si="102"/>
        <v>0.2857142857142857</v>
      </c>
      <c r="O438" s="1">
        <f t="shared" si="103"/>
        <v>0.580952380952381</v>
      </c>
      <c r="P438" s="1">
        <f t="shared" si="104"/>
        <v>1</v>
      </c>
      <c r="Q438" s="1">
        <f t="shared" si="105"/>
        <v>0.66666666666666663</v>
      </c>
      <c r="S438" s="1" t="s">
        <v>358</v>
      </c>
      <c r="T438" s="1">
        <f t="shared" si="106"/>
        <v>2.8583097523751523E-2</v>
      </c>
      <c r="U438" s="1">
        <f t="shared" si="107"/>
        <v>4.4248904709720968E-2</v>
      </c>
      <c r="V438" s="1">
        <f t="shared" si="108"/>
        <v>6.3148764190579729E-2</v>
      </c>
      <c r="W438" s="1">
        <f t="shared" si="109"/>
        <v>2.6906911759852478E-2</v>
      </c>
      <c r="Y438" s="1" t="s">
        <v>358</v>
      </c>
      <c r="Z438" s="1">
        <f t="shared" si="110"/>
        <v>8.5749292571254566E-3</v>
      </c>
      <c r="AA438" s="1">
        <f t="shared" si="111"/>
        <v>8.8497809419441943E-3</v>
      </c>
      <c r="AB438" s="1">
        <f t="shared" si="112"/>
        <v>1.8944629257173919E-2</v>
      </c>
      <c r="AC438" s="1">
        <f t="shared" si="113"/>
        <v>5.3813823519704958E-3</v>
      </c>
      <c r="AK438" s="17" t="s">
        <v>1027</v>
      </c>
      <c r="AL438" s="17">
        <f t="shared" si="114"/>
        <v>2.7152208080104764E-2</v>
      </c>
      <c r="AM438" s="17">
        <f t="shared" si="115"/>
        <v>1.0619926366282933E-2</v>
      </c>
      <c r="AO438" s="17" t="s">
        <v>1739</v>
      </c>
      <c r="AP438" s="17">
        <f t="shared" si="116"/>
        <v>0.40174562542368192</v>
      </c>
      <c r="AR438" s="1" t="s">
        <v>358</v>
      </c>
      <c r="AS438" s="17">
        <f t="shared" si="117"/>
        <v>0.40174562542368192</v>
      </c>
      <c r="AT438" s="17">
        <f t="shared" si="118"/>
        <v>598</v>
      </c>
    </row>
    <row r="439" spans="6:46" x14ac:dyDescent="0.3">
      <c r="F439" s="1">
        <v>437</v>
      </c>
      <c r="G439" s="1" t="s">
        <v>359</v>
      </c>
      <c r="H439" s="1">
        <v>1</v>
      </c>
      <c r="I439" s="1">
        <v>91</v>
      </c>
      <c r="J439" s="1">
        <v>2</v>
      </c>
      <c r="K439" s="1">
        <v>3</v>
      </c>
      <c r="M439" s="1" t="s">
        <v>359</v>
      </c>
      <c r="N439" s="1">
        <f t="shared" si="102"/>
        <v>0.14285714285714285</v>
      </c>
      <c r="O439" s="1">
        <f t="shared" si="103"/>
        <v>0.8666666666666667</v>
      </c>
      <c r="P439" s="1">
        <f t="shared" si="104"/>
        <v>0.5</v>
      </c>
      <c r="Q439" s="1">
        <f t="shared" si="105"/>
        <v>1</v>
      </c>
      <c r="S439" s="1" t="s">
        <v>359</v>
      </c>
      <c r="T439" s="1">
        <f t="shared" si="106"/>
        <v>1.4291548761875762E-2</v>
      </c>
      <c r="U439" s="1">
        <f t="shared" si="107"/>
        <v>6.6010661124337844E-2</v>
      </c>
      <c r="V439" s="1">
        <f t="shared" si="108"/>
        <v>3.1574382095289864E-2</v>
      </c>
      <c r="W439" s="1">
        <f t="shared" si="109"/>
        <v>4.0360367639778717E-2</v>
      </c>
      <c r="Y439" s="1" t="s">
        <v>359</v>
      </c>
      <c r="Z439" s="1">
        <f t="shared" si="110"/>
        <v>4.2874646285627283E-3</v>
      </c>
      <c r="AA439" s="1">
        <f t="shared" si="111"/>
        <v>1.3202132224867569E-2</v>
      </c>
      <c r="AB439" s="1">
        <f t="shared" si="112"/>
        <v>9.4723146285869593E-3</v>
      </c>
      <c r="AC439" s="1">
        <f t="shared" si="113"/>
        <v>8.0720735279557441E-3</v>
      </c>
      <c r="AK439" s="17" t="s">
        <v>1028</v>
      </c>
      <c r="AL439" s="17">
        <f t="shared" si="114"/>
        <v>2.6423303540170459E-2</v>
      </c>
      <c r="AM439" s="17">
        <f t="shared" si="115"/>
        <v>1.5403721651670159E-2</v>
      </c>
      <c r="AO439" s="17" t="s">
        <v>1740</v>
      </c>
      <c r="AP439" s="17">
        <f t="shared" si="116"/>
        <v>0.59836344234868288</v>
      </c>
      <c r="AR439" s="1" t="s">
        <v>359</v>
      </c>
      <c r="AS439" s="17">
        <f t="shared" si="117"/>
        <v>0.59836344234868288</v>
      </c>
      <c r="AT439" s="17">
        <f t="shared" si="118"/>
        <v>436</v>
      </c>
    </row>
    <row r="440" spans="6:46" x14ac:dyDescent="0.3">
      <c r="F440" s="1">
        <v>438</v>
      </c>
      <c r="G440" s="1" t="s">
        <v>360</v>
      </c>
      <c r="H440" s="1">
        <v>4</v>
      </c>
      <c r="I440" s="1">
        <v>30</v>
      </c>
      <c r="J440" s="1">
        <v>2</v>
      </c>
      <c r="K440" s="1">
        <v>3</v>
      </c>
      <c r="M440" s="1" t="s">
        <v>360</v>
      </c>
      <c r="N440" s="1">
        <f t="shared" si="102"/>
        <v>0.5714285714285714</v>
      </c>
      <c r="O440" s="1">
        <f t="shared" si="103"/>
        <v>0.2857142857142857</v>
      </c>
      <c r="P440" s="1">
        <f t="shared" si="104"/>
        <v>0.5</v>
      </c>
      <c r="Q440" s="1">
        <f t="shared" si="105"/>
        <v>1</v>
      </c>
      <c r="S440" s="1" t="s">
        <v>360</v>
      </c>
      <c r="T440" s="1">
        <f t="shared" si="106"/>
        <v>5.7166195047503046E-2</v>
      </c>
      <c r="U440" s="1">
        <f t="shared" si="107"/>
        <v>2.1761756414616869E-2</v>
      </c>
      <c r="V440" s="1">
        <f t="shared" si="108"/>
        <v>3.1574382095289864E-2</v>
      </c>
      <c r="W440" s="1">
        <f t="shared" si="109"/>
        <v>4.0360367639778717E-2</v>
      </c>
      <c r="Y440" s="1" t="s">
        <v>360</v>
      </c>
      <c r="Z440" s="1">
        <f t="shared" si="110"/>
        <v>1.7149858514250913E-2</v>
      </c>
      <c r="AA440" s="1">
        <f t="shared" si="111"/>
        <v>4.3523512829233739E-3</v>
      </c>
      <c r="AB440" s="1">
        <f t="shared" si="112"/>
        <v>9.4723146285869593E-3</v>
      </c>
      <c r="AC440" s="1">
        <f t="shared" si="113"/>
        <v>8.0720735279557441E-3</v>
      </c>
      <c r="AK440" s="17" t="s">
        <v>1029</v>
      </c>
      <c r="AL440" s="17">
        <f t="shared" si="114"/>
        <v>1.7780202333638605E-2</v>
      </c>
      <c r="AM440" s="17">
        <f t="shared" si="115"/>
        <v>2.0350644278581825E-2</v>
      </c>
      <c r="AO440" s="17" t="s">
        <v>1741</v>
      </c>
      <c r="AP440" s="17">
        <f t="shared" si="116"/>
        <v>1.1649182873632822</v>
      </c>
      <c r="AR440" s="1" t="s">
        <v>360</v>
      </c>
      <c r="AS440" s="17">
        <f t="shared" si="117"/>
        <v>1.1649182873632822</v>
      </c>
      <c r="AT440" s="17">
        <f t="shared" si="118"/>
        <v>94</v>
      </c>
    </row>
    <row r="441" spans="6:46" x14ac:dyDescent="0.3">
      <c r="F441" s="1">
        <v>439</v>
      </c>
      <c r="G441" s="1" t="s">
        <v>361</v>
      </c>
      <c r="H441" s="1">
        <v>1</v>
      </c>
      <c r="I441" s="1">
        <v>58</v>
      </c>
      <c r="J441" s="1">
        <v>2</v>
      </c>
      <c r="K441" s="1">
        <v>3</v>
      </c>
      <c r="M441" s="1" t="s">
        <v>361</v>
      </c>
      <c r="N441" s="1">
        <f t="shared" si="102"/>
        <v>0.14285714285714285</v>
      </c>
      <c r="O441" s="1">
        <f t="shared" si="103"/>
        <v>0.55238095238095242</v>
      </c>
      <c r="P441" s="1">
        <f t="shared" si="104"/>
        <v>0.5</v>
      </c>
      <c r="Q441" s="1">
        <f t="shared" si="105"/>
        <v>1</v>
      </c>
      <c r="S441" s="1" t="s">
        <v>361</v>
      </c>
      <c r="T441" s="1">
        <f t="shared" si="106"/>
        <v>1.4291548761875762E-2</v>
      </c>
      <c r="U441" s="1">
        <f t="shared" si="107"/>
        <v>4.2072729068259283E-2</v>
      </c>
      <c r="V441" s="1">
        <f t="shared" si="108"/>
        <v>3.1574382095289864E-2</v>
      </c>
      <c r="W441" s="1">
        <f t="shared" si="109"/>
        <v>4.0360367639778717E-2</v>
      </c>
      <c r="Y441" s="1" t="s">
        <v>361</v>
      </c>
      <c r="Z441" s="1">
        <f t="shared" si="110"/>
        <v>4.2874646285627283E-3</v>
      </c>
      <c r="AA441" s="1">
        <f t="shared" si="111"/>
        <v>8.4145458136518567E-3</v>
      </c>
      <c r="AB441" s="1">
        <f t="shared" si="112"/>
        <v>9.4723146285869593E-3</v>
      </c>
      <c r="AC441" s="1">
        <f t="shared" si="113"/>
        <v>8.0720735279557441E-3</v>
      </c>
      <c r="AK441" s="17" t="s">
        <v>1030</v>
      </c>
      <c r="AL441" s="17">
        <f t="shared" si="114"/>
        <v>2.7213233195558965E-2</v>
      </c>
      <c r="AM441" s="17">
        <f t="shared" si="115"/>
        <v>1.281968167372996E-2</v>
      </c>
      <c r="AO441" s="17" t="s">
        <v>1742</v>
      </c>
      <c r="AP441" s="17">
        <f t="shared" si="116"/>
        <v>0.48390231935979711</v>
      </c>
      <c r="AR441" s="1" t="s">
        <v>361</v>
      </c>
      <c r="AS441" s="17">
        <f t="shared" si="117"/>
        <v>0.48390231935979711</v>
      </c>
      <c r="AT441" s="17">
        <f t="shared" si="118"/>
        <v>550</v>
      </c>
    </row>
    <row r="442" spans="6:46" x14ac:dyDescent="0.3">
      <c r="F442" s="1">
        <v>440</v>
      </c>
      <c r="G442" s="1" t="s">
        <v>362</v>
      </c>
      <c r="H442" s="1">
        <v>1</v>
      </c>
      <c r="I442" s="1">
        <v>95</v>
      </c>
      <c r="J442" s="1">
        <v>2</v>
      </c>
      <c r="K442" s="1">
        <v>2</v>
      </c>
      <c r="M442" s="1" t="s">
        <v>362</v>
      </c>
      <c r="N442" s="1">
        <f t="shared" si="102"/>
        <v>0.14285714285714285</v>
      </c>
      <c r="O442" s="1">
        <f t="shared" si="103"/>
        <v>0.90476190476190477</v>
      </c>
      <c r="P442" s="1">
        <f t="shared" si="104"/>
        <v>0.5</v>
      </c>
      <c r="Q442" s="1">
        <f t="shared" si="105"/>
        <v>0.66666666666666663</v>
      </c>
      <c r="S442" s="1" t="s">
        <v>362</v>
      </c>
      <c r="T442" s="1">
        <f t="shared" si="106"/>
        <v>1.4291548761875762E-2</v>
      </c>
      <c r="U442" s="1">
        <f t="shared" si="107"/>
        <v>6.8912228646286752E-2</v>
      </c>
      <c r="V442" s="1">
        <f t="shared" si="108"/>
        <v>3.1574382095289864E-2</v>
      </c>
      <c r="W442" s="1">
        <f t="shared" si="109"/>
        <v>2.6906911759852478E-2</v>
      </c>
      <c r="Y442" s="1" t="s">
        <v>362</v>
      </c>
      <c r="Z442" s="1">
        <f t="shared" si="110"/>
        <v>4.2874646285627283E-3</v>
      </c>
      <c r="AA442" s="1">
        <f t="shared" si="111"/>
        <v>1.3782445729257351E-2</v>
      </c>
      <c r="AB442" s="1">
        <f t="shared" si="112"/>
        <v>9.4723146285869593E-3</v>
      </c>
      <c r="AC442" s="1">
        <f t="shared" si="113"/>
        <v>5.3813823519704958E-3</v>
      </c>
      <c r="AK442" s="17" t="s">
        <v>1031</v>
      </c>
      <c r="AL442" s="17">
        <f t="shared" si="114"/>
        <v>2.6521881652707951E-2</v>
      </c>
      <c r="AM442" s="17">
        <f t="shared" si="115"/>
        <v>1.5083444477586883E-2</v>
      </c>
      <c r="AO442" s="17" t="s">
        <v>1743</v>
      </c>
      <c r="AP442" s="17">
        <f t="shared" si="116"/>
        <v>0.58380042599110726</v>
      </c>
      <c r="AR442" s="1" t="s">
        <v>362</v>
      </c>
      <c r="AS442" s="17">
        <f t="shared" si="117"/>
        <v>0.58380042599110726</v>
      </c>
      <c r="AT442" s="17">
        <f t="shared" si="118"/>
        <v>461</v>
      </c>
    </row>
    <row r="443" spans="6:46" x14ac:dyDescent="0.3">
      <c r="F443" s="1">
        <v>441</v>
      </c>
      <c r="G443" s="1" t="s">
        <v>363</v>
      </c>
      <c r="H443" s="1">
        <v>3</v>
      </c>
      <c r="I443" s="1">
        <v>41</v>
      </c>
      <c r="J443" s="1">
        <v>2</v>
      </c>
      <c r="K443" s="1">
        <v>3</v>
      </c>
      <c r="M443" s="1" t="s">
        <v>363</v>
      </c>
      <c r="N443" s="1">
        <f t="shared" si="102"/>
        <v>0.42857142857142855</v>
      </c>
      <c r="O443" s="1">
        <f t="shared" si="103"/>
        <v>0.39047619047619048</v>
      </c>
      <c r="P443" s="1">
        <f t="shared" si="104"/>
        <v>0.5</v>
      </c>
      <c r="Q443" s="1">
        <f t="shared" si="105"/>
        <v>1</v>
      </c>
      <c r="S443" s="1" t="s">
        <v>363</v>
      </c>
      <c r="T443" s="1">
        <f t="shared" si="106"/>
        <v>4.2874646285627281E-2</v>
      </c>
      <c r="U443" s="1">
        <f t="shared" si="107"/>
        <v>2.9741067099976388E-2</v>
      </c>
      <c r="V443" s="1">
        <f t="shared" si="108"/>
        <v>3.1574382095289864E-2</v>
      </c>
      <c r="W443" s="1">
        <f t="shared" si="109"/>
        <v>4.0360367639778717E-2</v>
      </c>
      <c r="Y443" s="1" t="s">
        <v>363</v>
      </c>
      <c r="Z443" s="1">
        <f t="shared" si="110"/>
        <v>1.2862393885688184E-2</v>
      </c>
      <c r="AA443" s="1">
        <f t="shared" si="111"/>
        <v>5.9482134199952781E-3</v>
      </c>
      <c r="AB443" s="1">
        <f t="shared" si="112"/>
        <v>9.4723146285869593E-3</v>
      </c>
      <c r="AC443" s="1">
        <f t="shared" si="113"/>
        <v>8.0720735279557441E-3</v>
      </c>
      <c r="AK443" s="17" t="s">
        <v>1032</v>
      </c>
      <c r="AL443" s="17">
        <f t="shared" si="114"/>
        <v>2.0313298069876161E-2</v>
      </c>
      <c r="AM443" s="17">
        <f t="shared" si="115"/>
        <v>1.7079913036161156E-2</v>
      </c>
      <c r="AO443" s="17" t="s">
        <v>1744</v>
      </c>
      <c r="AP443" s="17">
        <f t="shared" si="116"/>
        <v>0.85790413455881043</v>
      </c>
      <c r="AR443" s="1" t="s">
        <v>363</v>
      </c>
      <c r="AS443" s="17">
        <f t="shared" si="117"/>
        <v>0.85790413455881043</v>
      </c>
      <c r="AT443" s="17">
        <f t="shared" si="118"/>
        <v>239</v>
      </c>
    </row>
    <row r="444" spans="6:46" x14ac:dyDescent="0.3">
      <c r="F444" s="1">
        <v>442</v>
      </c>
      <c r="G444" s="1" t="s">
        <v>364</v>
      </c>
      <c r="H444" s="1">
        <v>3</v>
      </c>
      <c r="I444" s="1">
        <v>60</v>
      </c>
      <c r="J444" s="1">
        <v>2</v>
      </c>
      <c r="K444" s="1">
        <v>3</v>
      </c>
      <c r="M444" s="1" t="s">
        <v>364</v>
      </c>
      <c r="N444" s="1">
        <f t="shared" si="102"/>
        <v>0.42857142857142855</v>
      </c>
      <c r="O444" s="1">
        <f t="shared" si="103"/>
        <v>0.5714285714285714</v>
      </c>
      <c r="P444" s="1">
        <f t="shared" si="104"/>
        <v>0.5</v>
      </c>
      <c r="Q444" s="1">
        <f t="shared" si="105"/>
        <v>1</v>
      </c>
      <c r="S444" s="1" t="s">
        <v>364</v>
      </c>
      <c r="T444" s="1">
        <f t="shared" si="106"/>
        <v>4.2874646285627281E-2</v>
      </c>
      <c r="U444" s="1">
        <f t="shared" si="107"/>
        <v>4.3523512829233738E-2</v>
      </c>
      <c r="V444" s="1">
        <f t="shared" si="108"/>
        <v>3.1574382095289864E-2</v>
      </c>
      <c r="W444" s="1">
        <f t="shared" si="109"/>
        <v>4.0360367639778717E-2</v>
      </c>
      <c r="Y444" s="1" t="s">
        <v>364</v>
      </c>
      <c r="Z444" s="1">
        <f t="shared" si="110"/>
        <v>1.2862393885688184E-2</v>
      </c>
      <c r="AA444" s="1">
        <f t="shared" si="111"/>
        <v>8.7047025658467479E-3</v>
      </c>
      <c r="AB444" s="1">
        <f t="shared" si="112"/>
        <v>9.4723146285869593E-3</v>
      </c>
      <c r="AC444" s="1">
        <f t="shared" si="113"/>
        <v>8.0720735279557441E-3</v>
      </c>
      <c r="AK444" s="17" t="s">
        <v>1033</v>
      </c>
      <c r="AL444" s="17">
        <f t="shared" si="114"/>
        <v>1.9210419538716602E-2</v>
      </c>
      <c r="AM444" s="17">
        <f t="shared" si="115"/>
        <v>1.7734658907247656E-2</v>
      </c>
      <c r="AO444" s="17" t="s">
        <v>1745</v>
      </c>
      <c r="AP444" s="17">
        <f t="shared" si="116"/>
        <v>0.94091381548450492</v>
      </c>
      <c r="AR444" s="1" t="s">
        <v>364</v>
      </c>
      <c r="AS444" s="17">
        <f t="shared" si="117"/>
        <v>0.94091381548450492</v>
      </c>
      <c r="AT444" s="17">
        <f t="shared" si="118"/>
        <v>160</v>
      </c>
    </row>
    <row r="445" spans="6:46" x14ac:dyDescent="0.3">
      <c r="F445" s="1">
        <v>443</v>
      </c>
      <c r="G445" s="1" t="s">
        <v>77</v>
      </c>
      <c r="H445" s="1">
        <v>3</v>
      </c>
      <c r="I445" s="1">
        <v>33</v>
      </c>
      <c r="J445" s="1">
        <v>2</v>
      </c>
      <c r="K445" s="1">
        <v>3</v>
      </c>
      <c r="M445" s="1" t="s">
        <v>77</v>
      </c>
      <c r="N445" s="1">
        <f t="shared" si="102"/>
        <v>0.42857142857142855</v>
      </c>
      <c r="O445" s="1">
        <f t="shared" si="103"/>
        <v>0.31428571428571428</v>
      </c>
      <c r="P445" s="1">
        <f t="shared" si="104"/>
        <v>0.5</v>
      </c>
      <c r="Q445" s="1">
        <f t="shared" si="105"/>
        <v>1</v>
      </c>
      <c r="S445" s="1" t="s">
        <v>77</v>
      </c>
      <c r="T445" s="1">
        <f t="shared" si="106"/>
        <v>4.2874646285627281E-2</v>
      </c>
      <c r="U445" s="1">
        <f t="shared" si="107"/>
        <v>2.3937932056078554E-2</v>
      </c>
      <c r="V445" s="1">
        <f t="shared" si="108"/>
        <v>3.1574382095289864E-2</v>
      </c>
      <c r="W445" s="1">
        <f t="shared" si="109"/>
        <v>4.0360367639778717E-2</v>
      </c>
      <c r="Y445" s="1" t="s">
        <v>77</v>
      </c>
      <c r="Z445" s="1">
        <f t="shared" si="110"/>
        <v>1.2862393885688184E-2</v>
      </c>
      <c r="AA445" s="1">
        <f t="shared" si="111"/>
        <v>4.7875864112157107E-3</v>
      </c>
      <c r="AB445" s="1">
        <f t="shared" si="112"/>
        <v>9.4723146285869593E-3</v>
      </c>
      <c r="AC445" s="1">
        <f t="shared" si="113"/>
        <v>8.0720735279557441E-3</v>
      </c>
      <c r="AK445" s="17" t="s">
        <v>1034</v>
      </c>
      <c r="AL445" s="17">
        <f t="shared" si="114"/>
        <v>2.0869355868959657E-2</v>
      </c>
      <c r="AM445" s="17">
        <f t="shared" si="115"/>
        <v>1.6931390163603535E-2</v>
      </c>
      <c r="AO445" s="17" t="s">
        <v>1746</v>
      </c>
      <c r="AP445" s="17">
        <f t="shared" si="116"/>
        <v>0.82823530725223238</v>
      </c>
      <c r="AR445" s="1" t="s">
        <v>77</v>
      </c>
      <c r="AS445" s="17">
        <f t="shared" si="117"/>
        <v>0.82823530725223238</v>
      </c>
      <c r="AT445" s="17">
        <f t="shared" si="118"/>
        <v>293</v>
      </c>
    </row>
    <row r="446" spans="6:46" x14ac:dyDescent="0.3">
      <c r="F446" s="1">
        <v>444</v>
      </c>
      <c r="G446" s="1" t="s">
        <v>365</v>
      </c>
      <c r="H446" s="1">
        <v>2</v>
      </c>
      <c r="I446" s="1">
        <v>29</v>
      </c>
      <c r="J446" s="1">
        <v>2</v>
      </c>
      <c r="K446" s="1">
        <v>3</v>
      </c>
      <c r="M446" s="1" t="s">
        <v>365</v>
      </c>
      <c r="N446" s="1">
        <f t="shared" si="102"/>
        <v>0.2857142857142857</v>
      </c>
      <c r="O446" s="1">
        <f t="shared" si="103"/>
        <v>0.27619047619047621</v>
      </c>
      <c r="P446" s="1">
        <f t="shared" si="104"/>
        <v>0.5</v>
      </c>
      <c r="Q446" s="1">
        <f t="shared" si="105"/>
        <v>1</v>
      </c>
      <c r="S446" s="1" t="s">
        <v>365</v>
      </c>
      <c r="T446" s="1">
        <f t="shared" si="106"/>
        <v>2.8583097523751523E-2</v>
      </c>
      <c r="U446" s="1">
        <f t="shared" si="107"/>
        <v>2.1036364534129642E-2</v>
      </c>
      <c r="V446" s="1">
        <f t="shared" si="108"/>
        <v>3.1574382095289864E-2</v>
      </c>
      <c r="W446" s="1">
        <f t="shared" si="109"/>
        <v>4.0360367639778717E-2</v>
      </c>
      <c r="Y446" s="1" t="s">
        <v>365</v>
      </c>
      <c r="Z446" s="1">
        <f t="shared" si="110"/>
        <v>8.5749292571254566E-3</v>
      </c>
      <c r="AA446" s="1">
        <f t="shared" si="111"/>
        <v>4.2072729068259283E-3</v>
      </c>
      <c r="AB446" s="1">
        <f t="shared" si="112"/>
        <v>9.4723146285869593E-3</v>
      </c>
      <c r="AC446" s="1">
        <f t="shared" si="113"/>
        <v>8.0720735279557441E-3</v>
      </c>
      <c r="AK446" s="17" t="s">
        <v>1035</v>
      </c>
      <c r="AL446" s="17">
        <f t="shared" si="114"/>
        <v>2.4767548326405344E-2</v>
      </c>
      <c r="AM446" s="17">
        <f t="shared" si="115"/>
        <v>1.3901250707439625E-2</v>
      </c>
      <c r="AO446" s="17" t="s">
        <v>1747</v>
      </c>
      <c r="AP446" s="17">
        <f t="shared" si="116"/>
        <v>0.57516999334754704</v>
      </c>
      <c r="AR446" s="1" t="s">
        <v>365</v>
      </c>
      <c r="AS446" s="17">
        <f t="shared" si="117"/>
        <v>0.57516999334754704</v>
      </c>
      <c r="AT446" s="17">
        <f t="shared" si="118"/>
        <v>481</v>
      </c>
    </row>
    <row r="447" spans="6:46" x14ac:dyDescent="0.3">
      <c r="F447" s="1">
        <v>445</v>
      </c>
      <c r="G447" s="1" t="s">
        <v>366</v>
      </c>
      <c r="H447" s="1">
        <v>3</v>
      </c>
      <c r="I447" s="1">
        <v>46</v>
      </c>
      <c r="J447" s="1">
        <v>1</v>
      </c>
      <c r="K447" s="1">
        <v>3</v>
      </c>
      <c r="M447" s="1" t="s">
        <v>366</v>
      </c>
      <c r="N447" s="1">
        <f t="shared" si="102"/>
        <v>0.42857142857142855</v>
      </c>
      <c r="O447" s="1">
        <f t="shared" si="103"/>
        <v>0.43809523809523809</v>
      </c>
      <c r="P447" s="1">
        <f t="shared" si="104"/>
        <v>1</v>
      </c>
      <c r="Q447" s="1">
        <f t="shared" si="105"/>
        <v>1</v>
      </c>
      <c r="S447" s="1" t="s">
        <v>366</v>
      </c>
      <c r="T447" s="1">
        <f t="shared" si="106"/>
        <v>4.2874646285627281E-2</v>
      </c>
      <c r="U447" s="1">
        <f t="shared" si="107"/>
        <v>3.336802650241253E-2</v>
      </c>
      <c r="V447" s="1">
        <f t="shared" si="108"/>
        <v>6.3148764190579729E-2</v>
      </c>
      <c r="W447" s="1">
        <f t="shared" si="109"/>
        <v>4.0360367639778717E-2</v>
      </c>
      <c r="Y447" s="1" t="s">
        <v>366</v>
      </c>
      <c r="Z447" s="1">
        <f t="shared" si="110"/>
        <v>1.2862393885688184E-2</v>
      </c>
      <c r="AA447" s="1">
        <f t="shared" si="111"/>
        <v>6.6736053004825061E-3</v>
      </c>
      <c r="AB447" s="1">
        <f t="shared" si="112"/>
        <v>1.8944629257173919E-2</v>
      </c>
      <c r="AC447" s="1">
        <f t="shared" si="113"/>
        <v>8.0720735279557441E-3</v>
      </c>
      <c r="AK447" s="17" t="s">
        <v>1036</v>
      </c>
      <c r="AL447" s="17">
        <f t="shared" si="114"/>
        <v>2.4435223736469017E-2</v>
      </c>
      <c r="AM447" s="17">
        <f t="shared" si="115"/>
        <v>1.4370941095497738E-2</v>
      </c>
      <c r="AO447" s="17" t="s">
        <v>1748</v>
      </c>
      <c r="AP447" s="17">
        <f t="shared" si="116"/>
        <v>0.60249492352703304</v>
      </c>
      <c r="AR447" s="1" t="s">
        <v>366</v>
      </c>
      <c r="AS447" s="17">
        <f t="shared" si="117"/>
        <v>0.60249492352703304</v>
      </c>
      <c r="AT447" s="17">
        <f t="shared" si="118"/>
        <v>427</v>
      </c>
    </row>
    <row r="448" spans="6:46" x14ac:dyDescent="0.3">
      <c r="F448" s="1">
        <v>446</v>
      </c>
      <c r="G448" s="1" t="s">
        <v>367</v>
      </c>
      <c r="H448" s="1">
        <v>1</v>
      </c>
      <c r="I448" s="1">
        <v>38</v>
      </c>
      <c r="J448" s="1">
        <v>2</v>
      </c>
      <c r="K448" s="1">
        <v>3</v>
      </c>
      <c r="M448" s="1" t="s">
        <v>367</v>
      </c>
      <c r="N448" s="1">
        <f t="shared" si="102"/>
        <v>0.14285714285714285</v>
      </c>
      <c r="O448" s="1">
        <f t="shared" si="103"/>
        <v>0.3619047619047619</v>
      </c>
      <c r="P448" s="1">
        <f t="shared" si="104"/>
        <v>0.5</v>
      </c>
      <c r="Q448" s="1">
        <f t="shared" si="105"/>
        <v>1</v>
      </c>
      <c r="S448" s="1" t="s">
        <v>367</v>
      </c>
      <c r="T448" s="1">
        <f t="shared" si="106"/>
        <v>1.4291548761875762E-2</v>
      </c>
      <c r="U448" s="1">
        <f t="shared" si="107"/>
        <v>2.75648914585147E-2</v>
      </c>
      <c r="V448" s="1">
        <f t="shared" si="108"/>
        <v>3.1574382095289864E-2</v>
      </c>
      <c r="W448" s="1">
        <f t="shared" si="109"/>
        <v>4.0360367639778717E-2</v>
      </c>
      <c r="Y448" s="1" t="s">
        <v>367</v>
      </c>
      <c r="Z448" s="1">
        <f t="shared" si="110"/>
        <v>4.2874646285627283E-3</v>
      </c>
      <c r="AA448" s="1">
        <f t="shared" si="111"/>
        <v>5.5129782917029404E-3</v>
      </c>
      <c r="AB448" s="1">
        <f t="shared" si="112"/>
        <v>9.4723146285869593E-3</v>
      </c>
      <c r="AC448" s="1">
        <f t="shared" si="113"/>
        <v>8.0720735279557441E-3</v>
      </c>
      <c r="AK448" s="17" t="s">
        <v>1037</v>
      </c>
      <c r="AL448" s="17">
        <f t="shared" si="114"/>
        <v>2.8081112820490511E-2</v>
      </c>
      <c r="AM448" s="17">
        <f t="shared" si="115"/>
        <v>1.1935434369818844E-2</v>
      </c>
      <c r="AO448" s="17" t="s">
        <v>1749</v>
      </c>
      <c r="AP448" s="17">
        <f t="shared" si="116"/>
        <v>0.43696967165651485</v>
      </c>
      <c r="AR448" s="1" t="s">
        <v>367</v>
      </c>
      <c r="AS448" s="17">
        <f t="shared" si="117"/>
        <v>0.43696967165651485</v>
      </c>
      <c r="AT448" s="17">
        <f t="shared" si="118"/>
        <v>575</v>
      </c>
    </row>
    <row r="449" spans="6:46" x14ac:dyDescent="0.3">
      <c r="F449" s="1">
        <v>447</v>
      </c>
      <c r="G449" s="1" t="s">
        <v>368</v>
      </c>
      <c r="H449" s="1">
        <v>3</v>
      </c>
      <c r="I449" s="1">
        <v>49</v>
      </c>
      <c r="J449" s="1">
        <v>2</v>
      </c>
      <c r="K449" s="1">
        <v>3</v>
      </c>
      <c r="M449" s="1" t="s">
        <v>368</v>
      </c>
      <c r="N449" s="1">
        <f t="shared" si="102"/>
        <v>0.42857142857142855</v>
      </c>
      <c r="O449" s="1">
        <f t="shared" si="103"/>
        <v>0.46666666666666667</v>
      </c>
      <c r="P449" s="1">
        <f t="shared" si="104"/>
        <v>0.5</v>
      </c>
      <c r="Q449" s="1">
        <f t="shared" si="105"/>
        <v>1</v>
      </c>
      <c r="S449" s="1" t="s">
        <v>368</v>
      </c>
      <c r="T449" s="1">
        <f t="shared" si="106"/>
        <v>4.2874646285627281E-2</v>
      </c>
      <c r="U449" s="1">
        <f t="shared" si="107"/>
        <v>3.5544202143874222E-2</v>
      </c>
      <c r="V449" s="1">
        <f t="shared" si="108"/>
        <v>3.1574382095289864E-2</v>
      </c>
      <c r="W449" s="1">
        <f t="shared" si="109"/>
        <v>4.0360367639778717E-2</v>
      </c>
      <c r="Y449" s="1" t="s">
        <v>368</v>
      </c>
      <c r="Z449" s="1">
        <f t="shared" si="110"/>
        <v>1.2862393885688184E-2</v>
      </c>
      <c r="AA449" s="1">
        <f t="shared" si="111"/>
        <v>7.1088404287748446E-3</v>
      </c>
      <c r="AB449" s="1">
        <f t="shared" si="112"/>
        <v>9.4723146285869593E-3</v>
      </c>
      <c r="AC449" s="1">
        <f t="shared" si="113"/>
        <v>8.0720735279557441E-3</v>
      </c>
      <c r="AK449" s="17" t="s">
        <v>1038</v>
      </c>
      <c r="AL449" s="17">
        <f t="shared" si="114"/>
        <v>1.9809700973841212E-2</v>
      </c>
      <c r="AM449" s="17">
        <f t="shared" si="115"/>
        <v>1.7305172518079736E-2</v>
      </c>
      <c r="AO449" s="17" t="s">
        <v>1750</v>
      </c>
      <c r="AP449" s="17">
        <f t="shared" si="116"/>
        <v>0.89087578021838187</v>
      </c>
      <c r="AR449" s="1" t="s">
        <v>368</v>
      </c>
      <c r="AS449" s="17">
        <f t="shared" si="117"/>
        <v>0.89087578021838187</v>
      </c>
      <c r="AT449" s="17">
        <f t="shared" si="118"/>
        <v>187</v>
      </c>
    </row>
    <row r="450" spans="6:46" x14ac:dyDescent="0.3">
      <c r="F450" s="1">
        <v>448</v>
      </c>
      <c r="G450" s="1" t="s">
        <v>369</v>
      </c>
      <c r="H450" s="1">
        <v>3</v>
      </c>
      <c r="I450" s="1">
        <v>34</v>
      </c>
      <c r="J450" s="1">
        <v>2</v>
      </c>
      <c r="K450" s="1">
        <v>3</v>
      </c>
      <c r="M450" s="1" t="s">
        <v>369</v>
      </c>
      <c r="N450" s="1">
        <f t="shared" si="102"/>
        <v>0.42857142857142855</v>
      </c>
      <c r="O450" s="1">
        <f t="shared" si="103"/>
        <v>0.32380952380952382</v>
      </c>
      <c r="P450" s="1">
        <f t="shared" si="104"/>
        <v>0.5</v>
      </c>
      <c r="Q450" s="1">
        <f t="shared" si="105"/>
        <v>1</v>
      </c>
      <c r="S450" s="1" t="s">
        <v>369</v>
      </c>
      <c r="T450" s="1">
        <f t="shared" si="106"/>
        <v>4.2874646285627281E-2</v>
      </c>
      <c r="U450" s="1">
        <f t="shared" si="107"/>
        <v>2.4663323936565784E-2</v>
      </c>
      <c r="V450" s="1">
        <f t="shared" si="108"/>
        <v>3.1574382095289864E-2</v>
      </c>
      <c r="W450" s="1">
        <f t="shared" si="109"/>
        <v>4.0360367639778717E-2</v>
      </c>
      <c r="Y450" s="1" t="s">
        <v>369</v>
      </c>
      <c r="Z450" s="1">
        <f t="shared" si="110"/>
        <v>1.2862393885688184E-2</v>
      </c>
      <c r="AA450" s="1">
        <f t="shared" si="111"/>
        <v>4.9326647873131572E-3</v>
      </c>
      <c r="AB450" s="1">
        <f t="shared" si="112"/>
        <v>9.4723146285869593E-3</v>
      </c>
      <c r="AC450" s="1">
        <f t="shared" si="113"/>
        <v>8.0720735279557441E-3</v>
      </c>
      <c r="AK450" s="17" t="s">
        <v>1039</v>
      </c>
      <c r="AL450" s="17">
        <f t="shared" si="114"/>
        <v>2.0797119710433402E-2</v>
      </c>
      <c r="AM450" s="17">
        <f t="shared" si="115"/>
        <v>1.6945680003529664E-2</v>
      </c>
      <c r="AO450" s="17" t="s">
        <v>1751</v>
      </c>
      <c r="AP450" s="17">
        <f t="shared" si="116"/>
        <v>0.83175466506834295</v>
      </c>
      <c r="AR450" s="1" t="s">
        <v>369</v>
      </c>
      <c r="AS450" s="17">
        <f t="shared" si="117"/>
        <v>0.83175466506834295</v>
      </c>
      <c r="AT450" s="17">
        <f t="shared" si="118"/>
        <v>290</v>
      </c>
    </row>
    <row r="451" spans="6:46" x14ac:dyDescent="0.3">
      <c r="F451" s="1">
        <v>449</v>
      </c>
      <c r="G451" s="1" t="s">
        <v>239</v>
      </c>
      <c r="H451" s="1">
        <v>7</v>
      </c>
      <c r="I451" s="1">
        <v>41</v>
      </c>
      <c r="J451" s="1">
        <v>2</v>
      </c>
      <c r="K451" s="1">
        <v>3</v>
      </c>
      <c r="M451" s="1" t="s">
        <v>239</v>
      </c>
      <c r="N451" s="1">
        <f t="shared" si="102"/>
        <v>1</v>
      </c>
      <c r="O451" s="1">
        <f t="shared" si="103"/>
        <v>0.39047619047619048</v>
      </c>
      <c r="P451" s="1">
        <f t="shared" si="104"/>
        <v>0.5</v>
      </c>
      <c r="Q451" s="1">
        <f t="shared" si="105"/>
        <v>1</v>
      </c>
      <c r="S451" s="1" t="s">
        <v>239</v>
      </c>
      <c r="T451" s="1">
        <f t="shared" si="106"/>
        <v>0.10004084133313033</v>
      </c>
      <c r="U451" s="1">
        <f t="shared" si="107"/>
        <v>2.9741067099976388E-2</v>
      </c>
      <c r="V451" s="1">
        <f t="shared" si="108"/>
        <v>3.1574382095289864E-2</v>
      </c>
      <c r="W451" s="1">
        <f t="shared" si="109"/>
        <v>4.0360367639778717E-2</v>
      </c>
      <c r="Y451" s="1" t="s">
        <v>239</v>
      </c>
      <c r="Z451" s="1">
        <f t="shared" si="110"/>
        <v>3.0012252399939099E-2</v>
      </c>
      <c r="AA451" s="1">
        <f t="shared" si="111"/>
        <v>5.9482134199952781E-3</v>
      </c>
      <c r="AB451" s="1">
        <f t="shared" si="112"/>
        <v>9.4723146285869593E-3</v>
      </c>
      <c r="AC451" s="1">
        <f t="shared" si="113"/>
        <v>8.0720735279557441E-3</v>
      </c>
      <c r="AK451" s="17" t="s">
        <v>1040</v>
      </c>
      <c r="AL451" s="17">
        <f t="shared" si="114"/>
        <v>1.0886341507449137E-2</v>
      </c>
      <c r="AM451" s="17">
        <f t="shared" si="115"/>
        <v>3.2047114487421313E-2</v>
      </c>
      <c r="AO451" s="17" t="s">
        <v>1752</v>
      </c>
      <c r="AP451" s="17">
        <f t="shared" si="116"/>
        <v>2.9758381452476277</v>
      </c>
      <c r="AR451" s="1" t="s">
        <v>239</v>
      </c>
      <c r="AS451" s="17">
        <f t="shared" si="117"/>
        <v>2.9758381452476277</v>
      </c>
      <c r="AT451" s="17">
        <f t="shared" si="118"/>
        <v>5</v>
      </c>
    </row>
    <row r="452" spans="6:46" x14ac:dyDescent="0.3">
      <c r="F452" s="1">
        <v>450</v>
      </c>
      <c r="G452" s="1" t="s">
        <v>239</v>
      </c>
      <c r="H452" s="1">
        <v>7</v>
      </c>
      <c r="I452" s="1">
        <v>33</v>
      </c>
      <c r="J452" s="1">
        <v>2</v>
      </c>
      <c r="K452" s="1">
        <v>3</v>
      </c>
      <c r="M452" s="1" t="s">
        <v>239</v>
      </c>
      <c r="N452" s="1">
        <f t="shared" ref="N452:N515" si="119">H452/MAX($H$3:$H$712)</f>
        <v>1</v>
      </c>
      <c r="O452" s="1">
        <f t="shared" ref="O452:O515" si="120">I452/MAX($I$3:$I$712)</f>
        <v>0.31428571428571428</v>
      </c>
      <c r="P452" s="1">
        <f t="shared" ref="P452:P515" si="121">MIN($J$3:$J$712)/J452</f>
        <v>0.5</v>
      </c>
      <c r="Q452" s="1">
        <f t="shared" ref="Q452:Q515" si="122">K452/MAX($K$3:$K$712)</f>
        <v>1</v>
      </c>
      <c r="S452" s="1" t="s">
        <v>239</v>
      </c>
      <c r="T452" s="1">
        <f t="shared" ref="T452:T515" si="123">N452/SQRT(SUMSQ($N$3:$N$712))</f>
        <v>0.10004084133313033</v>
      </c>
      <c r="U452" s="1">
        <f t="shared" ref="U452:U515" si="124">O452/SQRT(SUMSQ($O$3:$O$712))</f>
        <v>2.3937932056078554E-2</v>
      </c>
      <c r="V452" s="1">
        <f t="shared" ref="V452:V515" si="125">P452/SQRT(SUMSQ($P$3:$P$712))</f>
        <v>3.1574382095289864E-2</v>
      </c>
      <c r="W452" s="1">
        <f t="shared" ref="W452:W515" si="126">Q452/SQRT(SUMSQ($Q$3:$Q$712))</f>
        <v>4.0360367639778717E-2</v>
      </c>
      <c r="Y452" s="1" t="s">
        <v>239</v>
      </c>
      <c r="Z452" s="1">
        <f t="shared" ref="Z452:Z515" si="127">T452*$D$3</f>
        <v>3.0012252399939099E-2</v>
      </c>
      <c r="AA452" s="1">
        <f t="shared" ref="AA452:AA515" si="128">U452*$D$4</f>
        <v>4.7875864112157107E-3</v>
      </c>
      <c r="AB452" s="1">
        <f t="shared" ref="AB452:AB515" si="129">V452*$D$5</f>
        <v>9.4723146285869593E-3</v>
      </c>
      <c r="AC452" s="1">
        <f t="shared" ref="AC452:AC515" si="130">W452*$D$6</f>
        <v>8.0720735279557441E-3</v>
      </c>
      <c r="AK452" s="17" t="s">
        <v>1041</v>
      </c>
      <c r="AL452" s="17">
        <f t="shared" ref="AL452:AL515" si="131">SQRT( ($AF$3-Z452)^2 + ($AG$3-AA452)^2 + ($AH$3-AB452)^2 + ($AI$3-AC452)^2 )</f>
        <v>1.1891693206875806E-2</v>
      </c>
      <c r="AM452" s="17">
        <f t="shared" ref="AM452:AM515" si="132">SQRT( (Z452-$AF$4)^2 + (AA452-$AG$4)^2 + (AB452-$AH$4)^2 + (AC452-$AI$4)^2 )</f>
        <v>3.1968204368078477E-2</v>
      </c>
      <c r="AO452" s="17" t="s">
        <v>1753</v>
      </c>
      <c r="AP452" s="17">
        <f t="shared" ref="AP452:AP515" si="133">AM452/AL452+AM452</f>
        <v>2.7202484864051546</v>
      </c>
      <c r="AR452" s="1" t="s">
        <v>239</v>
      </c>
      <c r="AS452" s="17">
        <f t="shared" ref="AS452:AS515" si="134">AP452</f>
        <v>2.7202484864051546</v>
      </c>
      <c r="AT452" s="17">
        <f t="shared" ref="AT452:AT515" si="135">RANK(AS452,$AS$3:$AS$712,0)</f>
        <v>7</v>
      </c>
    </row>
    <row r="453" spans="6:46" x14ac:dyDescent="0.3">
      <c r="F453" s="1">
        <v>451</v>
      </c>
      <c r="G453" s="1" t="s">
        <v>370</v>
      </c>
      <c r="H453" s="1">
        <v>2</v>
      </c>
      <c r="I453" s="1">
        <v>22</v>
      </c>
      <c r="J453" s="1">
        <v>1</v>
      </c>
      <c r="K453" s="1">
        <v>3</v>
      </c>
      <c r="M453" s="1" t="s">
        <v>370</v>
      </c>
      <c r="N453" s="1">
        <f t="shared" si="119"/>
        <v>0.2857142857142857</v>
      </c>
      <c r="O453" s="1">
        <f t="shared" si="120"/>
        <v>0.20952380952380953</v>
      </c>
      <c r="P453" s="1">
        <f t="shared" si="121"/>
        <v>1</v>
      </c>
      <c r="Q453" s="1">
        <f t="shared" si="122"/>
        <v>1</v>
      </c>
      <c r="S453" s="1" t="s">
        <v>370</v>
      </c>
      <c r="T453" s="1">
        <f t="shared" si="123"/>
        <v>2.8583097523751523E-2</v>
      </c>
      <c r="U453" s="1">
        <f t="shared" si="124"/>
        <v>1.5958621370719038E-2</v>
      </c>
      <c r="V453" s="1">
        <f t="shared" si="125"/>
        <v>6.3148764190579729E-2</v>
      </c>
      <c r="W453" s="1">
        <f t="shared" si="126"/>
        <v>4.0360367639778717E-2</v>
      </c>
      <c r="Y453" s="1" t="s">
        <v>370</v>
      </c>
      <c r="Z453" s="1">
        <f t="shared" si="127"/>
        <v>8.5749292571254566E-3</v>
      </c>
      <c r="AA453" s="1">
        <f t="shared" si="128"/>
        <v>3.1917242741438079E-3</v>
      </c>
      <c r="AB453" s="1">
        <f t="shared" si="129"/>
        <v>1.8944629257173919E-2</v>
      </c>
      <c r="AC453" s="1">
        <f t="shared" si="130"/>
        <v>8.0720735279557441E-3</v>
      </c>
      <c r="AK453" s="17" t="s">
        <v>1042</v>
      </c>
      <c r="AL453" s="17">
        <f t="shared" si="131"/>
        <v>2.8883421146415823E-2</v>
      </c>
      <c r="AM453" s="17">
        <f t="shared" si="132"/>
        <v>1.0123669679656959E-2</v>
      </c>
      <c r="AO453" s="17" t="s">
        <v>1754</v>
      </c>
      <c r="AP453" s="17">
        <f t="shared" si="133"/>
        <v>0.36062472799743928</v>
      </c>
      <c r="AR453" s="1" t="s">
        <v>370</v>
      </c>
      <c r="AS453" s="17">
        <f t="shared" si="134"/>
        <v>0.36062472799743928</v>
      </c>
      <c r="AT453" s="17">
        <f t="shared" si="135"/>
        <v>625</v>
      </c>
    </row>
    <row r="454" spans="6:46" x14ac:dyDescent="0.3">
      <c r="F454" s="1">
        <v>452</v>
      </c>
      <c r="G454" s="1" t="s">
        <v>371</v>
      </c>
      <c r="H454" s="1">
        <v>2</v>
      </c>
      <c r="I454" s="1">
        <v>44</v>
      </c>
      <c r="J454" s="1">
        <v>3</v>
      </c>
      <c r="K454" s="1">
        <v>2</v>
      </c>
      <c r="M454" s="1" t="s">
        <v>371</v>
      </c>
      <c r="N454" s="1">
        <f t="shared" si="119"/>
        <v>0.2857142857142857</v>
      </c>
      <c r="O454" s="1">
        <f t="shared" si="120"/>
        <v>0.41904761904761906</v>
      </c>
      <c r="P454" s="1">
        <f t="shared" si="121"/>
        <v>0.33333333333333331</v>
      </c>
      <c r="Q454" s="1">
        <f t="shared" si="122"/>
        <v>0.66666666666666663</v>
      </c>
      <c r="S454" s="1" t="s">
        <v>371</v>
      </c>
      <c r="T454" s="1">
        <f t="shared" si="123"/>
        <v>2.8583097523751523E-2</v>
      </c>
      <c r="U454" s="1">
        <f t="shared" si="124"/>
        <v>3.1917242741438076E-2</v>
      </c>
      <c r="V454" s="1">
        <f t="shared" si="125"/>
        <v>2.1049588063526574E-2</v>
      </c>
      <c r="W454" s="1">
        <f t="shared" si="126"/>
        <v>2.6906911759852478E-2</v>
      </c>
      <c r="Y454" s="1" t="s">
        <v>371</v>
      </c>
      <c r="Z454" s="1">
        <f t="shared" si="127"/>
        <v>8.5749292571254566E-3</v>
      </c>
      <c r="AA454" s="1">
        <f t="shared" si="128"/>
        <v>6.3834485482876157E-3</v>
      </c>
      <c r="AB454" s="1">
        <f t="shared" si="129"/>
        <v>6.314876419057972E-3</v>
      </c>
      <c r="AC454" s="1">
        <f t="shared" si="130"/>
        <v>5.3813823519704958E-3</v>
      </c>
      <c r="AK454" s="17" t="s">
        <v>1043</v>
      </c>
      <c r="AL454" s="17">
        <f t="shared" si="131"/>
        <v>2.3483987981695379E-2</v>
      </c>
      <c r="AM454" s="17">
        <f t="shared" si="132"/>
        <v>1.5826148974506956E-2</v>
      </c>
      <c r="AO454" s="17" t="s">
        <v>1755</v>
      </c>
      <c r="AP454" s="17">
        <f t="shared" si="133"/>
        <v>0.68973847540060906</v>
      </c>
      <c r="AR454" s="1" t="s">
        <v>371</v>
      </c>
      <c r="AS454" s="17">
        <f t="shared" si="134"/>
        <v>0.68973847540060906</v>
      </c>
      <c r="AT454" s="17">
        <f t="shared" si="135"/>
        <v>354</v>
      </c>
    </row>
    <row r="455" spans="6:46" x14ac:dyDescent="0.3">
      <c r="F455" s="1">
        <v>453</v>
      </c>
      <c r="G455" s="1" t="s">
        <v>372</v>
      </c>
      <c r="H455" s="1">
        <v>3</v>
      </c>
      <c r="I455" s="1">
        <v>46</v>
      </c>
      <c r="J455" s="1">
        <v>2</v>
      </c>
      <c r="K455" s="1">
        <v>3</v>
      </c>
      <c r="M455" s="1" t="s">
        <v>372</v>
      </c>
      <c r="N455" s="1">
        <f t="shared" si="119"/>
        <v>0.42857142857142855</v>
      </c>
      <c r="O455" s="1">
        <f t="shared" si="120"/>
        <v>0.43809523809523809</v>
      </c>
      <c r="P455" s="1">
        <f t="shared" si="121"/>
        <v>0.5</v>
      </c>
      <c r="Q455" s="1">
        <f t="shared" si="122"/>
        <v>1</v>
      </c>
      <c r="S455" s="1" t="s">
        <v>372</v>
      </c>
      <c r="T455" s="1">
        <f t="shared" si="123"/>
        <v>4.2874646285627281E-2</v>
      </c>
      <c r="U455" s="1">
        <f t="shared" si="124"/>
        <v>3.336802650241253E-2</v>
      </c>
      <c r="V455" s="1">
        <f t="shared" si="125"/>
        <v>3.1574382095289864E-2</v>
      </c>
      <c r="W455" s="1">
        <f t="shared" si="126"/>
        <v>4.0360367639778717E-2</v>
      </c>
      <c r="Y455" s="1" t="s">
        <v>372</v>
      </c>
      <c r="Z455" s="1">
        <f t="shared" si="127"/>
        <v>1.2862393885688184E-2</v>
      </c>
      <c r="AA455" s="1">
        <f t="shared" si="128"/>
        <v>6.6736053004825061E-3</v>
      </c>
      <c r="AB455" s="1">
        <f t="shared" si="129"/>
        <v>9.4723146285869593E-3</v>
      </c>
      <c r="AC455" s="1">
        <f t="shared" si="130"/>
        <v>8.0720735279557441E-3</v>
      </c>
      <c r="AK455" s="17" t="s">
        <v>1044</v>
      </c>
      <c r="AL455" s="17">
        <f t="shared" si="131"/>
        <v>1.9992141489115801E-2</v>
      </c>
      <c r="AM455" s="17">
        <f t="shared" si="132"/>
        <v>1.7211876492503896E-2</v>
      </c>
      <c r="AO455" s="17" t="s">
        <v>1756</v>
      </c>
      <c r="AP455" s="17">
        <f t="shared" si="133"/>
        <v>0.87814398333430732</v>
      </c>
      <c r="AR455" s="1" t="s">
        <v>372</v>
      </c>
      <c r="AS455" s="17">
        <f t="shared" si="134"/>
        <v>0.87814398333430732</v>
      </c>
      <c r="AT455" s="17">
        <f t="shared" si="135"/>
        <v>203</v>
      </c>
    </row>
    <row r="456" spans="6:46" x14ac:dyDescent="0.3">
      <c r="F456" s="1">
        <v>454</v>
      </c>
      <c r="G456" s="1" t="s">
        <v>373</v>
      </c>
      <c r="H456" s="1">
        <v>3</v>
      </c>
      <c r="I456" s="1">
        <v>43</v>
      </c>
      <c r="J456" s="1">
        <v>5</v>
      </c>
      <c r="K456" s="1">
        <v>3</v>
      </c>
      <c r="M456" s="1" t="s">
        <v>373</v>
      </c>
      <c r="N456" s="1">
        <f t="shared" si="119"/>
        <v>0.42857142857142855</v>
      </c>
      <c r="O456" s="1">
        <f t="shared" si="120"/>
        <v>0.40952380952380951</v>
      </c>
      <c r="P456" s="1">
        <f t="shared" si="121"/>
        <v>0.2</v>
      </c>
      <c r="Q456" s="1">
        <f t="shared" si="122"/>
        <v>1</v>
      </c>
      <c r="S456" s="1" t="s">
        <v>373</v>
      </c>
      <c r="T456" s="1">
        <f t="shared" si="123"/>
        <v>4.2874646285627281E-2</v>
      </c>
      <c r="U456" s="1">
        <f t="shared" si="124"/>
        <v>3.1191850860950845E-2</v>
      </c>
      <c r="V456" s="1">
        <f t="shared" si="125"/>
        <v>1.2629752838115946E-2</v>
      </c>
      <c r="W456" s="1">
        <f t="shared" si="126"/>
        <v>4.0360367639778717E-2</v>
      </c>
      <c r="Y456" s="1" t="s">
        <v>373</v>
      </c>
      <c r="Z456" s="1">
        <f t="shared" si="127"/>
        <v>1.2862393885688184E-2</v>
      </c>
      <c r="AA456" s="1">
        <f t="shared" si="128"/>
        <v>6.2383701721901693E-3</v>
      </c>
      <c r="AB456" s="1">
        <f t="shared" si="129"/>
        <v>3.7889258514347836E-3</v>
      </c>
      <c r="AC456" s="1">
        <f t="shared" si="130"/>
        <v>8.0720735279557441E-3</v>
      </c>
      <c r="AK456" s="17" t="s">
        <v>1045</v>
      </c>
      <c r="AL456" s="17">
        <f t="shared" si="131"/>
        <v>1.9365565863412953E-2</v>
      </c>
      <c r="AM456" s="17">
        <f t="shared" si="132"/>
        <v>2.0817729209486414E-2</v>
      </c>
      <c r="AO456" s="17" t="s">
        <v>1757</v>
      </c>
      <c r="AP456" s="17">
        <f t="shared" si="133"/>
        <v>1.0958046083079696</v>
      </c>
      <c r="AR456" s="1" t="s">
        <v>373</v>
      </c>
      <c r="AS456" s="17">
        <f t="shared" si="134"/>
        <v>1.0958046083079696</v>
      </c>
      <c r="AT456" s="17">
        <f t="shared" si="135"/>
        <v>108</v>
      </c>
    </row>
    <row r="457" spans="6:46" x14ac:dyDescent="0.3">
      <c r="F457" s="1">
        <v>455</v>
      </c>
      <c r="G457" s="1" t="s">
        <v>374</v>
      </c>
      <c r="H457" s="1">
        <v>2</v>
      </c>
      <c r="I457" s="1">
        <v>38</v>
      </c>
      <c r="J457" s="1">
        <v>2</v>
      </c>
      <c r="K457" s="1">
        <v>3</v>
      </c>
      <c r="M457" s="1" t="s">
        <v>374</v>
      </c>
      <c r="N457" s="1">
        <f t="shared" si="119"/>
        <v>0.2857142857142857</v>
      </c>
      <c r="O457" s="1">
        <f t="shared" si="120"/>
        <v>0.3619047619047619</v>
      </c>
      <c r="P457" s="1">
        <f t="shared" si="121"/>
        <v>0.5</v>
      </c>
      <c r="Q457" s="1">
        <f t="shared" si="122"/>
        <v>1</v>
      </c>
      <c r="S457" s="1" t="s">
        <v>374</v>
      </c>
      <c r="T457" s="1">
        <f t="shared" si="123"/>
        <v>2.8583097523751523E-2</v>
      </c>
      <c r="U457" s="1">
        <f t="shared" si="124"/>
        <v>2.75648914585147E-2</v>
      </c>
      <c r="V457" s="1">
        <f t="shared" si="125"/>
        <v>3.1574382095289864E-2</v>
      </c>
      <c r="W457" s="1">
        <f t="shared" si="126"/>
        <v>4.0360367639778717E-2</v>
      </c>
      <c r="Y457" s="1" t="s">
        <v>374</v>
      </c>
      <c r="Z457" s="1">
        <f t="shared" si="127"/>
        <v>8.5749292571254566E-3</v>
      </c>
      <c r="AA457" s="1">
        <f t="shared" si="128"/>
        <v>5.5129782917029404E-3</v>
      </c>
      <c r="AB457" s="1">
        <f t="shared" si="129"/>
        <v>9.4723146285869593E-3</v>
      </c>
      <c r="AC457" s="1">
        <f t="shared" si="130"/>
        <v>8.0720735279557441E-3</v>
      </c>
      <c r="AK457" s="17" t="s">
        <v>1046</v>
      </c>
      <c r="AL457" s="17">
        <f t="shared" si="131"/>
        <v>2.4214520744466009E-2</v>
      </c>
      <c r="AM457" s="17">
        <f t="shared" si="132"/>
        <v>1.40570854881011E-2</v>
      </c>
      <c r="AO457" s="17" t="s">
        <v>1758</v>
      </c>
      <c r="AP457" s="17">
        <f t="shared" si="133"/>
        <v>0.59458005500892919</v>
      </c>
      <c r="AR457" s="1" t="s">
        <v>374</v>
      </c>
      <c r="AS457" s="17">
        <f t="shared" si="134"/>
        <v>0.59458005500892919</v>
      </c>
      <c r="AT457" s="17">
        <f t="shared" si="135"/>
        <v>443</v>
      </c>
    </row>
    <row r="458" spans="6:46" x14ac:dyDescent="0.3">
      <c r="F458" s="1">
        <v>456</v>
      </c>
      <c r="G458" s="1" t="s">
        <v>375</v>
      </c>
      <c r="H458" s="1">
        <v>2</v>
      </c>
      <c r="I458" s="1">
        <v>57</v>
      </c>
      <c r="J458" s="1">
        <v>5</v>
      </c>
      <c r="K458" s="1">
        <v>3</v>
      </c>
      <c r="M458" s="1" t="s">
        <v>375</v>
      </c>
      <c r="N458" s="1">
        <f t="shared" si="119"/>
        <v>0.2857142857142857</v>
      </c>
      <c r="O458" s="1">
        <f t="shared" si="120"/>
        <v>0.54285714285714282</v>
      </c>
      <c r="P458" s="1">
        <f t="shared" si="121"/>
        <v>0.2</v>
      </c>
      <c r="Q458" s="1">
        <f t="shared" si="122"/>
        <v>1</v>
      </c>
      <c r="S458" s="1" t="s">
        <v>375</v>
      </c>
      <c r="T458" s="1">
        <f t="shared" si="123"/>
        <v>2.8583097523751523E-2</v>
      </c>
      <c r="U458" s="1">
        <f t="shared" si="124"/>
        <v>4.1347337187772046E-2</v>
      </c>
      <c r="V458" s="1">
        <f t="shared" si="125"/>
        <v>1.2629752838115946E-2</v>
      </c>
      <c r="W458" s="1">
        <f t="shared" si="126"/>
        <v>4.0360367639778717E-2</v>
      </c>
      <c r="Y458" s="1" t="s">
        <v>375</v>
      </c>
      <c r="Z458" s="1">
        <f t="shared" si="127"/>
        <v>8.5749292571254566E-3</v>
      </c>
      <c r="AA458" s="1">
        <f t="shared" si="128"/>
        <v>8.2694674375544102E-3</v>
      </c>
      <c r="AB458" s="1">
        <f t="shared" si="129"/>
        <v>3.7889258514347836E-3</v>
      </c>
      <c r="AC458" s="1">
        <f t="shared" si="130"/>
        <v>8.0720735279557441E-3</v>
      </c>
      <c r="AK458" s="17" t="s">
        <v>1047</v>
      </c>
      <c r="AL458" s="17">
        <f t="shared" si="131"/>
        <v>2.2540026740350671E-2</v>
      </c>
      <c r="AM458" s="17">
        <f t="shared" si="132"/>
        <v>1.8920029311264335E-2</v>
      </c>
      <c r="AO458" s="17" t="s">
        <v>1759</v>
      </c>
      <c r="AP458" s="17">
        <f t="shared" si="133"/>
        <v>0.85831696211942765</v>
      </c>
      <c r="AR458" s="1" t="s">
        <v>375</v>
      </c>
      <c r="AS458" s="17">
        <f t="shared" si="134"/>
        <v>0.85831696211942765</v>
      </c>
      <c r="AT458" s="17">
        <f t="shared" si="135"/>
        <v>238</v>
      </c>
    </row>
    <row r="459" spans="6:46" x14ac:dyDescent="0.3">
      <c r="F459" s="1">
        <v>457</v>
      </c>
      <c r="G459" s="1" t="s">
        <v>376</v>
      </c>
      <c r="H459" s="1">
        <v>0</v>
      </c>
      <c r="I459" s="1">
        <v>85</v>
      </c>
      <c r="J459" s="1">
        <v>1</v>
      </c>
      <c r="K459" s="1">
        <v>2</v>
      </c>
      <c r="M459" s="1" t="s">
        <v>376</v>
      </c>
      <c r="N459" s="1">
        <f t="shared" si="119"/>
        <v>0</v>
      </c>
      <c r="O459" s="1">
        <f t="shared" si="120"/>
        <v>0.80952380952380953</v>
      </c>
      <c r="P459" s="1">
        <f t="shared" si="121"/>
        <v>1</v>
      </c>
      <c r="Q459" s="1">
        <f t="shared" si="122"/>
        <v>0.66666666666666663</v>
      </c>
      <c r="S459" s="1" t="s">
        <v>376</v>
      </c>
      <c r="T459" s="1">
        <f t="shared" si="123"/>
        <v>0</v>
      </c>
      <c r="U459" s="1">
        <f t="shared" si="124"/>
        <v>6.165830984141446E-2</v>
      </c>
      <c r="V459" s="1">
        <f t="shared" si="125"/>
        <v>6.3148764190579729E-2</v>
      </c>
      <c r="W459" s="1">
        <f t="shared" si="126"/>
        <v>2.6906911759852478E-2</v>
      </c>
      <c r="Y459" s="1" t="s">
        <v>376</v>
      </c>
      <c r="Z459" s="1">
        <f t="shared" si="127"/>
        <v>0</v>
      </c>
      <c r="AA459" s="1">
        <f t="shared" si="128"/>
        <v>1.2331661968282892E-2</v>
      </c>
      <c r="AB459" s="1">
        <f t="shared" si="129"/>
        <v>1.8944629257173919E-2</v>
      </c>
      <c r="AC459" s="1">
        <f t="shared" si="130"/>
        <v>5.3813823519704958E-3</v>
      </c>
      <c r="AK459" s="17" t="s">
        <v>1048</v>
      </c>
      <c r="AL459" s="17">
        <f t="shared" si="131"/>
        <v>3.3853944422021741E-2</v>
      </c>
      <c r="AM459" s="17">
        <f t="shared" si="132"/>
        <v>9.5277636440703837E-3</v>
      </c>
      <c r="AO459" s="17" t="s">
        <v>1760</v>
      </c>
      <c r="AP459" s="17">
        <f t="shared" si="133"/>
        <v>0.29096509116188374</v>
      </c>
      <c r="AR459" s="1" t="s">
        <v>376</v>
      </c>
      <c r="AS459" s="17">
        <f t="shared" si="134"/>
        <v>0.29096509116188374</v>
      </c>
      <c r="AT459" s="17">
        <f t="shared" si="135"/>
        <v>651</v>
      </c>
    </row>
    <row r="460" spans="6:46" x14ac:dyDescent="0.3">
      <c r="F460" s="1">
        <v>458</v>
      </c>
      <c r="G460" s="1" t="s">
        <v>377</v>
      </c>
      <c r="H460" s="1">
        <v>0</v>
      </c>
      <c r="I460" s="1">
        <v>57</v>
      </c>
      <c r="J460" s="1">
        <v>2</v>
      </c>
      <c r="K460" s="1">
        <v>2</v>
      </c>
      <c r="M460" s="1" t="s">
        <v>377</v>
      </c>
      <c r="N460" s="1">
        <f t="shared" si="119"/>
        <v>0</v>
      </c>
      <c r="O460" s="1">
        <f t="shared" si="120"/>
        <v>0.54285714285714282</v>
      </c>
      <c r="P460" s="1">
        <f t="shared" si="121"/>
        <v>0.5</v>
      </c>
      <c r="Q460" s="1">
        <f t="shared" si="122"/>
        <v>0.66666666666666663</v>
      </c>
      <c r="S460" s="1" t="s">
        <v>377</v>
      </c>
      <c r="T460" s="1">
        <f t="shared" si="123"/>
        <v>0</v>
      </c>
      <c r="U460" s="1">
        <f t="shared" si="124"/>
        <v>4.1347337187772046E-2</v>
      </c>
      <c r="V460" s="1">
        <f t="shared" si="125"/>
        <v>3.1574382095289864E-2</v>
      </c>
      <c r="W460" s="1">
        <f t="shared" si="126"/>
        <v>2.6906911759852478E-2</v>
      </c>
      <c r="Y460" s="1" t="s">
        <v>377</v>
      </c>
      <c r="Z460" s="1">
        <f t="shared" si="127"/>
        <v>0</v>
      </c>
      <c r="AA460" s="1">
        <f t="shared" si="128"/>
        <v>8.2694674375544102E-3</v>
      </c>
      <c r="AB460" s="1">
        <f t="shared" si="129"/>
        <v>9.4723146285869593E-3</v>
      </c>
      <c r="AC460" s="1">
        <f t="shared" si="130"/>
        <v>5.3813823519704958E-3</v>
      </c>
      <c r="AK460" s="17" t="s">
        <v>1049</v>
      </c>
      <c r="AL460" s="17">
        <f t="shared" si="131"/>
        <v>3.1444713435500475E-2</v>
      </c>
      <c r="AM460" s="17">
        <f t="shared" si="132"/>
        <v>1.1079171406789882E-2</v>
      </c>
      <c r="AO460" s="17" t="s">
        <v>1761</v>
      </c>
      <c r="AP460" s="17">
        <f t="shared" si="133"/>
        <v>0.36341729748052637</v>
      </c>
      <c r="AR460" s="1" t="s">
        <v>377</v>
      </c>
      <c r="AS460" s="17">
        <f t="shared" si="134"/>
        <v>0.36341729748052637</v>
      </c>
      <c r="AT460" s="17">
        <f t="shared" si="135"/>
        <v>623</v>
      </c>
    </row>
    <row r="461" spans="6:46" x14ac:dyDescent="0.3">
      <c r="F461" s="1">
        <v>459</v>
      </c>
      <c r="G461" s="1" t="s">
        <v>378</v>
      </c>
      <c r="H461" s="1">
        <v>4</v>
      </c>
      <c r="I461" s="1">
        <v>35</v>
      </c>
      <c r="J461" s="1">
        <v>2</v>
      </c>
      <c r="K461" s="1">
        <v>3</v>
      </c>
      <c r="M461" s="1" t="s">
        <v>378</v>
      </c>
      <c r="N461" s="1">
        <f t="shared" si="119"/>
        <v>0.5714285714285714</v>
      </c>
      <c r="O461" s="1">
        <f t="shared" si="120"/>
        <v>0.33333333333333331</v>
      </c>
      <c r="P461" s="1">
        <f t="shared" si="121"/>
        <v>0.5</v>
      </c>
      <c r="Q461" s="1">
        <f t="shared" si="122"/>
        <v>1</v>
      </c>
      <c r="S461" s="1" t="s">
        <v>378</v>
      </c>
      <c r="T461" s="1">
        <f t="shared" si="123"/>
        <v>5.7166195047503046E-2</v>
      </c>
      <c r="U461" s="1">
        <f t="shared" si="124"/>
        <v>2.5388715817053011E-2</v>
      </c>
      <c r="V461" s="1">
        <f t="shared" si="125"/>
        <v>3.1574382095289864E-2</v>
      </c>
      <c r="W461" s="1">
        <f t="shared" si="126"/>
        <v>4.0360367639778717E-2</v>
      </c>
      <c r="Y461" s="1" t="s">
        <v>378</v>
      </c>
      <c r="Z461" s="1">
        <f t="shared" si="127"/>
        <v>1.7149858514250913E-2</v>
      </c>
      <c r="AA461" s="1">
        <f t="shared" si="128"/>
        <v>5.0777431634106028E-3</v>
      </c>
      <c r="AB461" s="1">
        <f t="shared" si="129"/>
        <v>9.4723146285869593E-3</v>
      </c>
      <c r="AC461" s="1">
        <f t="shared" si="130"/>
        <v>8.0720735279557441E-3</v>
      </c>
      <c r="AK461" s="17" t="s">
        <v>1050</v>
      </c>
      <c r="AL461" s="17">
        <f t="shared" si="131"/>
        <v>1.7345777209370028E-2</v>
      </c>
      <c r="AM461" s="17">
        <f t="shared" si="132"/>
        <v>2.0404870368383565E-2</v>
      </c>
      <c r="AO461" s="17" t="s">
        <v>1762</v>
      </c>
      <c r="AP461" s="17">
        <f t="shared" si="133"/>
        <v>1.1967644028407043</v>
      </c>
      <c r="AR461" s="1" t="s">
        <v>378</v>
      </c>
      <c r="AS461" s="17">
        <f t="shared" si="134"/>
        <v>1.1967644028407043</v>
      </c>
      <c r="AT461" s="17">
        <f t="shared" si="135"/>
        <v>86</v>
      </c>
    </row>
    <row r="462" spans="6:46" x14ac:dyDescent="0.3">
      <c r="F462" s="1">
        <v>460</v>
      </c>
      <c r="G462" s="1" t="s">
        <v>379</v>
      </c>
      <c r="H462" s="1">
        <v>3</v>
      </c>
      <c r="I462" s="1">
        <v>76</v>
      </c>
      <c r="J462" s="1">
        <v>2</v>
      </c>
      <c r="K462" s="1">
        <v>3</v>
      </c>
      <c r="M462" s="1" t="s">
        <v>379</v>
      </c>
      <c r="N462" s="1">
        <f t="shared" si="119"/>
        <v>0.42857142857142855</v>
      </c>
      <c r="O462" s="1">
        <f t="shared" si="120"/>
        <v>0.72380952380952379</v>
      </c>
      <c r="P462" s="1">
        <f t="shared" si="121"/>
        <v>0.5</v>
      </c>
      <c r="Q462" s="1">
        <f t="shared" si="122"/>
        <v>1</v>
      </c>
      <c r="S462" s="1" t="s">
        <v>379</v>
      </c>
      <c r="T462" s="1">
        <f t="shared" si="123"/>
        <v>4.2874646285627281E-2</v>
      </c>
      <c r="U462" s="1">
        <f t="shared" si="124"/>
        <v>5.5129782917029399E-2</v>
      </c>
      <c r="V462" s="1">
        <f t="shared" si="125"/>
        <v>3.1574382095289864E-2</v>
      </c>
      <c r="W462" s="1">
        <f t="shared" si="126"/>
        <v>4.0360367639778717E-2</v>
      </c>
      <c r="Y462" s="1" t="s">
        <v>379</v>
      </c>
      <c r="Z462" s="1">
        <f t="shared" si="127"/>
        <v>1.2862393885688184E-2</v>
      </c>
      <c r="AA462" s="1">
        <f t="shared" si="128"/>
        <v>1.1025956583405881E-2</v>
      </c>
      <c r="AB462" s="1">
        <f t="shared" si="129"/>
        <v>9.4723146285869593E-3</v>
      </c>
      <c r="AC462" s="1">
        <f t="shared" si="130"/>
        <v>8.0720735279557441E-3</v>
      </c>
      <c r="AK462" s="17" t="s">
        <v>1051</v>
      </c>
      <c r="AL462" s="17">
        <f t="shared" si="131"/>
        <v>1.8550463615866732E-2</v>
      </c>
      <c r="AM462" s="17">
        <f t="shared" si="132"/>
        <v>1.8587640861258227E-2</v>
      </c>
      <c r="AO462" s="17" t="s">
        <v>1763</v>
      </c>
      <c r="AP462" s="17">
        <f t="shared" si="133"/>
        <v>1.0205917549449459</v>
      </c>
      <c r="AR462" s="1" t="s">
        <v>379</v>
      </c>
      <c r="AS462" s="17">
        <f t="shared" si="134"/>
        <v>1.0205917549449459</v>
      </c>
      <c r="AT462" s="17">
        <f t="shared" si="135"/>
        <v>129</v>
      </c>
    </row>
    <row r="463" spans="6:46" x14ac:dyDescent="0.3">
      <c r="F463" s="1">
        <v>461</v>
      </c>
      <c r="G463" s="1" t="s">
        <v>380</v>
      </c>
      <c r="H463" s="1">
        <v>3</v>
      </c>
      <c r="I463" s="1">
        <v>40</v>
      </c>
      <c r="J463" s="1">
        <v>2</v>
      </c>
      <c r="K463" s="1">
        <v>3</v>
      </c>
      <c r="M463" s="1" t="s">
        <v>380</v>
      </c>
      <c r="N463" s="1">
        <f t="shared" si="119"/>
        <v>0.42857142857142855</v>
      </c>
      <c r="O463" s="1">
        <f t="shared" si="120"/>
        <v>0.38095238095238093</v>
      </c>
      <c r="P463" s="1">
        <f t="shared" si="121"/>
        <v>0.5</v>
      </c>
      <c r="Q463" s="1">
        <f t="shared" si="122"/>
        <v>1</v>
      </c>
      <c r="S463" s="1" t="s">
        <v>380</v>
      </c>
      <c r="T463" s="1">
        <f t="shared" si="123"/>
        <v>4.2874646285627281E-2</v>
      </c>
      <c r="U463" s="1">
        <f t="shared" si="124"/>
        <v>2.9015675219489157E-2</v>
      </c>
      <c r="V463" s="1">
        <f t="shared" si="125"/>
        <v>3.1574382095289864E-2</v>
      </c>
      <c r="W463" s="1">
        <f t="shared" si="126"/>
        <v>4.0360367639778717E-2</v>
      </c>
      <c r="Y463" s="1" t="s">
        <v>380</v>
      </c>
      <c r="Z463" s="1">
        <f t="shared" si="127"/>
        <v>1.2862393885688184E-2</v>
      </c>
      <c r="AA463" s="1">
        <f t="shared" si="128"/>
        <v>5.8031350438978316E-3</v>
      </c>
      <c r="AB463" s="1">
        <f t="shared" si="129"/>
        <v>9.4723146285869593E-3</v>
      </c>
      <c r="AC463" s="1">
        <f t="shared" si="130"/>
        <v>8.0720735279557441E-3</v>
      </c>
      <c r="AK463" s="17" t="s">
        <v>1052</v>
      </c>
      <c r="AL463" s="17">
        <f t="shared" si="131"/>
        <v>2.0380020518092293E-2</v>
      </c>
      <c r="AM463" s="17">
        <f t="shared" si="132"/>
        <v>1.7057100079439589E-2</v>
      </c>
      <c r="AO463" s="17" t="s">
        <v>1764</v>
      </c>
      <c r="AP463" s="17">
        <f t="shared" si="133"/>
        <v>0.85400915634931462</v>
      </c>
      <c r="AR463" s="1" t="s">
        <v>380</v>
      </c>
      <c r="AS463" s="17">
        <f t="shared" si="134"/>
        <v>0.85400915634931462</v>
      </c>
      <c r="AT463" s="17">
        <f t="shared" si="135"/>
        <v>247</v>
      </c>
    </row>
    <row r="464" spans="6:46" x14ac:dyDescent="0.3">
      <c r="F464" s="1">
        <v>462</v>
      </c>
      <c r="G464" s="1" t="s">
        <v>381</v>
      </c>
      <c r="H464" s="1">
        <v>2</v>
      </c>
      <c r="I464" s="1">
        <v>32</v>
      </c>
      <c r="J464" s="1">
        <v>2</v>
      </c>
      <c r="K464" s="1">
        <v>3</v>
      </c>
      <c r="M464" s="1" t="s">
        <v>381</v>
      </c>
      <c r="N464" s="1">
        <f t="shared" si="119"/>
        <v>0.2857142857142857</v>
      </c>
      <c r="O464" s="1">
        <f t="shared" si="120"/>
        <v>0.30476190476190479</v>
      </c>
      <c r="P464" s="1">
        <f t="shared" si="121"/>
        <v>0.5</v>
      </c>
      <c r="Q464" s="1">
        <f t="shared" si="122"/>
        <v>1</v>
      </c>
      <c r="S464" s="1" t="s">
        <v>381</v>
      </c>
      <c r="T464" s="1">
        <f t="shared" si="123"/>
        <v>2.8583097523751523E-2</v>
      </c>
      <c r="U464" s="1">
        <f t="shared" si="124"/>
        <v>2.321254017559133E-2</v>
      </c>
      <c r="V464" s="1">
        <f t="shared" si="125"/>
        <v>3.1574382095289864E-2</v>
      </c>
      <c r="W464" s="1">
        <f t="shared" si="126"/>
        <v>4.0360367639778717E-2</v>
      </c>
      <c r="Y464" s="1" t="s">
        <v>381</v>
      </c>
      <c r="Z464" s="1">
        <f t="shared" si="127"/>
        <v>8.5749292571254566E-3</v>
      </c>
      <c r="AA464" s="1">
        <f t="shared" si="128"/>
        <v>4.642508035118266E-3</v>
      </c>
      <c r="AB464" s="1">
        <f t="shared" si="129"/>
        <v>9.4723146285869593E-3</v>
      </c>
      <c r="AC464" s="1">
        <f t="shared" si="130"/>
        <v>8.0720735279557441E-3</v>
      </c>
      <c r="AK464" s="17" t="s">
        <v>1053</v>
      </c>
      <c r="AL464" s="17">
        <f t="shared" si="131"/>
        <v>2.4576881666750868E-2</v>
      </c>
      <c r="AM464" s="17">
        <f t="shared" si="132"/>
        <v>1.3939806516837145E-2</v>
      </c>
      <c r="AO464" s="17" t="s">
        <v>1765</v>
      </c>
      <c r="AP464" s="17">
        <f t="shared" si="133"/>
        <v>0.58113163767968889</v>
      </c>
      <c r="AR464" s="1" t="s">
        <v>381</v>
      </c>
      <c r="AS464" s="17">
        <f t="shared" si="134"/>
        <v>0.58113163767968889</v>
      </c>
      <c r="AT464" s="17">
        <f t="shared" si="135"/>
        <v>467</v>
      </c>
    </row>
    <row r="465" spans="6:46" x14ac:dyDescent="0.3">
      <c r="F465" s="1">
        <v>463</v>
      </c>
      <c r="G465" s="1" t="s">
        <v>257</v>
      </c>
      <c r="H465" s="1">
        <v>1</v>
      </c>
      <c r="I465" s="1">
        <v>75</v>
      </c>
      <c r="J465" s="1">
        <v>2</v>
      </c>
      <c r="K465" s="1">
        <v>3</v>
      </c>
      <c r="M465" s="1" t="s">
        <v>257</v>
      </c>
      <c r="N465" s="1">
        <f t="shared" si="119"/>
        <v>0.14285714285714285</v>
      </c>
      <c r="O465" s="1">
        <f t="shared" si="120"/>
        <v>0.7142857142857143</v>
      </c>
      <c r="P465" s="1">
        <f t="shared" si="121"/>
        <v>0.5</v>
      </c>
      <c r="Q465" s="1">
        <f t="shared" si="122"/>
        <v>1</v>
      </c>
      <c r="S465" s="1" t="s">
        <v>257</v>
      </c>
      <c r="T465" s="1">
        <f t="shared" si="123"/>
        <v>1.4291548761875762E-2</v>
      </c>
      <c r="U465" s="1">
        <f t="shared" si="124"/>
        <v>5.4404391036542175E-2</v>
      </c>
      <c r="V465" s="1">
        <f t="shared" si="125"/>
        <v>3.1574382095289864E-2</v>
      </c>
      <c r="W465" s="1">
        <f t="shared" si="126"/>
        <v>4.0360367639778717E-2</v>
      </c>
      <c r="Y465" s="1" t="s">
        <v>257</v>
      </c>
      <c r="Z465" s="1">
        <f t="shared" si="127"/>
        <v>4.2874646285627283E-3</v>
      </c>
      <c r="AA465" s="1">
        <f t="shared" si="128"/>
        <v>1.0880878207308436E-2</v>
      </c>
      <c r="AB465" s="1">
        <f t="shared" si="129"/>
        <v>9.4723146285869593E-3</v>
      </c>
      <c r="AC465" s="1">
        <f t="shared" si="130"/>
        <v>8.0720735279557441E-3</v>
      </c>
      <c r="AK465" s="17" t="s">
        <v>1054</v>
      </c>
      <c r="AL465" s="17">
        <f t="shared" si="131"/>
        <v>2.6702220423863242E-2</v>
      </c>
      <c r="AM465" s="17">
        <f t="shared" si="132"/>
        <v>1.400676485096111E-2</v>
      </c>
      <c r="AO465" s="17" t="s">
        <v>1766</v>
      </c>
      <c r="AP465" s="17">
        <f t="shared" si="133"/>
        <v>0.53856107638842199</v>
      </c>
      <c r="AR465" s="1" t="s">
        <v>257</v>
      </c>
      <c r="AS465" s="17">
        <f t="shared" si="134"/>
        <v>0.53856107638842199</v>
      </c>
      <c r="AT465" s="17">
        <f t="shared" si="135"/>
        <v>514</v>
      </c>
    </row>
    <row r="466" spans="6:46" x14ac:dyDescent="0.3">
      <c r="F466" s="1">
        <v>464</v>
      </c>
      <c r="G466" s="1" t="s">
        <v>382</v>
      </c>
      <c r="H466" s="1">
        <v>1</v>
      </c>
      <c r="I466" s="1">
        <v>54</v>
      </c>
      <c r="J466" s="1">
        <v>1</v>
      </c>
      <c r="K466" s="1">
        <v>2</v>
      </c>
      <c r="M466" s="1" t="s">
        <v>382</v>
      </c>
      <c r="N466" s="1">
        <f t="shared" si="119"/>
        <v>0.14285714285714285</v>
      </c>
      <c r="O466" s="1">
        <f t="shared" si="120"/>
        <v>0.51428571428571423</v>
      </c>
      <c r="P466" s="1">
        <f t="shared" si="121"/>
        <v>1</v>
      </c>
      <c r="Q466" s="1">
        <f t="shared" si="122"/>
        <v>0.66666666666666663</v>
      </c>
      <c r="S466" s="1" t="s">
        <v>382</v>
      </c>
      <c r="T466" s="1">
        <f t="shared" si="123"/>
        <v>1.4291548761875762E-2</v>
      </c>
      <c r="U466" s="1">
        <f t="shared" si="124"/>
        <v>3.9171161546310361E-2</v>
      </c>
      <c r="V466" s="1">
        <f t="shared" si="125"/>
        <v>6.3148764190579729E-2</v>
      </c>
      <c r="W466" s="1">
        <f t="shared" si="126"/>
        <v>2.6906911759852478E-2</v>
      </c>
      <c r="Y466" s="1" t="s">
        <v>382</v>
      </c>
      <c r="Z466" s="1">
        <f t="shared" si="127"/>
        <v>4.2874646285627283E-3</v>
      </c>
      <c r="AA466" s="1">
        <f t="shared" si="128"/>
        <v>7.8342323092620725E-3</v>
      </c>
      <c r="AB466" s="1">
        <f t="shared" si="129"/>
        <v>1.8944629257173919E-2</v>
      </c>
      <c r="AC466" s="1">
        <f t="shared" si="130"/>
        <v>5.3813823519704958E-3</v>
      </c>
      <c r="AK466" s="17" t="s">
        <v>1055</v>
      </c>
      <c r="AL466" s="17">
        <f t="shared" si="131"/>
        <v>3.0877905205722929E-2</v>
      </c>
      <c r="AM466" s="17">
        <f t="shared" si="132"/>
        <v>6.8684097724174154E-3</v>
      </c>
      <c r="AO466" s="17" t="s">
        <v>1767</v>
      </c>
      <c r="AP466" s="17">
        <f t="shared" si="133"/>
        <v>0.2293060954462636</v>
      </c>
      <c r="AR466" s="1" t="s">
        <v>382</v>
      </c>
      <c r="AS466" s="17">
        <f t="shared" si="134"/>
        <v>0.2293060954462636</v>
      </c>
      <c r="AT466" s="17">
        <f t="shared" si="135"/>
        <v>672</v>
      </c>
    </row>
    <row r="467" spans="6:46" x14ac:dyDescent="0.3">
      <c r="F467" s="1">
        <v>465</v>
      </c>
      <c r="G467" s="1" t="s">
        <v>383</v>
      </c>
      <c r="H467" s="1">
        <v>0</v>
      </c>
      <c r="I467" s="1">
        <v>57</v>
      </c>
      <c r="J467" s="1">
        <v>1</v>
      </c>
      <c r="K467" s="1">
        <v>2</v>
      </c>
      <c r="M467" s="1" t="s">
        <v>383</v>
      </c>
      <c r="N467" s="1">
        <f t="shared" si="119"/>
        <v>0</v>
      </c>
      <c r="O467" s="1">
        <f t="shared" si="120"/>
        <v>0.54285714285714282</v>
      </c>
      <c r="P467" s="1">
        <f t="shared" si="121"/>
        <v>1</v>
      </c>
      <c r="Q467" s="1">
        <f t="shared" si="122"/>
        <v>0.66666666666666663</v>
      </c>
      <c r="S467" s="1" t="s">
        <v>383</v>
      </c>
      <c r="T467" s="1">
        <f t="shared" si="123"/>
        <v>0</v>
      </c>
      <c r="U467" s="1">
        <f t="shared" si="124"/>
        <v>4.1347337187772046E-2</v>
      </c>
      <c r="V467" s="1">
        <f t="shared" si="125"/>
        <v>6.3148764190579729E-2</v>
      </c>
      <c r="W467" s="1">
        <f t="shared" si="126"/>
        <v>2.6906911759852478E-2</v>
      </c>
      <c r="Y467" s="1" t="s">
        <v>383</v>
      </c>
      <c r="Z467" s="1">
        <f t="shared" si="127"/>
        <v>0</v>
      </c>
      <c r="AA467" s="1">
        <f t="shared" si="128"/>
        <v>8.2694674375544102E-3</v>
      </c>
      <c r="AB467" s="1">
        <f t="shared" si="129"/>
        <v>1.8944629257173919E-2</v>
      </c>
      <c r="AC467" s="1">
        <f t="shared" si="130"/>
        <v>5.3813823519704958E-3</v>
      </c>
      <c r="AK467" s="17" t="s">
        <v>1056</v>
      </c>
      <c r="AL467" s="17">
        <f t="shared" si="131"/>
        <v>3.4440738098525381E-2</v>
      </c>
      <c r="AM467" s="17">
        <f t="shared" si="132"/>
        <v>5.7465898268527901E-3</v>
      </c>
      <c r="AO467" s="17" t="s">
        <v>1768</v>
      </c>
      <c r="AP467" s="17">
        <f t="shared" si="133"/>
        <v>0.17260102280716214</v>
      </c>
      <c r="AR467" s="1" t="s">
        <v>383</v>
      </c>
      <c r="AS467" s="17">
        <f t="shared" si="134"/>
        <v>0.17260102280716214</v>
      </c>
      <c r="AT467" s="17">
        <f t="shared" si="135"/>
        <v>696</v>
      </c>
    </row>
    <row r="468" spans="6:46" x14ac:dyDescent="0.3">
      <c r="F468" s="1">
        <v>466</v>
      </c>
      <c r="G468" s="1" t="s">
        <v>384</v>
      </c>
      <c r="H468" s="1">
        <v>1</v>
      </c>
      <c r="I468" s="1">
        <v>45</v>
      </c>
      <c r="J468" s="1">
        <v>1</v>
      </c>
      <c r="K468" s="1">
        <v>3</v>
      </c>
      <c r="M468" s="1" t="s">
        <v>384</v>
      </c>
      <c r="N468" s="1">
        <f t="shared" si="119"/>
        <v>0.14285714285714285</v>
      </c>
      <c r="O468" s="1">
        <f t="shared" si="120"/>
        <v>0.42857142857142855</v>
      </c>
      <c r="P468" s="1">
        <f t="shared" si="121"/>
        <v>1</v>
      </c>
      <c r="Q468" s="1">
        <f t="shared" si="122"/>
        <v>1</v>
      </c>
      <c r="S468" s="1" t="s">
        <v>384</v>
      </c>
      <c r="T468" s="1">
        <f t="shared" si="123"/>
        <v>1.4291548761875762E-2</v>
      </c>
      <c r="U468" s="1">
        <f t="shared" si="124"/>
        <v>3.26426346219253E-2</v>
      </c>
      <c r="V468" s="1">
        <f t="shared" si="125"/>
        <v>6.3148764190579729E-2</v>
      </c>
      <c r="W468" s="1">
        <f t="shared" si="126"/>
        <v>4.0360367639778717E-2</v>
      </c>
      <c r="Y468" s="1" t="s">
        <v>384</v>
      </c>
      <c r="Z468" s="1">
        <f t="shared" si="127"/>
        <v>4.2874646285627283E-3</v>
      </c>
      <c r="AA468" s="1">
        <f t="shared" si="128"/>
        <v>6.5285269243850605E-3</v>
      </c>
      <c r="AB468" s="1">
        <f t="shared" si="129"/>
        <v>1.8944629257173919E-2</v>
      </c>
      <c r="AC468" s="1">
        <f t="shared" si="130"/>
        <v>8.0720735279557441E-3</v>
      </c>
      <c r="AK468" s="17" t="s">
        <v>1057</v>
      </c>
      <c r="AL468" s="17">
        <f t="shared" si="131"/>
        <v>3.1100352061752407E-2</v>
      </c>
      <c r="AM468" s="17">
        <f t="shared" si="132"/>
        <v>7.6469523920273692E-3</v>
      </c>
      <c r="AO468" s="17" t="s">
        <v>1769</v>
      </c>
      <c r="AP468" s="17">
        <f t="shared" si="133"/>
        <v>0.25352688252412658</v>
      </c>
      <c r="AR468" s="1" t="s">
        <v>384</v>
      </c>
      <c r="AS468" s="17">
        <f t="shared" si="134"/>
        <v>0.25352688252412658</v>
      </c>
      <c r="AT468" s="17">
        <f t="shared" si="135"/>
        <v>662</v>
      </c>
    </row>
    <row r="469" spans="6:46" x14ac:dyDescent="0.3">
      <c r="F469" s="1">
        <v>467</v>
      </c>
      <c r="G469" s="1" t="s">
        <v>385</v>
      </c>
      <c r="H469" s="1">
        <v>3</v>
      </c>
      <c r="I469" s="1">
        <v>78</v>
      </c>
      <c r="J469" s="1">
        <v>2</v>
      </c>
      <c r="K469" s="1">
        <v>3</v>
      </c>
      <c r="M469" s="1" t="s">
        <v>385</v>
      </c>
      <c r="N469" s="1">
        <f t="shared" si="119"/>
        <v>0.42857142857142855</v>
      </c>
      <c r="O469" s="1">
        <f t="shared" si="120"/>
        <v>0.74285714285714288</v>
      </c>
      <c r="P469" s="1">
        <f t="shared" si="121"/>
        <v>0.5</v>
      </c>
      <c r="Q469" s="1">
        <f t="shared" si="122"/>
        <v>1</v>
      </c>
      <c r="S469" s="1" t="s">
        <v>385</v>
      </c>
      <c r="T469" s="1">
        <f t="shared" si="123"/>
        <v>4.2874646285627281E-2</v>
      </c>
      <c r="U469" s="1">
        <f t="shared" si="124"/>
        <v>5.658056667800386E-2</v>
      </c>
      <c r="V469" s="1">
        <f t="shared" si="125"/>
        <v>3.1574382095289864E-2</v>
      </c>
      <c r="W469" s="1">
        <f t="shared" si="126"/>
        <v>4.0360367639778717E-2</v>
      </c>
      <c r="Y469" s="1" t="s">
        <v>385</v>
      </c>
      <c r="Z469" s="1">
        <f t="shared" si="127"/>
        <v>1.2862393885688184E-2</v>
      </c>
      <c r="AA469" s="1">
        <f t="shared" si="128"/>
        <v>1.1316113335600772E-2</v>
      </c>
      <c r="AB469" s="1">
        <f t="shared" si="129"/>
        <v>9.4723146285869593E-3</v>
      </c>
      <c r="AC469" s="1">
        <f t="shared" si="130"/>
        <v>8.0720735279557441E-3</v>
      </c>
      <c r="AK469" s="17" t="s">
        <v>1058</v>
      </c>
      <c r="AL469" s="17">
        <f t="shared" si="131"/>
        <v>1.8486815680910419E-2</v>
      </c>
      <c r="AM469" s="17">
        <f t="shared" si="132"/>
        <v>1.8711784910412806E-2</v>
      </c>
      <c r="AO469" s="17" t="s">
        <v>1770</v>
      </c>
      <c r="AP469" s="17">
        <f t="shared" si="133"/>
        <v>1.0308809563559145</v>
      </c>
      <c r="AR469" s="1" t="s">
        <v>385</v>
      </c>
      <c r="AS469" s="17">
        <f t="shared" si="134"/>
        <v>1.0308809563559145</v>
      </c>
      <c r="AT469" s="17">
        <f t="shared" si="135"/>
        <v>127</v>
      </c>
    </row>
    <row r="470" spans="6:46" x14ac:dyDescent="0.3">
      <c r="F470" s="1">
        <v>468</v>
      </c>
      <c r="G470" s="1" t="s">
        <v>386</v>
      </c>
      <c r="H470" s="1">
        <v>1</v>
      </c>
      <c r="I470" s="1">
        <v>65</v>
      </c>
      <c r="J470" s="1">
        <v>2</v>
      </c>
      <c r="K470" s="1">
        <v>3</v>
      </c>
      <c r="M470" s="1" t="s">
        <v>386</v>
      </c>
      <c r="N470" s="1">
        <f t="shared" si="119"/>
        <v>0.14285714285714285</v>
      </c>
      <c r="O470" s="1">
        <f t="shared" si="120"/>
        <v>0.61904761904761907</v>
      </c>
      <c r="P470" s="1">
        <f t="shared" si="121"/>
        <v>0.5</v>
      </c>
      <c r="Q470" s="1">
        <f t="shared" si="122"/>
        <v>1</v>
      </c>
      <c r="S470" s="1" t="s">
        <v>386</v>
      </c>
      <c r="T470" s="1">
        <f t="shared" si="123"/>
        <v>1.4291548761875762E-2</v>
      </c>
      <c r="U470" s="1">
        <f t="shared" si="124"/>
        <v>4.7150472231669883E-2</v>
      </c>
      <c r="V470" s="1">
        <f t="shared" si="125"/>
        <v>3.1574382095289864E-2</v>
      </c>
      <c r="W470" s="1">
        <f t="shared" si="126"/>
        <v>4.0360367639778717E-2</v>
      </c>
      <c r="Y470" s="1" t="s">
        <v>386</v>
      </c>
      <c r="Z470" s="1">
        <f t="shared" si="127"/>
        <v>4.2874646285627283E-3</v>
      </c>
      <c r="AA470" s="1">
        <f t="shared" si="128"/>
        <v>9.4300944463339767E-3</v>
      </c>
      <c r="AB470" s="1">
        <f t="shared" si="129"/>
        <v>9.4723146285869593E-3</v>
      </c>
      <c r="AC470" s="1">
        <f t="shared" si="130"/>
        <v>8.0720735279557441E-3</v>
      </c>
      <c r="AK470" s="17" t="s">
        <v>1059</v>
      </c>
      <c r="AL470" s="17">
        <f t="shared" si="131"/>
        <v>2.6976693463290301E-2</v>
      </c>
      <c r="AM470" s="17">
        <f t="shared" si="132"/>
        <v>1.326588239762024E-2</v>
      </c>
      <c r="AO470" s="17" t="s">
        <v>1771</v>
      </c>
      <c r="AP470" s="17">
        <f t="shared" si="133"/>
        <v>0.50501934416536287</v>
      </c>
      <c r="AR470" s="1" t="s">
        <v>386</v>
      </c>
      <c r="AS470" s="17">
        <f t="shared" si="134"/>
        <v>0.50501934416536287</v>
      </c>
      <c r="AT470" s="17">
        <f t="shared" si="135"/>
        <v>529</v>
      </c>
    </row>
    <row r="471" spans="6:46" x14ac:dyDescent="0.3">
      <c r="F471" s="1">
        <v>469</v>
      </c>
      <c r="G471" s="1" t="s">
        <v>387</v>
      </c>
      <c r="H471" s="1">
        <v>3</v>
      </c>
      <c r="I471" s="1">
        <v>69</v>
      </c>
      <c r="J471" s="1">
        <v>1</v>
      </c>
      <c r="K471" s="1">
        <v>3</v>
      </c>
      <c r="M471" s="1" t="s">
        <v>387</v>
      </c>
      <c r="N471" s="1">
        <f t="shared" si="119"/>
        <v>0.42857142857142855</v>
      </c>
      <c r="O471" s="1">
        <f t="shared" si="120"/>
        <v>0.65714285714285714</v>
      </c>
      <c r="P471" s="1">
        <f t="shared" si="121"/>
        <v>1</v>
      </c>
      <c r="Q471" s="1">
        <f t="shared" si="122"/>
        <v>1</v>
      </c>
      <c r="S471" s="1" t="s">
        <v>387</v>
      </c>
      <c r="T471" s="1">
        <f t="shared" si="123"/>
        <v>4.2874646285627281E-2</v>
      </c>
      <c r="U471" s="1">
        <f t="shared" si="124"/>
        <v>5.0052039753618799E-2</v>
      </c>
      <c r="V471" s="1">
        <f t="shared" si="125"/>
        <v>6.3148764190579729E-2</v>
      </c>
      <c r="W471" s="1">
        <f t="shared" si="126"/>
        <v>4.0360367639778717E-2</v>
      </c>
      <c r="Y471" s="1" t="s">
        <v>387</v>
      </c>
      <c r="Z471" s="1">
        <f t="shared" si="127"/>
        <v>1.2862393885688184E-2</v>
      </c>
      <c r="AA471" s="1">
        <f t="shared" si="128"/>
        <v>1.0010407950723761E-2</v>
      </c>
      <c r="AB471" s="1">
        <f t="shared" si="129"/>
        <v>1.8944629257173919E-2</v>
      </c>
      <c r="AC471" s="1">
        <f t="shared" si="130"/>
        <v>8.0720735279557441E-3</v>
      </c>
      <c r="AK471" s="17" t="s">
        <v>1060</v>
      </c>
      <c r="AL471" s="17">
        <f t="shared" si="131"/>
        <v>2.3475324441104253E-2</v>
      </c>
      <c r="AM471" s="17">
        <f t="shared" si="132"/>
        <v>1.5520789270199701E-2</v>
      </c>
      <c r="AO471" s="17" t="s">
        <v>1772</v>
      </c>
      <c r="AP471" s="17">
        <f t="shared" si="133"/>
        <v>0.67667413388696196</v>
      </c>
      <c r="AR471" s="1" t="s">
        <v>387</v>
      </c>
      <c r="AS471" s="17">
        <f t="shared" si="134"/>
        <v>0.67667413388696196</v>
      </c>
      <c r="AT471" s="17">
        <f t="shared" si="135"/>
        <v>365</v>
      </c>
    </row>
    <row r="472" spans="6:46" x14ac:dyDescent="0.3">
      <c r="F472" s="1">
        <v>470</v>
      </c>
      <c r="G472" s="1" t="s">
        <v>116</v>
      </c>
      <c r="H472" s="1">
        <v>4</v>
      </c>
      <c r="I472" s="1">
        <v>39</v>
      </c>
      <c r="J472" s="1">
        <v>1</v>
      </c>
      <c r="K472" s="1">
        <v>3</v>
      </c>
      <c r="M472" s="1" t="s">
        <v>116</v>
      </c>
      <c r="N472" s="1">
        <f t="shared" si="119"/>
        <v>0.5714285714285714</v>
      </c>
      <c r="O472" s="1">
        <f t="shared" si="120"/>
        <v>0.37142857142857144</v>
      </c>
      <c r="P472" s="1">
        <f t="shared" si="121"/>
        <v>1</v>
      </c>
      <c r="Q472" s="1">
        <f t="shared" si="122"/>
        <v>1</v>
      </c>
      <c r="S472" s="1" t="s">
        <v>116</v>
      </c>
      <c r="T472" s="1">
        <f t="shared" si="123"/>
        <v>5.7166195047503046E-2</v>
      </c>
      <c r="U472" s="1">
        <f t="shared" si="124"/>
        <v>2.829028333900193E-2</v>
      </c>
      <c r="V472" s="1">
        <f t="shared" si="125"/>
        <v>6.3148764190579729E-2</v>
      </c>
      <c r="W472" s="1">
        <f t="shared" si="126"/>
        <v>4.0360367639778717E-2</v>
      </c>
      <c r="Y472" s="1" t="s">
        <v>116</v>
      </c>
      <c r="Z472" s="1">
        <f t="shared" si="127"/>
        <v>1.7149858514250913E-2</v>
      </c>
      <c r="AA472" s="1">
        <f t="shared" si="128"/>
        <v>5.658056667800386E-3</v>
      </c>
      <c r="AB472" s="1">
        <f t="shared" si="129"/>
        <v>1.8944629257173919E-2</v>
      </c>
      <c r="AC472" s="1">
        <f t="shared" si="130"/>
        <v>8.0720735279557441E-3</v>
      </c>
      <c r="AK472" s="17" t="s">
        <v>1061</v>
      </c>
      <c r="AL472" s="17">
        <f t="shared" si="131"/>
        <v>2.2064008175595635E-2</v>
      </c>
      <c r="AM472" s="17">
        <f t="shared" si="132"/>
        <v>1.8142759397426947E-2</v>
      </c>
      <c r="AO472" s="17" t="s">
        <v>1773</v>
      </c>
      <c r="AP472" s="17">
        <f t="shared" si="133"/>
        <v>0.84042125263575573</v>
      </c>
      <c r="AR472" s="1" t="s">
        <v>116</v>
      </c>
      <c r="AS472" s="17">
        <f t="shared" si="134"/>
        <v>0.84042125263575573</v>
      </c>
      <c r="AT472" s="17">
        <f t="shared" si="135"/>
        <v>275</v>
      </c>
    </row>
    <row r="473" spans="6:46" x14ac:dyDescent="0.3">
      <c r="F473" s="1">
        <v>471</v>
      </c>
      <c r="G473" s="1" t="s">
        <v>388</v>
      </c>
      <c r="H473" s="1">
        <v>2</v>
      </c>
      <c r="I473" s="1">
        <v>31</v>
      </c>
      <c r="J473" s="1">
        <v>1</v>
      </c>
      <c r="K473" s="1">
        <v>1</v>
      </c>
      <c r="M473" s="1" t="s">
        <v>388</v>
      </c>
      <c r="N473" s="1">
        <f t="shared" si="119"/>
        <v>0.2857142857142857</v>
      </c>
      <c r="O473" s="1">
        <f t="shared" si="120"/>
        <v>0.29523809523809524</v>
      </c>
      <c r="P473" s="1">
        <f t="shared" si="121"/>
        <v>1</v>
      </c>
      <c r="Q473" s="1">
        <f t="shared" si="122"/>
        <v>0.33333333333333331</v>
      </c>
      <c r="S473" s="1" t="s">
        <v>388</v>
      </c>
      <c r="T473" s="1">
        <f t="shared" si="123"/>
        <v>2.8583097523751523E-2</v>
      </c>
      <c r="U473" s="1">
        <f t="shared" si="124"/>
        <v>2.2487148295104099E-2</v>
      </c>
      <c r="V473" s="1">
        <f t="shared" si="125"/>
        <v>6.3148764190579729E-2</v>
      </c>
      <c r="W473" s="1">
        <f t="shared" si="126"/>
        <v>1.3453455879926239E-2</v>
      </c>
      <c r="Y473" s="1" t="s">
        <v>388</v>
      </c>
      <c r="Z473" s="1">
        <f t="shared" si="127"/>
        <v>8.5749292571254566E-3</v>
      </c>
      <c r="AA473" s="1">
        <f t="shared" si="128"/>
        <v>4.4974296590208204E-3</v>
      </c>
      <c r="AB473" s="1">
        <f t="shared" si="129"/>
        <v>1.8944629257173919E-2</v>
      </c>
      <c r="AC473" s="1">
        <f t="shared" si="130"/>
        <v>2.6906911759852479E-3</v>
      </c>
      <c r="AK473" s="17" t="s">
        <v>1062</v>
      </c>
      <c r="AL473" s="17">
        <f t="shared" si="131"/>
        <v>2.8869895103482375E-2</v>
      </c>
      <c r="AM473" s="17">
        <f t="shared" si="132"/>
        <v>8.6737695563580061E-3</v>
      </c>
      <c r="AO473" s="17" t="s">
        <v>1774</v>
      </c>
      <c r="AP473" s="17">
        <f t="shared" si="133"/>
        <v>0.30911717349902595</v>
      </c>
      <c r="AR473" s="1" t="s">
        <v>388</v>
      </c>
      <c r="AS473" s="17">
        <f t="shared" si="134"/>
        <v>0.30911717349902595</v>
      </c>
      <c r="AT473" s="17">
        <f t="shared" si="135"/>
        <v>647</v>
      </c>
    </row>
    <row r="474" spans="6:46" x14ac:dyDescent="0.3">
      <c r="F474" s="1">
        <v>472</v>
      </c>
      <c r="G474" s="1" t="s">
        <v>389</v>
      </c>
      <c r="H474" s="1">
        <v>3</v>
      </c>
      <c r="I474" s="1">
        <v>41</v>
      </c>
      <c r="J474" s="1">
        <v>2</v>
      </c>
      <c r="K474" s="1">
        <v>3</v>
      </c>
      <c r="M474" s="1" t="s">
        <v>389</v>
      </c>
      <c r="N474" s="1">
        <f t="shared" si="119"/>
        <v>0.42857142857142855</v>
      </c>
      <c r="O474" s="1">
        <f t="shared" si="120"/>
        <v>0.39047619047619048</v>
      </c>
      <c r="P474" s="1">
        <f t="shared" si="121"/>
        <v>0.5</v>
      </c>
      <c r="Q474" s="1">
        <f t="shared" si="122"/>
        <v>1</v>
      </c>
      <c r="S474" s="1" t="s">
        <v>389</v>
      </c>
      <c r="T474" s="1">
        <f t="shared" si="123"/>
        <v>4.2874646285627281E-2</v>
      </c>
      <c r="U474" s="1">
        <f t="shared" si="124"/>
        <v>2.9741067099976388E-2</v>
      </c>
      <c r="V474" s="1">
        <f t="shared" si="125"/>
        <v>3.1574382095289864E-2</v>
      </c>
      <c r="W474" s="1">
        <f t="shared" si="126"/>
        <v>4.0360367639778717E-2</v>
      </c>
      <c r="Y474" s="1" t="s">
        <v>389</v>
      </c>
      <c r="Z474" s="1">
        <f t="shared" si="127"/>
        <v>1.2862393885688184E-2</v>
      </c>
      <c r="AA474" s="1">
        <f t="shared" si="128"/>
        <v>5.9482134199952781E-3</v>
      </c>
      <c r="AB474" s="1">
        <f t="shared" si="129"/>
        <v>9.4723146285869593E-3</v>
      </c>
      <c r="AC474" s="1">
        <f t="shared" si="130"/>
        <v>8.0720735279557441E-3</v>
      </c>
      <c r="AK474" s="17" t="s">
        <v>1063</v>
      </c>
      <c r="AL474" s="17">
        <f t="shared" si="131"/>
        <v>2.0313298069876161E-2</v>
      </c>
      <c r="AM474" s="17">
        <f t="shared" si="132"/>
        <v>1.7079913036161156E-2</v>
      </c>
      <c r="AO474" s="17" t="s">
        <v>1775</v>
      </c>
      <c r="AP474" s="17">
        <f t="shared" si="133"/>
        <v>0.85790413455881043</v>
      </c>
      <c r="AR474" s="1" t="s">
        <v>389</v>
      </c>
      <c r="AS474" s="17">
        <f t="shared" si="134"/>
        <v>0.85790413455881043</v>
      </c>
      <c r="AT474" s="17">
        <f t="shared" si="135"/>
        <v>239</v>
      </c>
    </row>
    <row r="475" spans="6:46" x14ac:dyDescent="0.3">
      <c r="F475" s="1">
        <v>473</v>
      </c>
      <c r="G475" s="1" t="s">
        <v>390</v>
      </c>
      <c r="H475" s="1">
        <v>4</v>
      </c>
      <c r="I475" s="1">
        <v>47</v>
      </c>
      <c r="J475" s="1">
        <v>5</v>
      </c>
      <c r="K475" s="1">
        <v>3</v>
      </c>
      <c r="M475" s="1" t="s">
        <v>390</v>
      </c>
      <c r="N475" s="1">
        <f t="shared" si="119"/>
        <v>0.5714285714285714</v>
      </c>
      <c r="O475" s="1">
        <f t="shared" si="120"/>
        <v>0.44761904761904764</v>
      </c>
      <c r="P475" s="1">
        <f t="shared" si="121"/>
        <v>0.2</v>
      </c>
      <c r="Q475" s="1">
        <f t="shared" si="122"/>
        <v>1</v>
      </c>
      <c r="S475" s="1" t="s">
        <v>390</v>
      </c>
      <c r="T475" s="1">
        <f t="shared" si="123"/>
        <v>5.7166195047503046E-2</v>
      </c>
      <c r="U475" s="1">
        <f t="shared" si="124"/>
        <v>3.4093418382899761E-2</v>
      </c>
      <c r="V475" s="1">
        <f t="shared" si="125"/>
        <v>1.2629752838115946E-2</v>
      </c>
      <c r="W475" s="1">
        <f t="shared" si="126"/>
        <v>4.0360367639778717E-2</v>
      </c>
      <c r="Y475" s="1" t="s">
        <v>390</v>
      </c>
      <c r="Z475" s="1">
        <f t="shared" si="127"/>
        <v>1.7149858514250913E-2</v>
      </c>
      <c r="AA475" s="1">
        <f t="shared" si="128"/>
        <v>6.8186836765799525E-3</v>
      </c>
      <c r="AB475" s="1">
        <f t="shared" si="129"/>
        <v>3.7889258514347836E-3</v>
      </c>
      <c r="AC475" s="1">
        <f t="shared" si="130"/>
        <v>8.0720735279557441E-3</v>
      </c>
      <c r="AK475" s="17" t="s">
        <v>1064</v>
      </c>
      <c r="AL475" s="17">
        <f t="shared" si="131"/>
        <v>1.5370288146961814E-2</v>
      </c>
      <c r="AM475" s="17">
        <f t="shared" si="132"/>
        <v>2.3789222419124522E-2</v>
      </c>
      <c r="AO475" s="17" t="s">
        <v>1776</v>
      </c>
      <c r="AP475" s="17">
        <f t="shared" si="133"/>
        <v>1.5715300449506038</v>
      </c>
      <c r="AR475" s="1" t="s">
        <v>390</v>
      </c>
      <c r="AS475" s="17">
        <f t="shared" si="134"/>
        <v>1.5715300449506038</v>
      </c>
      <c r="AT475" s="17">
        <f t="shared" si="135"/>
        <v>33</v>
      </c>
    </row>
    <row r="476" spans="6:46" x14ac:dyDescent="0.3">
      <c r="F476" s="1">
        <v>474</v>
      </c>
      <c r="G476" s="1" t="s">
        <v>265</v>
      </c>
      <c r="H476" s="1">
        <v>2</v>
      </c>
      <c r="I476" s="1">
        <v>60</v>
      </c>
      <c r="J476" s="1">
        <v>2</v>
      </c>
      <c r="K476" s="1">
        <v>3</v>
      </c>
      <c r="M476" s="1" t="s">
        <v>265</v>
      </c>
      <c r="N476" s="1">
        <f t="shared" si="119"/>
        <v>0.2857142857142857</v>
      </c>
      <c r="O476" s="1">
        <f t="shared" si="120"/>
        <v>0.5714285714285714</v>
      </c>
      <c r="P476" s="1">
        <f t="shared" si="121"/>
        <v>0.5</v>
      </c>
      <c r="Q476" s="1">
        <f t="shared" si="122"/>
        <v>1</v>
      </c>
      <c r="S476" s="1" t="s">
        <v>265</v>
      </c>
      <c r="T476" s="1">
        <f t="shared" si="123"/>
        <v>2.8583097523751523E-2</v>
      </c>
      <c r="U476" s="1">
        <f t="shared" si="124"/>
        <v>4.3523512829233738E-2</v>
      </c>
      <c r="V476" s="1">
        <f t="shared" si="125"/>
        <v>3.1574382095289864E-2</v>
      </c>
      <c r="W476" s="1">
        <f t="shared" si="126"/>
        <v>4.0360367639778717E-2</v>
      </c>
      <c r="Y476" s="1" t="s">
        <v>265</v>
      </c>
      <c r="Z476" s="1">
        <f t="shared" si="127"/>
        <v>8.5749292571254566E-3</v>
      </c>
      <c r="AA476" s="1">
        <f t="shared" si="128"/>
        <v>8.7047025658467479E-3</v>
      </c>
      <c r="AB476" s="1">
        <f t="shared" si="129"/>
        <v>9.4723146285869593E-3</v>
      </c>
      <c r="AC476" s="1">
        <f t="shared" si="130"/>
        <v>8.0720735279557441E-3</v>
      </c>
      <c r="AK476" s="17" t="s">
        <v>1065</v>
      </c>
      <c r="AL476" s="17">
        <f t="shared" si="131"/>
        <v>2.3118853676687635E-2</v>
      </c>
      <c r="AM476" s="17">
        <f t="shared" si="132"/>
        <v>1.4919998721532653E-2</v>
      </c>
      <c r="AO476" s="17" t="s">
        <v>1777</v>
      </c>
      <c r="AP476" s="17">
        <f t="shared" si="133"/>
        <v>0.66028066107035555</v>
      </c>
      <c r="AR476" s="1" t="s">
        <v>265</v>
      </c>
      <c r="AS476" s="17">
        <f t="shared" si="134"/>
        <v>0.66028066107035555</v>
      </c>
      <c r="AT476" s="17">
        <f t="shared" si="135"/>
        <v>376</v>
      </c>
    </row>
    <row r="477" spans="6:46" x14ac:dyDescent="0.3">
      <c r="F477" s="1">
        <v>475</v>
      </c>
      <c r="G477" s="1" t="s">
        <v>121</v>
      </c>
      <c r="H477" s="1">
        <v>3</v>
      </c>
      <c r="I477" s="1">
        <v>60</v>
      </c>
      <c r="J477" s="1">
        <v>2</v>
      </c>
      <c r="K477" s="1">
        <v>3</v>
      </c>
      <c r="M477" s="1" t="s">
        <v>121</v>
      </c>
      <c r="N477" s="1">
        <f t="shared" si="119"/>
        <v>0.42857142857142855</v>
      </c>
      <c r="O477" s="1">
        <f t="shared" si="120"/>
        <v>0.5714285714285714</v>
      </c>
      <c r="P477" s="1">
        <f t="shared" si="121"/>
        <v>0.5</v>
      </c>
      <c r="Q477" s="1">
        <f t="shared" si="122"/>
        <v>1</v>
      </c>
      <c r="S477" s="1" t="s">
        <v>121</v>
      </c>
      <c r="T477" s="1">
        <f t="shared" si="123"/>
        <v>4.2874646285627281E-2</v>
      </c>
      <c r="U477" s="1">
        <f t="shared" si="124"/>
        <v>4.3523512829233738E-2</v>
      </c>
      <c r="V477" s="1">
        <f t="shared" si="125"/>
        <v>3.1574382095289864E-2</v>
      </c>
      <c r="W477" s="1">
        <f t="shared" si="126"/>
        <v>4.0360367639778717E-2</v>
      </c>
      <c r="Y477" s="1" t="s">
        <v>121</v>
      </c>
      <c r="Z477" s="1">
        <f t="shared" si="127"/>
        <v>1.2862393885688184E-2</v>
      </c>
      <c r="AA477" s="1">
        <f t="shared" si="128"/>
        <v>8.7047025658467479E-3</v>
      </c>
      <c r="AB477" s="1">
        <f t="shared" si="129"/>
        <v>9.4723146285869593E-3</v>
      </c>
      <c r="AC477" s="1">
        <f t="shared" si="130"/>
        <v>8.0720735279557441E-3</v>
      </c>
      <c r="AK477" s="17" t="s">
        <v>1066</v>
      </c>
      <c r="AL477" s="17">
        <f t="shared" si="131"/>
        <v>1.9210419538716602E-2</v>
      </c>
      <c r="AM477" s="17">
        <f t="shared" si="132"/>
        <v>1.7734658907247656E-2</v>
      </c>
      <c r="AO477" s="17" t="s">
        <v>1778</v>
      </c>
      <c r="AP477" s="17">
        <f t="shared" si="133"/>
        <v>0.94091381548450492</v>
      </c>
      <c r="AR477" s="1" t="s">
        <v>121</v>
      </c>
      <c r="AS477" s="17">
        <f t="shared" si="134"/>
        <v>0.94091381548450492</v>
      </c>
      <c r="AT477" s="17">
        <f t="shared" si="135"/>
        <v>160</v>
      </c>
    </row>
    <row r="478" spans="6:46" x14ac:dyDescent="0.3">
      <c r="F478" s="1">
        <v>476</v>
      </c>
      <c r="G478" s="1" t="s">
        <v>391</v>
      </c>
      <c r="H478" s="1">
        <v>0</v>
      </c>
      <c r="I478" s="1">
        <v>65</v>
      </c>
      <c r="J478" s="1">
        <v>1</v>
      </c>
      <c r="K478" s="1">
        <v>2</v>
      </c>
      <c r="M478" s="1" t="s">
        <v>391</v>
      </c>
      <c r="N478" s="1">
        <f t="shared" si="119"/>
        <v>0</v>
      </c>
      <c r="O478" s="1">
        <f t="shared" si="120"/>
        <v>0.61904761904761907</v>
      </c>
      <c r="P478" s="1">
        <f t="shared" si="121"/>
        <v>1</v>
      </c>
      <c r="Q478" s="1">
        <f t="shared" si="122"/>
        <v>0.66666666666666663</v>
      </c>
      <c r="S478" s="1" t="s">
        <v>391</v>
      </c>
      <c r="T478" s="1">
        <f t="shared" si="123"/>
        <v>0</v>
      </c>
      <c r="U478" s="1">
        <f t="shared" si="124"/>
        <v>4.7150472231669883E-2</v>
      </c>
      <c r="V478" s="1">
        <f t="shared" si="125"/>
        <v>6.3148764190579729E-2</v>
      </c>
      <c r="W478" s="1">
        <f t="shared" si="126"/>
        <v>2.6906911759852478E-2</v>
      </c>
      <c r="Y478" s="1" t="s">
        <v>391</v>
      </c>
      <c r="Z478" s="1">
        <f t="shared" si="127"/>
        <v>0</v>
      </c>
      <c r="AA478" s="1">
        <f t="shared" si="128"/>
        <v>9.4300944463339767E-3</v>
      </c>
      <c r="AB478" s="1">
        <f t="shared" si="129"/>
        <v>1.8944629257173919E-2</v>
      </c>
      <c r="AC478" s="1">
        <f t="shared" si="130"/>
        <v>5.3813823519704958E-3</v>
      </c>
      <c r="AK478" s="17" t="s">
        <v>1067</v>
      </c>
      <c r="AL478" s="17">
        <f t="shared" si="131"/>
        <v>3.4224944633740796E-2</v>
      </c>
      <c r="AM478" s="17">
        <f t="shared" si="132"/>
        <v>6.7939003090858544E-3</v>
      </c>
      <c r="AO478" s="17" t="s">
        <v>1779</v>
      </c>
      <c r="AP478" s="17">
        <f t="shared" si="133"/>
        <v>0.20530116983986141</v>
      </c>
      <c r="AR478" s="1" t="s">
        <v>391</v>
      </c>
      <c r="AS478" s="17">
        <f t="shared" si="134"/>
        <v>0.20530116983986141</v>
      </c>
      <c r="AT478" s="17">
        <f t="shared" si="135"/>
        <v>682</v>
      </c>
    </row>
    <row r="479" spans="6:46" x14ac:dyDescent="0.3">
      <c r="F479" s="1">
        <v>477</v>
      </c>
      <c r="G479" s="1" t="s">
        <v>392</v>
      </c>
      <c r="H479" s="1">
        <v>0</v>
      </c>
      <c r="I479" s="1">
        <v>71</v>
      </c>
      <c r="J479" s="1">
        <v>2</v>
      </c>
      <c r="K479" s="1">
        <v>2</v>
      </c>
      <c r="M479" s="1" t="s">
        <v>392</v>
      </c>
      <c r="N479" s="1">
        <f t="shared" si="119"/>
        <v>0</v>
      </c>
      <c r="O479" s="1">
        <f t="shared" si="120"/>
        <v>0.67619047619047623</v>
      </c>
      <c r="P479" s="1">
        <f t="shared" si="121"/>
        <v>0.5</v>
      </c>
      <c r="Q479" s="1">
        <f t="shared" si="122"/>
        <v>0.66666666666666663</v>
      </c>
      <c r="S479" s="1" t="s">
        <v>392</v>
      </c>
      <c r="T479" s="1">
        <f t="shared" si="123"/>
        <v>0</v>
      </c>
      <c r="U479" s="1">
        <f t="shared" si="124"/>
        <v>5.150282351459326E-2</v>
      </c>
      <c r="V479" s="1">
        <f t="shared" si="125"/>
        <v>3.1574382095289864E-2</v>
      </c>
      <c r="W479" s="1">
        <f t="shared" si="126"/>
        <v>2.6906911759852478E-2</v>
      </c>
      <c r="Y479" s="1" t="s">
        <v>392</v>
      </c>
      <c r="Z479" s="1">
        <f t="shared" si="127"/>
        <v>0</v>
      </c>
      <c r="AA479" s="1">
        <f t="shared" si="128"/>
        <v>1.0300564702918652E-2</v>
      </c>
      <c r="AB479" s="1">
        <f t="shared" si="129"/>
        <v>9.4723146285869593E-3</v>
      </c>
      <c r="AC479" s="1">
        <f t="shared" si="130"/>
        <v>5.3813823519704958E-3</v>
      </c>
      <c r="AK479" s="17" t="s">
        <v>1068</v>
      </c>
      <c r="AL479" s="17">
        <f t="shared" si="131"/>
        <v>3.1058126199409286E-2</v>
      </c>
      <c r="AM479" s="17">
        <f t="shared" si="132"/>
        <v>1.214496503367758E-2</v>
      </c>
      <c r="AO479" s="17" t="s">
        <v>1780</v>
      </c>
      <c r="AP479" s="17">
        <f t="shared" si="133"/>
        <v>0.40318481578644361</v>
      </c>
      <c r="AR479" s="1" t="s">
        <v>392</v>
      </c>
      <c r="AS479" s="17">
        <f t="shared" si="134"/>
        <v>0.40318481578644361</v>
      </c>
      <c r="AT479" s="17">
        <f t="shared" si="135"/>
        <v>595</v>
      </c>
    </row>
    <row r="480" spans="6:46" x14ac:dyDescent="0.3">
      <c r="F480" s="1">
        <v>478</v>
      </c>
      <c r="G480" s="1" t="s">
        <v>393</v>
      </c>
      <c r="H480" s="1">
        <v>4</v>
      </c>
      <c r="I480" s="1">
        <v>48</v>
      </c>
      <c r="J480" s="1">
        <v>1</v>
      </c>
      <c r="K480" s="1">
        <v>3</v>
      </c>
      <c r="M480" s="1" t="s">
        <v>393</v>
      </c>
      <c r="N480" s="1">
        <f t="shared" si="119"/>
        <v>0.5714285714285714</v>
      </c>
      <c r="O480" s="1">
        <f t="shared" si="120"/>
        <v>0.45714285714285713</v>
      </c>
      <c r="P480" s="1">
        <f t="shared" si="121"/>
        <v>1</v>
      </c>
      <c r="Q480" s="1">
        <f t="shared" si="122"/>
        <v>1</v>
      </c>
      <c r="S480" s="1" t="s">
        <v>393</v>
      </c>
      <c r="T480" s="1">
        <f t="shared" si="123"/>
        <v>5.7166195047503046E-2</v>
      </c>
      <c r="U480" s="1">
        <f t="shared" si="124"/>
        <v>3.4818810263386991E-2</v>
      </c>
      <c r="V480" s="1">
        <f t="shared" si="125"/>
        <v>6.3148764190579729E-2</v>
      </c>
      <c r="W480" s="1">
        <f t="shared" si="126"/>
        <v>4.0360367639778717E-2</v>
      </c>
      <c r="Y480" s="1" t="s">
        <v>393</v>
      </c>
      <c r="Z480" s="1">
        <f t="shared" si="127"/>
        <v>1.7149858514250913E-2</v>
      </c>
      <c r="AA480" s="1">
        <f t="shared" si="128"/>
        <v>6.963762052677399E-3</v>
      </c>
      <c r="AB480" s="1">
        <f t="shared" si="129"/>
        <v>1.8944629257173919E-2</v>
      </c>
      <c r="AC480" s="1">
        <f t="shared" si="130"/>
        <v>8.0720735279557441E-3</v>
      </c>
      <c r="AK480" s="17" t="s">
        <v>1069</v>
      </c>
      <c r="AL480" s="17">
        <f t="shared" si="131"/>
        <v>2.152952888230707E-2</v>
      </c>
      <c r="AM480" s="17">
        <f t="shared" si="132"/>
        <v>1.8365870305531634E-2</v>
      </c>
      <c r="AO480" s="17" t="s">
        <v>1781</v>
      </c>
      <c r="AP480" s="17">
        <f t="shared" si="133"/>
        <v>0.87142077949235897</v>
      </c>
      <c r="AR480" s="1" t="s">
        <v>393</v>
      </c>
      <c r="AS480" s="17">
        <f t="shared" si="134"/>
        <v>0.87142077949235897</v>
      </c>
      <c r="AT480" s="17">
        <f t="shared" si="135"/>
        <v>215</v>
      </c>
    </row>
    <row r="481" spans="6:46" x14ac:dyDescent="0.3">
      <c r="F481" s="1">
        <v>479</v>
      </c>
      <c r="G481" s="1" t="s">
        <v>394</v>
      </c>
      <c r="H481" s="1">
        <v>5</v>
      </c>
      <c r="I481" s="1">
        <v>58</v>
      </c>
      <c r="J481" s="1">
        <v>1</v>
      </c>
      <c r="K481" s="1">
        <v>3</v>
      </c>
      <c r="M481" s="1" t="s">
        <v>394</v>
      </c>
      <c r="N481" s="1">
        <f t="shared" si="119"/>
        <v>0.7142857142857143</v>
      </c>
      <c r="O481" s="1">
        <f t="shared" si="120"/>
        <v>0.55238095238095242</v>
      </c>
      <c r="P481" s="1">
        <f t="shared" si="121"/>
        <v>1</v>
      </c>
      <c r="Q481" s="1">
        <f t="shared" si="122"/>
        <v>1</v>
      </c>
      <c r="S481" s="1" t="s">
        <v>394</v>
      </c>
      <c r="T481" s="1">
        <f t="shared" si="123"/>
        <v>7.1457743809378804E-2</v>
      </c>
      <c r="U481" s="1">
        <f t="shared" si="124"/>
        <v>4.2072729068259283E-2</v>
      </c>
      <c r="V481" s="1">
        <f t="shared" si="125"/>
        <v>6.3148764190579729E-2</v>
      </c>
      <c r="W481" s="1">
        <f t="shared" si="126"/>
        <v>4.0360367639778717E-2</v>
      </c>
      <c r="Y481" s="1" t="s">
        <v>394</v>
      </c>
      <c r="Z481" s="1">
        <f t="shared" si="127"/>
        <v>2.1437323142813641E-2</v>
      </c>
      <c r="AA481" s="1">
        <f t="shared" si="128"/>
        <v>8.4145458136518567E-3</v>
      </c>
      <c r="AB481" s="1">
        <f t="shared" si="129"/>
        <v>1.8944629257173919E-2</v>
      </c>
      <c r="AC481" s="1">
        <f t="shared" si="130"/>
        <v>8.0720735279557441E-3</v>
      </c>
      <c r="AK481" s="17" t="s">
        <v>1070</v>
      </c>
      <c r="AL481" s="17">
        <f t="shared" si="131"/>
        <v>1.8700780854517728E-2</v>
      </c>
      <c r="AM481" s="17">
        <f t="shared" si="132"/>
        <v>2.2711141855509206E-2</v>
      </c>
      <c r="AO481" s="17" t="s">
        <v>1782</v>
      </c>
      <c r="AP481" s="17">
        <f t="shared" si="133"/>
        <v>1.2371599946702652</v>
      </c>
      <c r="AR481" s="1" t="s">
        <v>394</v>
      </c>
      <c r="AS481" s="17">
        <f t="shared" si="134"/>
        <v>1.2371599946702652</v>
      </c>
      <c r="AT481" s="17">
        <f t="shared" si="135"/>
        <v>79</v>
      </c>
    </row>
    <row r="482" spans="6:46" x14ac:dyDescent="0.3">
      <c r="F482" s="1">
        <v>480</v>
      </c>
      <c r="G482" s="1" t="s">
        <v>395</v>
      </c>
      <c r="H482" s="1">
        <v>2</v>
      </c>
      <c r="I482" s="1">
        <v>31</v>
      </c>
      <c r="J482" s="1">
        <v>2</v>
      </c>
      <c r="K482" s="1">
        <v>3</v>
      </c>
      <c r="M482" s="1" t="s">
        <v>395</v>
      </c>
      <c r="N482" s="1">
        <f t="shared" si="119"/>
        <v>0.2857142857142857</v>
      </c>
      <c r="O482" s="1">
        <f t="shared" si="120"/>
        <v>0.29523809523809524</v>
      </c>
      <c r="P482" s="1">
        <f t="shared" si="121"/>
        <v>0.5</v>
      </c>
      <c r="Q482" s="1">
        <f t="shared" si="122"/>
        <v>1</v>
      </c>
      <c r="S482" s="1" t="s">
        <v>395</v>
      </c>
      <c r="T482" s="1">
        <f t="shared" si="123"/>
        <v>2.8583097523751523E-2</v>
      </c>
      <c r="U482" s="1">
        <f t="shared" si="124"/>
        <v>2.2487148295104099E-2</v>
      </c>
      <c r="V482" s="1">
        <f t="shared" si="125"/>
        <v>3.1574382095289864E-2</v>
      </c>
      <c r="W482" s="1">
        <f t="shared" si="126"/>
        <v>4.0360367639778717E-2</v>
      </c>
      <c r="Y482" s="1" t="s">
        <v>395</v>
      </c>
      <c r="Z482" s="1">
        <f t="shared" si="127"/>
        <v>8.5749292571254566E-3</v>
      </c>
      <c r="AA482" s="1">
        <f t="shared" si="128"/>
        <v>4.4974296590208204E-3</v>
      </c>
      <c r="AB482" s="1">
        <f t="shared" si="129"/>
        <v>9.4723146285869593E-3</v>
      </c>
      <c r="AC482" s="1">
        <f t="shared" si="130"/>
        <v>8.0720735279557441E-3</v>
      </c>
      <c r="AK482" s="17" t="s">
        <v>1071</v>
      </c>
      <c r="AL482" s="17">
        <f t="shared" si="131"/>
        <v>2.4639746945484292E-2</v>
      </c>
      <c r="AM482" s="17">
        <f t="shared" si="132"/>
        <v>1.3925455064659288E-2</v>
      </c>
      <c r="AO482" s="17" t="s">
        <v>1783</v>
      </c>
      <c r="AP482" s="17">
        <f t="shared" si="133"/>
        <v>0.57908771486665755</v>
      </c>
      <c r="AR482" s="1" t="s">
        <v>395</v>
      </c>
      <c r="AS482" s="17">
        <f t="shared" si="134"/>
        <v>0.57908771486665755</v>
      </c>
      <c r="AT482" s="17">
        <f t="shared" si="135"/>
        <v>470</v>
      </c>
    </row>
    <row r="483" spans="6:46" x14ac:dyDescent="0.3">
      <c r="F483" s="1">
        <v>481</v>
      </c>
      <c r="G483" s="1" t="s">
        <v>396</v>
      </c>
      <c r="H483" s="1">
        <v>1</v>
      </c>
      <c r="I483" s="1">
        <v>63</v>
      </c>
      <c r="J483" s="1">
        <v>2</v>
      </c>
      <c r="K483" s="1">
        <v>3</v>
      </c>
      <c r="M483" s="1" t="s">
        <v>396</v>
      </c>
      <c r="N483" s="1">
        <f t="shared" si="119"/>
        <v>0.14285714285714285</v>
      </c>
      <c r="O483" s="1">
        <f t="shared" si="120"/>
        <v>0.6</v>
      </c>
      <c r="P483" s="1">
        <f t="shared" si="121"/>
        <v>0.5</v>
      </c>
      <c r="Q483" s="1">
        <f t="shared" si="122"/>
        <v>1</v>
      </c>
      <c r="S483" s="1" t="s">
        <v>396</v>
      </c>
      <c r="T483" s="1">
        <f t="shared" si="123"/>
        <v>1.4291548761875762E-2</v>
      </c>
      <c r="U483" s="1">
        <f t="shared" si="124"/>
        <v>4.5699688470695422E-2</v>
      </c>
      <c r="V483" s="1">
        <f t="shared" si="125"/>
        <v>3.1574382095289864E-2</v>
      </c>
      <c r="W483" s="1">
        <f t="shared" si="126"/>
        <v>4.0360367639778717E-2</v>
      </c>
      <c r="Y483" s="1" t="s">
        <v>396</v>
      </c>
      <c r="Z483" s="1">
        <f t="shared" si="127"/>
        <v>4.2874646285627283E-3</v>
      </c>
      <c r="AA483" s="1">
        <f t="shared" si="128"/>
        <v>9.1399376941390855E-3</v>
      </c>
      <c r="AB483" s="1">
        <f t="shared" si="129"/>
        <v>9.4723146285869593E-3</v>
      </c>
      <c r="AC483" s="1">
        <f t="shared" si="130"/>
        <v>8.0720735279557441E-3</v>
      </c>
      <c r="AK483" s="17" t="s">
        <v>1072</v>
      </c>
      <c r="AL483" s="17">
        <f t="shared" si="131"/>
        <v>2.704059575502998E-2</v>
      </c>
      <c r="AM483" s="17">
        <f t="shared" si="132"/>
        <v>1.3131931170701074E-2</v>
      </c>
      <c r="AO483" s="17" t="s">
        <v>1784</v>
      </c>
      <c r="AP483" s="17">
        <f t="shared" si="133"/>
        <v>0.49876957353878115</v>
      </c>
      <c r="AR483" s="1" t="s">
        <v>396</v>
      </c>
      <c r="AS483" s="17">
        <f t="shared" si="134"/>
        <v>0.49876957353878115</v>
      </c>
      <c r="AT483" s="17">
        <f t="shared" si="135"/>
        <v>536</v>
      </c>
    </row>
    <row r="484" spans="6:46" x14ac:dyDescent="0.3">
      <c r="F484" s="1">
        <v>482</v>
      </c>
      <c r="G484" s="1" t="s">
        <v>397</v>
      </c>
      <c r="H484" s="1">
        <v>3</v>
      </c>
      <c r="I484" s="1">
        <v>40</v>
      </c>
      <c r="J484" s="1">
        <v>2</v>
      </c>
      <c r="K484" s="1">
        <v>3</v>
      </c>
      <c r="M484" s="1" t="s">
        <v>397</v>
      </c>
      <c r="N484" s="1">
        <f t="shared" si="119"/>
        <v>0.42857142857142855</v>
      </c>
      <c r="O484" s="1">
        <f t="shared" si="120"/>
        <v>0.38095238095238093</v>
      </c>
      <c r="P484" s="1">
        <f t="shared" si="121"/>
        <v>0.5</v>
      </c>
      <c r="Q484" s="1">
        <f t="shared" si="122"/>
        <v>1</v>
      </c>
      <c r="S484" s="1" t="s">
        <v>397</v>
      </c>
      <c r="T484" s="1">
        <f t="shared" si="123"/>
        <v>4.2874646285627281E-2</v>
      </c>
      <c r="U484" s="1">
        <f t="shared" si="124"/>
        <v>2.9015675219489157E-2</v>
      </c>
      <c r="V484" s="1">
        <f t="shared" si="125"/>
        <v>3.1574382095289864E-2</v>
      </c>
      <c r="W484" s="1">
        <f t="shared" si="126"/>
        <v>4.0360367639778717E-2</v>
      </c>
      <c r="Y484" s="1" t="s">
        <v>397</v>
      </c>
      <c r="Z484" s="1">
        <f t="shared" si="127"/>
        <v>1.2862393885688184E-2</v>
      </c>
      <c r="AA484" s="1">
        <f t="shared" si="128"/>
        <v>5.8031350438978316E-3</v>
      </c>
      <c r="AB484" s="1">
        <f t="shared" si="129"/>
        <v>9.4723146285869593E-3</v>
      </c>
      <c r="AC484" s="1">
        <f t="shared" si="130"/>
        <v>8.0720735279557441E-3</v>
      </c>
      <c r="AK484" s="17" t="s">
        <v>1073</v>
      </c>
      <c r="AL484" s="17">
        <f t="shared" si="131"/>
        <v>2.0380020518092293E-2</v>
      </c>
      <c r="AM484" s="17">
        <f t="shared" si="132"/>
        <v>1.7057100079439589E-2</v>
      </c>
      <c r="AO484" s="17" t="s">
        <v>1785</v>
      </c>
      <c r="AP484" s="17">
        <f t="shared" si="133"/>
        <v>0.85400915634931462</v>
      </c>
      <c r="AR484" s="1" t="s">
        <v>397</v>
      </c>
      <c r="AS484" s="17">
        <f t="shared" si="134"/>
        <v>0.85400915634931462</v>
      </c>
      <c r="AT484" s="17">
        <f t="shared" si="135"/>
        <v>247</v>
      </c>
    </row>
    <row r="485" spans="6:46" x14ac:dyDescent="0.3">
      <c r="F485" s="1">
        <v>483</v>
      </c>
      <c r="G485" s="1" t="s">
        <v>398</v>
      </c>
      <c r="H485" s="1">
        <v>1</v>
      </c>
      <c r="I485" s="1">
        <v>31</v>
      </c>
      <c r="J485" s="1">
        <v>1</v>
      </c>
      <c r="K485" s="1">
        <v>3</v>
      </c>
      <c r="M485" s="1" t="s">
        <v>398</v>
      </c>
      <c r="N485" s="1">
        <f t="shared" si="119"/>
        <v>0.14285714285714285</v>
      </c>
      <c r="O485" s="1">
        <f t="shared" si="120"/>
        <v>0.29523809523809524</v>
      </c>
      <c r="P485" s="1">
        <f t="shared" si="121"/>
        <v>1</v>
      </c>
      <c r="Q485" s="1">
        <f t="shared" si="122"/>
        <v>1</v>
      </c>
      <c r="S485" s="1" t="s">
        <v>398</v>
      </c>
      <c r="T485" s="1">
        <f t="shared" si="123"/>
        <v>1.4291548761875762E-2</v>
      </c>
      <c r="U485" s="1">
        <f t="shared" si="124"/>
        <v>2.2487148295104099E-2</v>
      </c>
      <c r="V485" s="1">
        <f t="shared" si="125"/>
        <v>6.3148764190579729E-2</v>
      </c>
      <c r="W485" s="1">
        <f t="shared" si="126"/>
        <v>4.0360367639778717E-2</v>
      </c>
      <c r="Y485" s="1" t="s">
        <v>398</v>
      </c>
      <c r="Z485" s="1">
        <f t="shared" si="127"/>
        <v>4.2874646285627283E-3</v>
      </c>
      <c r="AA485" s="1">
        <f t="shared" si="128"/>
        <v>4.4974296590208204E-3</v>
      </c>
      <c r="AB485" s="1">
        <f t="shared" si="129"/>
        <v>1.8944629257173919E-2</v>
      </c>
      <c r="AC485" s="1">
        <f t="shared" si="130"/>
        <v>8.0720735279557441E-3</v>
      </c>
      <c r="AK485" s="17" t="s">
        <v>1074</v>
      </c>
      <c r="AL485" s="17">
        <f t="shared" si="131"/>
        <v>3.1728811033836707E-2</v>
      </c>
      <c r="AM485" s="17">
        <f t="shared" si="132"/>
        <v>7.0033203204889092E-3</v>
      </c>
      <c r="AO485" s="17" t="s">
        <v>1786</v>
      </c>
      <c r="AP485" s="17">
        <f t="shared" si="133"/>
        <v>0.2277276428619269</v>
      </c>
      <c r="AR485" s="1" t="s">
        <v>398</v>
      </c>
      <c r="AS485" s="17">
        <f t="shared" si="134"/>
        <v>0.2277276428619269</v>
      </c>
      <c r="AT485" s="17">
        <f t="shared" si="135"/>
        <v>674</v>
      </c>
    </row>
    <row r="486" spans="6:46" x14ac:dyDescent="0.3">
      <c r="F486" s="1">
        <v>484</v>
      </c>
      <c r="G486" s="1" t="s">
        <v>399</v>
      </c>
      <c r="H486" s="1">
        <v>1</v>
      </c>
      <c r="I486" s="1">
        <v>41</v>
      </c>
      <c r="J486" s="1">
        <v>2</v>
      </c>
      <c r="K486" s="1">
        <v>2</v>
      </c>
      <c r="M486" s="1" t="s">
        <v>399</v>
      </c>
      <c r="N486" s="1">
        <f t="shared" si="119"/>
        <v>0.14285714285714285</v>
      </c>
      <c r="O486" s="1">
        <f t="shared" si="120"/>
        <v>0.39047619047619048</v>
      </c>
      <c r="P486" s="1">
        <f t="shared" si="121"/>
        <v>0.5</v>
      </c>
      <c r="Q486" s="1">
        <f t="shared" si="122"/>
        <v>0.66666666666666663</v>
      </c>
      <c r="S486" s="1" t="s">
        <v>399</v>
      </c>
      <c r="T486" s="1">
        <f t="shared" si="123"/>
        <v>1.4291548761875762E-2</v>
      </c>
      <c r="U486" s="1">
        <f t="shared" si="124"/>
        <v>2.9741067099976388E-2</v>
      </c>
      <c r="V486" s="1">
        <f t="shared" si="125"/>
        <v>3.1574382095289864E-2</v>
      </c>
      <c r="W486" s="1">
        <f t="shared" si="126"/>
        <v>2.6906911759852478E-2</v>
      </c>
      <c r="Y486" s="1" t="s">
        <v>399</v>
      </c>
      <c r="Z486" s="1">
        <f t="shared" si="127"/>
        <v>4.2874646285627283E-3</v>
      </c>
      <c r="AA486" s="1">
        <f t="shared" si="128"/>
        <v>5.9482134199952781E-3</v>
      </c>
      <c r="AB486" s="1">
        <f t="shared" si="129"/>
        <v>9.4723146285869593E-3</v>
      </c>
      <c r="AC486" s="1">
        <f t="shared" si="130"/>
        <v>5.3813823519704958E-3</v>
      </c>
      <c r="AK486" s="17" t="s">
        <v>1075</v>
      </c>
      <c r="AL486" s="17">
        <f t="shared" si="131"/>
        <v>2.8062732516697126E-2</v>
      </c>
      <c r="AM486" s="17">
        <f t="shared" si="132"/>
        <v>1.1088063346673345E-2</v>
      </c>
      <c r="AO486" s="17" t="s">
        <v>1787</v>
      </c>
      <c r="AP486" s="17">
        <f t="shared" si="133"/>
        <v>0.40620508696780594</v>
      </c>
      <c r="AR486" s="1" t="s">
        <v>399</v>
      </c>
      <c r="AS486" s="17">
        <f t="shared" si="134"/>
        <v>0.40620508696780594</v>
      </c>
      <c r="AT486" s="17">
        <f t="shared" si="135"/>
        <v>594</v>
      </c>
    </row>
    <row r="487" spans="6:46" x14ac:dyDescent="0.3">
      <c r="F487" s="1">
        <v>485</v>
      </c>
      <c r="G487" s="1" t="s">
        <v>400</v>
      </c>
      <c r="H487" s="1">
        <v>2</v>
      </c>
      <c r="I487" s="1">
        <v>31</v>
      </c>
      <c r="J487" s="1">
        <v>2</v>
      </c>
      <c r="K487" s="1">
        <v>3</v>
      </c>
      <c r="M487" s="1" t="s">
        <v>400</v>
      </c>
      <c r="N487" s="1">
        <f t="shared" si="119"/>
        <v>0.2857142857142857</v>
      </c>
      <c r="O487" s="1">
        <f t="shared" si="120"/>
        <v>0.29523809523809524</v>
      </c>
      <c r="P487" s="1">
        <f t="shared" si="121"/>
        <v>0.5</v>
      </c>
      <c r="Q487" s="1">
        <f t="shared" si="122"/>
        <v>1</v>
      </c>
      <c r="S487" s="1" t="s">
        <v>400</v>
      </c>
      <c r="T487" s="1">
        <f t="shared" si="123"/>
        <v>2.8583097523751523E-2</v>
      </c>
      <c r="U487" s="1">
        <f t="shared" si="124"/>
        <v>2.2487148295104099E-2</v>
      </c>
      <c r="V487" s="1">
        <f t="shared" si="125"/>
        <v>3.1574382095289864E-2</v>
      </c>
      <c r="W487" s="1">
        <f t="shared" si="126"/>
        <v>4.0360367639778717E-2</v>
      </c>
      <c r="Y487" s="1" t="s">
        <v>400</v>
      </c>
      <c r="Z487" s="1">
        <f t="shared" si="127"/>
        <v>8.5749292571254566E-3</v>
      </c>
      <c r="AA487" s="1">
        <f t="shared" si="128"/>
        <v>4.4974296590208204E-3</v>
      </c>
      <c r="AB487" s="1">
        <f t="shared" si="129"/>
        <v>9.4723146285869593E-3</v>
      </c>
      <c r="AC487" s="1">
        <f t="shared" si="130"/>
        <v>8.0720735279557441E-3</v>
      </c>
      <c r="AK487" s="17" t="s">
        <v>1076</v>
      </c>
      <c r="AL487" s="17">
        <f t="shared" si="131"/>
        <v>2.4639746945484292E-2</v>
      </c>
      <c r="AM487" s="17">
        <f t="shared" si="132"/>
        <v>1.3925455064659288E-2</v>
      </c>
      <c r="AO487" s="17" t="s">
        <v>1788</v>
      </c>
      <c r="AP487" s="17">
        <f t="shared" si="133"/>
        <v>0.57908771486665755</v>
      </c>
      <c r="AR487" s="1" t="s">
        <v>400</v>
      </c>
      <c r="AS487" s="17">
        <f t="shared" si="134"/>
        <v>0.57908771486665755</v>
      </c>
      <c r="AT487" s="17">
        <f t="shared" si="135"/>
        <v>470</v>
      </c>
    </row>
    <row r="488" spans="6:46" x14ac:dyDescent="0.3">
      <c r="F488" s="1">
        <v>486</v>
      </c>
      <c r="G488" s="1" t="s">
        <v>401</v>
      </c>
      <c r="H488" s="1">
        <v>3</v>
      </c>
      <c r="I488" s="1">
        <v>94</v>
      </c>
      <c r="J488" s="1">
        <v>2</v>
      </c>
      <c r="K488" s="1">
        <v>3</v>
      </c>
      <c r="M488" s="1" t="s">
        <v>401</v>
      </c>
      <c r="N488" s="1">
        <f t="shared" si="119"/>
        <v>0.42857142857142855</v>
      </c>
      <c r="O488" s="1">
        <f t="shared" si="120"/>
        <v>0.89523809523809528</v>
      </c>
      <c r="P488" s="1">
        <f t="shared" si="121"/>
        <v>0.5</v>
      </c>
      <c r="Q488" s="1">
        <f t="shared" si="122"/>
        <v>1</v>
      </c>
      <c r="S488" s="1" t="s">
        <v>401</v>
      </c>
      <c r="T488" s="1">
        <f t="shared" si="123"/>
        <v>4.2874646285627281E-2</v>
      </c>
      <c r="U488" s="1">
        <f t="shared" si="124"/>
        <v>6.8186836765799522E-2</v>
      </c>
      <c r="V488" s="1">
        <f t="shared" si="125"/>
        <v>3.1574382095289864E-2</v>
      </c>
      <c r="W488" s="1">
        <f t="shared" si="126"/>
        <v>4.0360367639778717E-2</v>
      </c>
      <c r="Y488" s="1" t="s">
        <v>401</v>
      </c>
      <c r="Z488" s="1">
        <f t="shared" si="127"/>
        <v>1.2862393885688184E-2</v>
      </c>
      <c r="AA488" s="1">
        <f t="shared" si="128"/>
        <v>1.3637367353159905E-2</v>
      </c>
      <c r="AB488" s="1">
        <f t="shared" si="129"/>
        <v>9.4723146285869593E-3</v>
      </c>
      <c r="AC488" s="1">
        <f t="shared" si="130"/>
        <v>8.0720735279557441E-3</v>
      </c>
      <c r="AK488" s="17" t="s">
        <v>1077</v>
      </c>
      <c r="AL488" s="17">
        <f t="shared" si="131"/>
        <v>1.8137401440438586E-2</v>
      </c>
      <c r="AM488" s="17">
        <f t="shared" si="132"/>
        <v>1.9830195567513389E-2</v>
      </c>
      <c r="AO488" s="17" t="s">
        <v>1789</v>
      </c>
      <c r="AP488" s="17">
        <f t="shared" si="133"/>
        <v>1.1131618744540268</v>
      </c>
      <c r="AR488" s="1" t="s">
        <v>401</v>
      </c>
      <c r="AS488" s="17">
        <f t="shared" si="134"/>
        <v>1.1131618744540268</v>
      </c>
      <c r="AT488" s="17">
        <f t="shared" si="135"/>
        <v>103</v>
      </c>
    </row>
    <row r="489" spans="6:46" x14ac:dyDescent="0.3">
      <c r="F489" s="1">
        <v>487</v>
      </c>
      <c r="G489" s="1" t="s">
        <v>402</v>
      </c>
      <c r="H489" s="1">
        <v>3</v>
      </c>
      <c r="I489" s="1">
        <v>35</v>
      </c>
      <c r="J489" s="1">
        <v>1</v>
      </c>
      <c r="K489" s="1">
        <v>2</v>
      </c>
      <c r="M489" s="1" t="s">
        <v>402</v>
      </c>
      <c r="N489" s="1">
        <f t="shared" si="119"/>
        <v>0.42857142857142855</v>
      </c>
      <c r="O489" s="1">
        <f t="shared" si="120"/>
        <v>0.33333333333333331</v>
      </c>
      <c r="P489" s="1">
        <f t="shared" si="121"/>
        <v>1</v>
      </c>
      <c r="Q489" s="1">
        <f t="shared" si="122"/>
        <v>0.66666666666666663</v>
      </c>
      <c r="S489" s="1" t="s">
        <v>402</v>
      </c>
      <c r="T489" s="1">
        <f t="shared" si="123"/>
        <v>4.2874646285627281E-2</v>
      </c>
      <c r="U489" s="1">
        <f t="shared" si="124"/>
        <v>2.5388715817053011E-2</v>
      </c>
      <c r="V489" s="1">
        <f t="shared" si="125"/>
        <v>6.3148764190579729E-2</v>
      </c>
      <c r="W489" s="1">
        <f t="shared" si="126"/>
        <v>2.6906911759852478E-2</v>
      </c>
      <c r="Y489" s="1" t="s">
        <v>402</v>
      </c>
      <c r="Z489" s="1">
        <f t="shared" si="127"/>
        <v>1.2862393885688184E-2</v>
      </c>
      <c r="AA489" s="1">
        <f t="shared" si="128"/>
        <v>5.0777431634106028E-3</v>
      </c>
      <c r="AB489" s="1">
        <f t="shared" si="129"/>
        <v>1.8944629257173919E-2</v>
      </c>
      <c r="AC489" s="1">
        <f t="shared" si="130"/>
        <v>5.3813823519704958E-3</v>
      </c>
      <c r="AK489" s="17" t="s">
        <v>1078</v>
      </c>
      <c r="AL489" s="17">
        <f t="shared" si="131"/>
        <v>2.5183064037569671E-2</v>
      </c>
      <c r="AM489" s="17">
        <f t="shared" si="132"/>
        <v>1.327546845598244E-2</v>
      </c>
      <c r="AO489" s="17" t="s">
        <v>1790</v>
      </c>
      <c r="AP489" s="17">
        <f t="shared" si="133"/>
        <v>0.54043405551978319</v>
      </c>
      <c r="AR489" s="1" t="s">
        <v>402</v>
      </c>
      <c r="AS489" s="17">
        <f t="shared" si="134"/>
        <v>0.54043405551978319</v>
      </c>
      <c r="AT489" s="17">
        <f t="shared" si="135"/>
        <v>513</v>
      </c>
    </row>
    <row r="490" spans="6:46" x14ac:dyDescent="0.3">
      <c r="F490" s="1">
        <v>488</v>
      </c>
      <c r="G490" s="1" t="s">
        <v>403</v>
      </c>
      <c r="H490" s="1">
        <v>0</v>
      </c>
      <c r="I490" s="1">
        <v>56</v>
      </c>
      <c r="J490" s="1">
        <v>1</v>
      </c>
      <c r="K490" s="1">
        <v>1</v>
      </c>
      <c r="M490" s="1" t="s">
        <v>403</v>
      </c>
      <c r="N490" s="1">
        <f t="shared" si="119"/>
        <v>0</v>
      </c>
      <c r="O490" s="1">
        <f t="shared" si="120"/>
        <v>0.53333333333333333</v>
      </c>
      <c r="P490" s="1">
        <f t="shared" si="121"/>
        <v>1</v>
      </c>
      <c r="Q490" s="1">
        <f t="shared" si="122"/>
        <v>0.33333333333333331</v>
      </c>
      <c r="S490" s="1" t="s">
        <v>403</v>
      </c>
      <c r="T490" s="1">
        <f t="shared" si="123"/>
        <v>0</v>
      </c>
      <c r="U490" s="1">
        <f t="shared" si="124"/>
        <v>4.0621945307284822E-2</v>
      </c>
      <c r="V490" s="1">
        <f t="shared" si="125"/>
        <v>6.3148764190579729E-2</v>
      </c>
      <c r="W490" s="1">
        <f t="shared" si="126"/>
        <v>1.3453455879926239E-2</v>
      </c>
      <c r="Y490" s="1" t="s">
        <v>403</v>
      </c>
      <c r="Z490" s="1">
        <f t="shared" si="127"/>
        <v>0</v>
      </c>
      <c r="AA490" s="1">
        <f t="shared" si="128"/>
        <v>8.1243890614569655E-3</v>
      </c>
      <c r="AB490" s="1">
        <f t="shared" si="129"/>
        <v>1.8944629257173919E-2</v>
      </c>
      <c r="AC490" s="1">
        <f t="shared" si="130"/>
        <v>2.6906911759852479E-3</v>
      </c>
      <c r="AK490" s="17" t="s">
        <v>1079</v>
      </c>
      <c r="AL490" s="17">
        <f t="shared" si="131"/>
        <v>3.478398378708606E-2</v>
      </c>
      <c r="AM490" s="17">
        <f t="shared" si="132"/>
        <v>4.9326647873131572E-3</v>
      </c>
      <c r="AO490" s="17" t="s">
        <v>1791</v>
      </c>
      <c r="AP490" s="17">
        <f t="shared" si="133"/>
        <v>0.14674117118227253</v>
      </c>
      <c r="AR490" s="1" t="s">
        <v>403</v>
      </c>
      <c r="AS490" s="17">
        <f t="shared" si="134"/>
        <v>0.14674117118227253</v>
      </c>
      <c r="AT490" s="17">
        <f t="shared" si="135"/>
        <v>699</v>
      </c>
    </row>
    <row r="491" spans="6:46" x14ac:dyDescent="0.3">
      <c r="F491" s="1">
        <v>489</v>
      </c>
      <c r="G491" s="1" t="s">
        <v>404</v>
      </c>
      <c r="H491" s="1">
        <v>1</v>
      </c>
      <c r="I491" s="1">
        <v>60</v>
      </c>
      <c r="J491" s="1">
        <v>2</v>
      </c>
      <c r="K491" s="1">
        <v>3</v>
      </c>
      <c r="M491" s="1" t="s">
        <v>404</v>
      </c>
      <c r="N491" s="1">
        <f t="shared" si="119"/>
        <v>0.14285714285714285</v>
      </c>
      <c r="O491" s="1">
        <f t="shared" si="120"/>
        <v>0.5714285714285714</v>
      </c>
      <c r="P491" s="1">
        <f t="shared" si="121"/>
        <v>0.5</v>
      </c>
      <c r="Q491" s="1">
        <f t="shared" si="122"/>
        <v>1</v>
      </c>
      <c r="S491" s="1" t="s">
        <v>404</v>
      </c>
      <c r="T491" s="1">
        <f t="shared" si="123"/>
        <v>1.4291548761875762E-2</v>
      </c>
      <c r="U491" s="1">
        <f t="shared" si="124"/>
        <v>4.3523512829233738E-2</v>
      </c>
      <c r="V491" s="1">
        <f t="shared" si="125"/>
        <v>3.1574382095289864E-2</v>
      </c>
      <c r="W491" s="1">
        <f t="shared" si="126"/>
        <v>4.0360367639778717E-2</v>
      </c>
      <c r="Y491" s="1" t="s">
        <v>404</v>
      </c>
      <c r="Z491" s="1">
        <f t="shared" si="127"/>
        <v>4.2874646285627283E-3</v>
      </c>
      <c r="AA491" s="1">
        <f t="shared" si="128"/>
        <v>8.7047025658467479E-3</v>
      </c>
      <c r="AB491" s="1">
        <f t="shared" si="129"/>
        <v>9.4723146285869593E-3</v>
      </c>
      <c r="AC491" s="1">
        <f t="shared" si="130"/>
        <v>8.0720735279557441E-3</v>
      </c>
      <c r="AK491" s="17" t="s">
        <v>1080</v>
      </c>
      <c r="AL491" s="17">
        <f t="shared" si="131"/>
        <v>2.7141983672477499E-2</v>
      </c>
      <c r="AM491" s="17">
        <f t="shared" si="132"/>
        <v>1.2940606748796844E-2</v>
      </c>
      <c r="AO491" s="17" t="s">
        <v>1792</v>
      </c>
      <c r="AP491" s="17">
        <f t="shared" si="133"/>
        <v>0.48971514559427082</v>
      </c>
      <c r="AR491" s="1" t="s">
        <v>404</v>
      </c>
      <c r="AS491" s="17">
        <f t="shared" si="134"/>
        <v>0.48971514559427082</v>
      </c>
      <c r="AT491" s="17">
        <f t="shared" si="135"/>
        <v>544</v>
      </c>
    </row>
    <row r="492" spans="6:46" x14ac:dyDescent="0.3">
      <c r="F492" s="1">
        <v>490</v>
      </c>
      <c r="G492" s="1" t="s">
        <v>404</v>
      </c>
      <c r="H492" s="1">
        <v>4</v>
      </c>
      <c r="I492" s="1">
        <v>45</v>
      </c>
      <c r="J492" s="1">
        <v>1</v>
      </c>
      <c r="K492" s="1">
        <v>3</v>
      </c>
      <c r="M492" s="1" t="s">
        <v>404</v>
      </c>
      <c r="N492" s="1">
        <f t="shared" si="119"/>
        <v>0.5714285714285714</v>
      </c>
      <c r="O492" s="1">
        <f t="shared" si="120"/>
        <v>0.42857142857142855</v>
      </c>
      <c r="P492" s="1">
        <f t="shared" si="121"/>
        <v>1</v>
      </c>
      <c r="Q492" s="1">
        <f t="shared" si="122"/>
        <v>1</v>
      </c>
      <c r="S492" s="1" t="s">
        <v>404</v>
      </c>
      <c r="T492" s="1">
        <f t="shared" si="123"/>
        <v>5.7166195047503046E-2</v>
      </c>
      <c r="U492" s="1">
        <f t="shared" si="124"/>
        <v>3.26426346219253E-2</v>
      </c>
      <c r="V492" s="1">
        <f t="shared" si="125"/>
        <v>6.3148764190579729E-2</v>
      </c>
      <c r="W492" s="1">
        <f t="shared" si="126"/>
        <v>4.0360367639778717E-2</v>
      </c>
      <c r="Y492" s="1" t="s">
        <v>404</v>
      </c>
      <c r="Z492" s="1">
        <f t="shared" si="127"/>
        <v>1.7149858514250913E-2</v>
      </c>
      <c r="AA492" s="1">
        <f t="shared" si="128"/>
        <v>6.5285269243850605E-3</v>
      </c>
      <c r="AB492" s="1">
        <f t="shared" si="129"/>
        <v>1.8944629257173919E-2</v>
      </c>
      <c r="AC492" s="1">
        <f t="shared" si="130"/>
        <v>8.0720735279557441E-3</v>
      </c>
      <c r="AK492" s="17" t="s">
        <v>1081</v>
      </c>
      <c r="AL492" s="17">
        <f t="shared" si="131"/>
        <v>2.17004232436416E-2</v>
      </c>
      <c r="AM492" s="17">
        <f t="shared" si="132"/>
        <v>1.8281443460612761E-2</v>
      </c>
      <c r="AO492" s="17" t="s">
        <v>1793</v>
      </c>
      <c r="AP492" s="17">
        <f t="shared" si="133"/>
        <v>0.86072784440670369</v>
      </c>
      <c r="AR492" s="1" t="s">
        <v>404</v>
      </c>
      <c r="AS492" s="17">
        <f t="shared" si="134"/>
        <v>0.86072784440670369</v>
      </c>
      <c r="AT492" s="17">
        <f t="shared" si="135"/>
        <v>235</v>
      </c>
    </row>
    <row r="493" spans="6:46" x14ac:dyDescent="0.3">
      <c r="F493" s="1">
        <v>491</v>
      </c>
      <c r="G493" s="1" t="s">
        <v>405</v>
      </c>
      <c r="H493" s="1">
        <v>3</v>
      </c>
      <c r="I493" s="1">
        <v>57</v>
      </c>
      <c r="J493" s="1">
        <v>2</v>
      </c>
      <c r="K493" s="1">
        <v>3</v>
      </c>
      <c r="M493" s="1" t="s">
        <v>405</v>
      </c>
      <c r="N493" s="1">
        <f t="shared" si="119"/>
        <v>0.42857142857142855</v>
      </c>
      <c r="O493" s="1">
        <f t="shared" si="120"/>
        <v>0.54285714285714282</v>
      </c>
      <c r="P493" s="1">
        <f t="shared" si="121"/>
        <v>0.5</v>
      </c>
      <c r="Q493" s="1">
        <f t="shared" si="122"/>
        <v>1</v>
      </c>
      <c r="S493" s="1" t="s">
        <v>405</v>
      </c>
      <c r="T493" s="1">
        <f t="shared" si="123"/>
        <v>4.2874646285627281E-2</v>
      </c>
      <c r="U493" s="1">
        <f t="shared" si="124"/>
        <v>4.1347337187772046E-2</v>
      </c>
      <c r="V493" s="1">
        <f t="shared" si="125"/>
        <v>3.1574382095289864E-2</v>
      </c>
      <c r="W493" s="1">
        <f t="shared" si="126"/>
        <v>4.0360367639778717E-2</v>
      </c>
      <c r="Y493" s="1" t="s">
        <v>405</v>
      </c>
      <c r="Z493" s="1">
        <f t="shared" si="127"/>
        <v>1.2862393885688184E-2</v>
      </c>
      <c r="AA493" s="1">
        <f t="shared" si="128"/>
        <v>8.2694674375544102E-3</v>
      </c>
      <c r="AB493" s="1">
        <f t="shared" si="129"/>
        <v>9.4723146285869593E-3</v>
      </c>
      <c r="AC493" s="1">
        <f t="shared" si="130"/>
        <v>8.0720735279557441E-3</v>
      </c>
      <c r="AK493" s="17" t="s">
        <v>1082</v>
      </c>
      <c r="AL493" s="17">
        <f t="shared" si="131"/>
        <v>1.9362658313810985E-2</v>
      </c>
      <c r="AM493" s="17">
        <f t="shared" si="132"/>
        <v>1.7604223145177234E-2</v>
      </c>
      <c r="AO493" s="17" t="s">
        <v>1794</v>
      </c>
      <c r="AP493" s="17">
        <f t="shared" si="133"/>
        <v>0.92678843018251889</v>
      </c>
      <c r="AR493" s="1" t="s">
        <v>405</v>
      </c>
      <c r="AS493" s="17">
        <f t="shared" si="134"/>
        <v>0.92678843018251889</v>
      </c>
      <c r="AT493" s="17">
        <f t="shared" si="135"/>
        <v>167</v>
      </c>
    </row>
    <row r="494" spans="6:46" x14ac:dyDescent="0.3">
      <c r="F494" s="1">
        <v>492</v>
      </c>
      <c r="G494" s="1" t="s">
        <v>406</v>
      </c>
      <c r="H494" s="1">
        <v>2</v>
      </c>
      <c r="I494" s="1">
        <v>49</v>
      </c>
      <c r="J494" s="1">
        <v>2</v>
      </c>
      <c r="K494" s="1">
        <v>2</v>
      </c>
      <c r="M494" s="1" t="s">
        <v>406</v>
      </c>
      <c r="N494" s="1">
        <f t="shared" si="119"/>
        <v>0.2857142857142857</v>
      </c>
      <c r="O494" s="1">
        <f t="shared" si="120"/>
        <v>0.46666666666666667</v>
      </c>
      <c r="P494" s="1">
        <f t="shared" si="121"/>
        <v>0.5</v>
      </c>
      <c r="Q494" s="1">
        <f t="shared" si="122"/>
        <v>0.66666666666666663</v>
      </c>
      <c r="S494" s="1" t="s">
        <v>406</v>
      </c>
      <c r="T494" s="1">
        <f t="shared" si="123"/>
        <v>2.8583097523751523E-2</v>
      </c>
      <c r="U494" s="1">
        <f t="shared" si="124"/>
        <v>3.5544202143874222E-2</v>
      </c>
      <c r="V494" s="1">
        <f t="shared" si="125"/>
        <v>3.1574382095289864E-2</v>
      </c>
      <c r="W494" s="1">
        <f t="shared" si="126"/>
        <v>2.6906911759852478E-2</v>
      </c>
      <c r="Y494" s="1" t="s">
        <v>406</v>
      </c>
      <c r="Z494" s="1">
        <f t="shared" si="127"/>
        <v>8.5749292571254566E-3</v>
      </c>
      <c r="AA494" s="1">
        <f t="shared" si="128"/>
        <v>7.1088404287748446E-3</v>
      </c>
      <c r="AB494" s="1">
        <f t="shared" si="129"/>
        <v>9.4723146285869593E-3</v>
      </c>
      <c r="AC494" s="1">
        <f t="shared" si="130"/>
        <v>5.3813823519704958E-3</v>
      </c>
      <c r="AK494" s="17" t="s">
        <v>1083</v>
      </c>
      <c r="AL494" s="17">
        <f t="shared" si="131"/>
        <v>2.3771942456352179E-2</v>
      </c>
      <c r="AM494" s="17">
        <f t="shared" si="132"/>
        <v>1.3632232911780996E-2</v>
      </c>
      <c r="AO494" s="17" t="s">
        <v>1795</v>
      </c>
      <c r="AP494" s="17">
        <f t="shared" si="133"/>
        <v>0.58709117244990361</v>
      </c>
      <c r="AR494" s="1" t="s">
        <v>406</v>
      </c>
      <c r="AS494" s="17">
        <f t="shared" si="134"/>
        <v>0.58709117244990361</v>
      </c>
      <c r="AT494" s="17">
        <f t="shared" si="135"/>
        <v>458</v>
      </c>
    </row>
    <row r="495" spans="6:46" x14ac:dyDescent="0.3">
      <c r="F495" s="1">
        <v>493</v>
      </c>
      <c r="G495" s="1" t="s">
        <v>407</v>
      </c>
      <c r="H495" s="1">
        <v>1</v>
      </c>
      <c r="I495" s="1">
        <v>62</v>
      </c>
      <c r="J495" s="1">
        <v>1</v>
      </c>
      <c r="K495" s="1">
        <v>2</v>
      </c>
      <c r="M495" s="1" t="s">
        <v>407</v>
      </c>
      <c r="N495" s="1">
        <f t="shared" si="119"/>
        <v>0.14285714285714285</v>
      </c>
      <c r="O495" s="1">
        <f t="shared" si="120"/>
        <v>0.59047619047619049</v>
      </c>
      <c r="P495" s="1">
        <f t="shared" si="121"/>
        <v>1</v>
      </c>
      <c r="Q495" s="1">
        <f t="shared" si="122"/>
        <v>0.66666666666666663</v>
      </c>
      <c r="S495" s="1" t="s">
        <v>407</v>
      </c>
      <c r="T495" s="1">
        <f t="shared" si="123"/>
        <v>1.4291548761875762E-2</v>
      </c>
      <c r="U495" s="1">
        <f t="shared" si="124"/>
        <v>4.4974296590208199E-2</v>
      </c>
      <c r="V495" s="1">
        <f t="shared" si="125"/>
        <v>6.3148764190579729E-2</v>
      </c>
      <c r="W495" s="1">
        <f t="shared" si="126"/>
        <v>2.6906911759852478E-2</v>
      </c>
      <c r="Y495" s="1" t="s">
        <v>407</v>
      </c>
      <c r="Z495" s="1">
        <f t="shared" si="127"/>
        <v>4.2874646285627283E-3</v>
      </c>
      <c r="AA495" s="1">
        <f t="shared" si="128"/>
        <v>8.9948593180416408E-3</v>
      </c>
      <c r="AB495" s="1">
        <f t="shared" si="129"/>
        <v>1.8944629257173919E-2</v>
      </c>
      <c r="AC495" s="1">
        <f t="shared" si="130"/>
        <v>5.3813823519704958E-3</v>
      </c>
      <c r="AK495" s="17" t="s">
        <v>1084</v>
      </c>
      <c r="AL495" s="17">
        <f t="shared" si="131"/>
        <v>3.0620534499170404E-2</v>
      </c>
      <c r="AM495" s="17">
        <f t="shared" si="132"/>
        <v>7.7005550633325454E-3</v>
      </c>
      <c r="AO495" s="17" t="s">
        <v>1796</v>
      </c>
      <c r="AP495" s="17">
        <f t="shared" si="133"/>
        <v>0.2591839203697473</v>
      </c>
      <c r="AR495" s="1" t="s">
        <v>407</v>
      </c>
      <c r="AS495" s="17">
        <f t="shared" si="134"/>
        <v>0.2591839203697473</v>
      </c>
      <c r="AT495" s="17">
        <f t="shared" si="135"/>
        <v>660</v>
      </c>
    </row>
    <row r="496" spans="6:46" x14ac:dyDescent="0.3">
      <c r="F496" s="1">
        <v>494</v>
      </c>
      <c r="G496" s="1" t="s">
        <v>408</v>
      </c>
      <c r="H496" s="1">
        <v>0</v>
      </c>
      <c r="I496" s="1">
        <v>58</v>
      </c>
      <c r="J496" s="1">
        <v>1</v>
      </c>
      <c r="K496" s="1">
        <v>2</v>
      </c>
      <c r="M496" s="1" t="s">
        <v>408</v>
      </c>
      <c r="N496" s="1">
        <f t="shared" si="119"/>
        <v>0</v>
      </c>
      <c r="O496" s="1">
        <f t="shared" si="120"/>
        <v>0.55238095238095242</v>
      </c>
      <c r="P496" s="1">
        <f t="shared" si="121"/>
        <v>1</v>
      </c>
      <c r="Q496" s="1">
        <f t="shared" si="122"/>
        <v>0.66666666666666663</v>
      </c>
      <c r="S496" s="1" t="s">
        <v>408</v>
      </c>
      <c r="T496" s="1">
        <f t="shared" si="123"/>
        <v>0</v>
      </c>
      <c r="U496" s="1">
        <f t="shared" si="124"/>
        <v>4.2072729068259283E-2</v>
      </c>
      <c r="V496" s="1">
        <f t="shared" si="125"/>
        <v>6.3148764190579729E-2</v>
      </c>
      <c r="W496" s="1">
        <f t="shared" si="126"/>
        <v>2.6906911759852478E-2</v>
      </c>
      <c r="Y496" s="1" t="s">
        <v>408</v>
      </c>
      <c r="Z496" s="1">
        <f t="shared" si="127"/>
        <v>0</v>
      </c>
      <c r="AA496" s="1">
        <f t="shared" si="128"/>
        <v>8.4145458136518567E-3</v>
      </c>
      <c r="AB496" s="1">
        <f t="shared" si="129"/>
        <v>1.8944629257173919E-2</v>
      </c>
      <c r="AC496" s="1">
        <f t="shared" si="130"/>
        <v>5.3813823519704958E-3</v>
      </c>
      <c r="AK496" s="17" t="s">
        <v>1085</v>
      </c>
      <c r="AL496" s="17">
        <f t="shared" si="131"/>
        <v>3.441169722530648E-2</v>
      </c>
      <c r="AM496" s="17">
        <f t="shared" si="132"/>
        <v>5.8751752176487548E-3</v>
      </c>
      <c r="AO496" s="17" t="s">
        <v>1797</v>
      </c>
      <c r="AP496" s="17">
        <f t="shared" si="133"/>
        <v>0.17660709753992615</v>
      </c>
      <c r="AR496" s="1" t="s">
        <v>408</v>
      </c>
      <c r="AS496" s="17">
        <f t="shared" si="134"/>
        <v>0.17660709753992615</v>
      </c>
      <c r="AT496" s="17">
        <f t="shared" si="135"/>
        <v>694</v>
      </c>
    </row>
    <row r="497" spans="6:46" x14ac:dyDescent="0.3">
      <c r="F497" s="1">
        <v>495</v>
      </c>
      <c r="G497" s="1" t="s">
        <v>409</v>
      </c>
      <c r="H497" s="1">
        <v>1</v>
      </c>
      <c r="I497" s="1">
        <v>54</v>
      </c>
      <c r="J497" s="1">
        <v>2</v>
      </c>
      <c r="K497" s="1">
        <v>2</v>
      </c>
      <c r="M497" s="1" t="s">
        <v>409</v>
      </c>
      <c r="N497" s="1">
        <f t="shared" si="119"/>
        <v>0.14285714285714285</v>
      </c>
      <c r="O497" s="1">
        <f t="shared" si="120"/>
        <v>0.51428571428571423</v>
      </c>
      <c r="P497" s="1">
        <f t="shared" si="121"/>
        <v>0.5</v>
      </c>
      <c r="Q497" s="1">
        <f t="shared" si="122"/>
        <v>0.66666666666666663</v>
      </c>
      <c r="S497" s="1" t="s">
        <v>409</v>
      </c>
      <c r="T497" s="1">
        <f t="shared" si="123"/>
        <v>1.4291548761875762E-2</v>
      </c>
      <c r="U497" s="1">
        <f t="shared" si="124"/>
        <v>3.9171161546310361E-2</v>
      </c>
      <c r="V497" s="1">
        <f t="shared" si="125"/>
        <v>3.1574382095289864E-2</v>
      </c>
      <c r="W497" s="1">
        <f t="shared" si="126"/>
        <v>2.6906911759852478E-2</v>
      </c>
      <c r="Y497" s="1" t="s">
        <v>409</v>
      </c>
      <c r="Z497" s="1">
        <f t="shared" si="127"/>
        <v>4.2874646285627283E-3</v>
      </c>
      <c r="AA497" s="1">
        <f t="shared" si="128"/>
        <v>7.8342323092620725E-3</v>
      </c>
      <c r="AB497" s="1">
        <f t="shared" si="129"/>
        <v>9.4723146285869593E-3</v>
      </c>
      <c r="AC497" s="1">
        <f t="shared" si="130"/>
        <v>5.3813823519704958E-3</v>
      </c>
      <c r="AK497" s="17" t="s">
        <v>1086</v>
      </c>
      <c r="AL497" s="17">
        <f t="shared" si="131"/>
        <v>2.7496374163935463E-2</v>
      </c>
      <c r="AM497" s="17">
        <f t="shared" si="132"/>
        <v>1.1700418677328669E-2</v>
      </c>
      <c r="AO497" s="17" t="s">
        <v>1798</v>
      </c>
      <c r="AP497" s="17">
        <f t="shared" si="133"/>
        <v>0.43722629374616095</v>
      </c>
      <c r="AR497" s="1" t="s">
        <v>409</v>
      </c>
      <c r="AS497" s="17">
        <f t="shared" si="134"/>
        <v>0.43722629374616095</v>
      </c>
      <c r="AT497" s="17">
        <f t="shared" si="135"/>
        <v>574</v>
      </c>
    </row>
    <row r="498" spans="6:46" x14ac:dyDescent="0.3">
      <c r="F498" s="1">
        <v>496</v>
      </c>
      <c r="G498" s="1" t="s">
        <v>410</v>
      </c>
      <c r="H498" s="1">
        <v>1</v>
      </c>
      <c r="I498" s="1">
        <v>30</v>
      </c>
      <c r="J498" s="1">
        <v>1</v>
      </c>
      <c r="K498" s="1">
        <v>3</v>
      </c>
      <c r="M498" s="1" t="s">
        <v>410</v>
      </c>
      <c r="N498" s="1">
        <f t="shared" si="119"/>
        <v>0.14285714285714285</v>
      </c>
      <c r="O498" s="1">
        <f t="shared" si="120"/>
        <v>0.2857142857142857</v>
      </c>
      <c r="P498" s="1">
        <f t="shared" si="121"/>
        <v>1</v>
      </c>
      <c r="Q498" s="1">
        <f t="shared" si="122"/>
        <v>1</v>
      </c>
      <c r="S498" s="1" t="s">
        <v>410</v>
      </c>
      <c r="T498" s="1">
        <f t="shared" si="123"/>
        <v>1.4291548761875762E-2</v>
      </c>
      <c r="U498" s="1">
        <f t="shared" si="124"/>
        <v>2.1761756414616869E-2</v>
      </c>
      <c r="V498" s="1">
        <f t="shared" si="125"/>
        <v>6.3148764190579729E-2</v>
      </c>
      <c r="W498" s="1">
        <f t="shared" si="126"/>
        <v>4.0360367639778717E-2</v>
      </c>
      <c r="Y498" s="1" t="s">
        <v>410</v>
      </c>
      <c r="Z498" s="1">
        <f t="shared" si="127"/>
        <v>4.2874646285627283E-3</v>
      </c>
      <c r="AA498" s="1">
        <f t="shared" si="128"/>
        <v>4.3523512829233739E-3</v>
      </c>
      <c r="AB498" s="1">
        <f t="shared" si="129"/>
        <v>1.8944629257173919E-2</v>
      </c>
      <c r="AC498" s="1">
        <f t="shared" si="130"/>
        <v>8.0720735279557441E-3</v>
      </c>
      <c r="AK498" s="17" t="s">
        <v>1087</v>
      </c>
      <c r="AL498" s="17">
        <f t="shared" si="131"/>
        <v>3.1778193186009926E-2</v>
      </c>
      <c r="AM498" s="17">
        <f t="shared" si="132"/>
        <v>6.9777277112814205E-3</v>
      </c>
      <c r="AO498" s="17" t="s">
        <v>1799</v>
      </c>
      <c r="AP498" s="17">
        <f t="shared" si="133"/>
        <v>0.2265537014124327</v>
      </c>
      <c r="AR498" s="1" t="s">
        <v>410</v>
      </c>
      <c r="AS498" s="17">
        <f t="shared" si="134"/>
        <v>0.2265537014124327</v>
      </c>
      <c r="AT498" s="17">
        <f t="shared" si="135"/>
        <v>676</v>
      </c>
    </row>
    <row r="499" spans="6:46" x14ac:dyDescent="0.3">
      <c r="F499" s="1">
        <v>497</v>
      </c>
      <c r="G499" s="1" t="s">
        <v>411</v>
      </c>
      <c r="H499" s="1">
        <v>2</v>
      </c>
      <c r="I499" s="1">
        <v>50</v>
      </c>
      <c r="J499" s="1">
        <v>2</v>
      </c>
      <c r="K499" s="1">
        <v>3</v>
      </c>
      <c r="M499" s="1" t="s">
        <v>411</v>
      </c>
      <c r="N499" s="1">
        <f t="shared" si="119"/>
        <v>0.2857142857142857</v>
      </c>
      <c r="O499" s="1">
        <f t="shared" si="120"/>
        <v>0.47619047619047616</v>
      </c>
      <c r="P499" s="1">
        <f t="shared" si="121"/>
        <v>0.5</v>
      </c>
      <c r="Q499" s="1">
        <f t="shared" si="122"/>
        <v>1</v>
      </c>
      <c r="S499" s="1" t="s">
        <v>411</v>
      </c>
      <c r="T499" s="1">
        <f t="shared" si="123"/>
        <v>2.8583097523751523E-2</v>
      </c>
      <c r="U499" s="1">
        <f t="shared" si="124"/>
        <v>3.6269594024361446E-2</v>
      </c>
      <c r="V499" s="1">
        <f t="shared" si="125"/>
        <v>3.1574382095289864E-2</v>
      </c>
      <c r="W499" s="1">
        <f t="shared" si="126"/>
        <v>4.0360367639778717E-2</v>
      </c>
      <c r="Y499" s="1" t="s">
        <v>411</v>
      </c>
      <c r="Z499" s="1">
        <f t="shared" si="127"/>
        <v>8.5749292571254566E-3</v>
      </c>
      <c r="AA499" s="1">
        <f t="shared" si="128"/>
        <v>7.2539188048722893E-3</v>
      </c>
      <c r="AB499" s="1">
        <f t="shared" si="129"/>
        <v>9.4723146285869593E-3</v>
      </c>
      <c r="AC499" s="1">
        <f t="shared" si="130"/>
        <v>8.0720735279557441E-3</v>
      </c>
      <c r="AK499" s="17" t="s">
        <v>1088</v>
      </c>
      <c r="AL499" s="17">
        <f t="shared" si="131"/>
        <v>2.356966547355234E-2</v>
      </c>
      <c r="AM499" s="17">
        <f t="shared" si="132"/>
        <v>1.4446967038490416E-2</v>
      </c>
      <c r="AO499" s="17" t="s">
        <v>1800</v>
      </c>
      <c r="AP499" s="17">
        <f t="shared" si="133"/>
        <v>0.62739444627621843</v>
      </c>
      <c r="AR499" s="1" t="s">
        <v>411</v>
      </c>
      <c r="AS499" s="17">
        <f t="shared" si="134"/>
        <v>0.62739444627621843</v>
      </c>
      <c r="AT499" s="17">
        <f t="shared" si="135"/>
        <v>402</v>
      </c>
    </row>
    <row r="500" spans="6:46" x14ac:dyDescent="0.3">
      <c r="F500" s="1">
        <v>498</v>
      </c>
      <c r="G500" s="1" t="s">
        <v>412</v>
      </c>
      <c r="H500" s="1">
        <v>3</v>
      </c>
      <c r="I500" s="1">
        <v>38</v>
      </c>
      <c r="J500" s="1">
        <v>1</v>
      </c>
      <c r="K500" s="1">
        <v>2</v>
      </c>
      <c r="M500" s="1" t="s">
        <v>412</v>
      </c>
      <c r="N500" s="1">
        <f t="shared" si="119"/>
        <v>0.42857142857142855</v>
      </c>
      <c r="O500" s="1">
        <f t="shared" si="120"/>
        <v>0.3619047619047619</v>
      </c>
      <c r="P500" s="1">
        <f t="shared" si="121"/>
        <v>1</v>
      </c>
      <c r="Q500" s="1">
        <f t="shared" si="122"/>
        <v>0.66666666666666663</v>
      </c>
      <c r="S500" s="1" t="s">
        <v>412</v>
      </c>
      <c r="T500" s="1">
        <f t="shared" si="123"/>
        <v>4.2874646285627281E-2</v>
      </c>
      <c r="U500" s="1">
        <f t="shared" si="124"/>
        <v>2.75648914585147E-2</v>
      </c>
      <c r="V500" s="1">
        <f t="shared" si="125"/>
        <v>6.3148764190579729E-2</v>
      </c>
      <c r="W500" s="1">
        <f t="shared" si="126"/>
        <v>2.6906911759852478E-2</v>
      </c>
      <c r="Y500" s="1" t="s">
        <v>412</v>
      </c>
      <c r="Z500" s="1">
        <f t="shared" si="127"/>
        <v>1.2862393885688184E-2</v>
      </c>
      <c r="AA500" s="1">
        <f t="shared" si="128"/>
        <v>5.5129782917029404E-3</v>
      </c>
      <c r="AB500" s="1">
        <f t="shared" si="129"/>
        <v>1.8944629257173919E-2</v>
      </c>
      <c r="AC500" s="1">
        <f t="shared" si="130"/>
        <v>5.3813823519704958E-3</v>
      </c>
      <c r="AK500" s="17" t="s">
        <v>1089</v>
      </c>
      <c r="AL500" s="17">
        <f t="shared" si="131"/>
        <v>2.5010719604773156E-2</v>
      </c>
      <c r="AM500" s="17">
        <f t="shared" si="132"/>
        <v>1.3344257779627463E-2</v>
      </c>
      <c r="AO500" s="17" t="s">
        <v>1801</v>
      </c>
      <c r="AP500" s="17">
        <f t="shared" si="133"/>
        <v>0.54688579478845412</v>
      </c>
      <c r="AR500" s="1" t="s">
        <v>412</v>
      </c>
      <c r="AS500" s="17">
        <f t="shared" si="134"/>
        <v>0.54688579478845412</v>
      </c>
      <c r="AT500" s="17">
        <f t="shared" si="135"/>
        <v>512</v>
      </c>
    </row>
    <row r="501" spans="6:46" x14ac:dyDescent="0.3">
      <c r="F501" s="1">
        <v>499</v>
      </c>
      <c r="G501" s="1" t="s">
        <v>157</v>
      </c>
      <c r="H501" s="1">
        <v>3</v>
      </c>
      <c r="I501" s="1">
        <v>39</v>
      </c>
      <c r="J501" s="1">
        <v>2</v>
      </c>
      <c r="K501" s="1">
        <v>3</v>
      </c>
      <c r="M501" s="1" t="s">
        <v>157</v>
      </c>
      <c r="N501" s="1">
        <f t="shared" si="119"/>
        <v>0.42857142857142855</v>
      </c>
      <c r="O501" s="1">
        <f t="shared" si="120"/>
        <v>0.37142857142857144</v>
      </c>
      <c r="P501" s="1">
        <f t="shared" si="121"/>
        <v>0.5</v>
      </c>
      <c r="Q501" s="1">
        <f t="shared" si="122"/>
        <v>1</v>
      </c>
      <c r="S501" s="1" t="s">
        <v>157</v>
      </c>
      <c r="T501" s="1">
        <f t="shared" si="123"/>
        <v>4.2874646285627281E-2</v>
      </c>
      <c r="U501" s="1">
        <f t="shared" si="124"/>
        <v>2.829028333900193E-2</v>
      </c>
      <c r="V501" s="1">
        <f t="shared" si="125"/>
        <v>3.1574382095289864E-2</v>
      </c>
      <c r="W501" s="1">
        <f t="shared" si="126"/>
        <v>4.0360367639778717E-2</v>
      </c>
      <c r="Y501" s="1" t="s">
        <v>157</v>
      </c>
      <c r="Z501" s="1">
        <f t="shared" si="127"/>
        <v>1.2862393885688184E-2</v>
      </c>
      <c r="AA501" s="1">
        <f t="shared" si="128"/>
        <v>5.658056667800386E-3</v>
      </c>
      <c r="AB501" s="1">
        <f t="shared" si="129"/>
        <v>9.4723146285869593E-3</v>
      </c>
      <c r="AC501" s="1">
        <f t="shared" si="130"/>
        <v>8.0720735279557441E-3</v>
      </c>
      <c r="AK501" s="17" t="s">
        <v>1090</v>
      </c>
      <c r="AL501" s="17">
        <f t="shared" si="131"/>
        <v>2.0447554612483942E-2</v>
      </c>
      <c r="AM501" s="17">
        <f t="shared" si="132"/>
        <v>1.7035492138110675E-2</v>
      </c>
      <c r="AO501" s="17" t="s">
        <v>1802</v>
      </c>
      <c r="AP501" s="17">
        <f t="shared" si="133"/>
        <v>0.85016651738598625</v>
      </c>
      <c r="AR501" s="1" t="s">
        <v>157</v>
      </c>
      <c r="AS501" s="17">
        <f t="shared" si="134"/>
        <v>0.85016651738598625</v>
      </c>
      <c r="AT501" s="17">
        <f t="shared" si="135"/>
        <v>257</v>
      </c>
    </row>
    <row r="502" spans="6:46" x14ac:dyDescent="0.3">
      <c r="F502" s="1">
        <v>500</v>
      </c>
      <c r="G502" s="1" t="s">
        <v>413</v>
      </c>
      <c r="H502" s="1">
        <v>0</v>
      </c>
      <c r="I502" s="1">
        <v>44</v>
      </c>
      <c r="J502" s="1">
        <v>2</v>
      </c>
      <c r="K502" s="1">
        <v>1</v>
      </c>
      <c r="M502" s="1" t="s">
        <v>413</v>
      </c>
      <c r="N502" s="1">
        <f t="shared" si="119"/>
        <v>0</v>
      </c>
      <c r="O502" s="1">
        <f t="shared" si="120"/>
        <v>0.41904761904761906</v>
      </c>
      <c r="P502" s="1">
        <f t="shared" si="121"/>
        <v>0.5</v>
      </c>
      <c r="Q502" s="1">
        <f t="shared" si="122"/>
        <v>0.33333333333333331</v>
      </c>
      <c r="S502" s="1" t="s">
        <v>413</v>
      </c>
      <c r="T502" s="1">
        <f t="shared" si="123"/>
        <v>0</v>
      </c>
      <c r="U502" s="1">
        <f t="shared" si="124"/>
        <v>3.1917242741438076E-2</v>
      </c>
      <c r="V502" s="1">
        <f t="shared" si="125"/>
        <v>3.1574382095289864E-2</v>
      </c>
      <c r="W502" s="1">
        <f t="shared" si="126"/>
        <v>1.3453455879926239E-2</v>
      </c>
      <c r="Y502" s="1" t="s">
        <v>413</v>
      </c>
      <c r="Z502" s="1">
        <f t="shared" si="127"/>
        <v>0</v>
      </c>
      <c r="AA502" s="1">
        <f t="shared" si="128"/>
        <v>6.3834485482876157E-3</v>
      </c>
      <c r="AB502" s="1">
        <f t="shared" si="129"/>
        <v>9.4723146285869593E-3</v>
      </c>
      <c r="AC502" s="1">
        <f t="shared" si="130"/>
        <v>2.6906911759852479E-3</v>
      </c>
      <c r="AK502" s="17" t="s">
        <v>1091</v>
      </c>
      <c r="AL502" s="17">
        <f t="shared" si="131"/>
        <v>3.2253900552466637E-2</v>
      </c>
      <c r="AM502" s="17">
        <f t="shared" si="132"/>
        <v>9.9955914414856569E-3</v>
      </c>
      <c r="AO502" s="17" t="s">
        <v>1803</v>
      </c>
      <c r="AP502" s="17">
        <f t="shared" si="133"/>
        <v>0.31989892934091491</v>
      </c>
      <c r="AR502" s="1" t="s">
        <v>413</v>
      </c>
      <c r="AS502" s="17">
        <f t="shared" si="134"/>
        <v>0.31989892934091491</v>
      </c>
      <c r="AT502" s="17">
        <f t="shared" si="135"/>
        <v>641</v>
      </c>
    </row>
    <row r="503" spans="6:46" x14ac:dyDescent="0.3">
      <c r="F503" s="1">
        <v>501</v>
      </c>
      <c r="G503" s="1" t="s">
        <v>159</v>
      </c>
      <c r="H503" s="1">
        <v>3</v>
      </c>
      <c r="I503" s="1">
        <v>46</v>
      </c>
      <c r="J503" s="1">
        <v>2</v>
      </c>
      <c r="K503" s="1">
        <v>3</v>
      </c>
      <c r="M503" s="1" t="s">
        <v>159</v>
      </c>
      <c r="N503" s="1">
        <f t="shared" si="119"/>
        <v>0.42857142857142855</v>
      </c>
      <c r="O503" s="1">
        <f t="shared" si="120"/>
        <v>0.43809523809523809</v>
      </c>
      <c r="P503" s="1">
        <f t="shared" si="121"/>
        <v>0.5</v>
      </c>
      <c r="Q503" s="1">
        <f t="shared" si="122"/>
        <v>1</v>
      </c>
      <c r="S503" s="1" t="s">
        <v>159</v>
      </c>
      <c r="T503" s="1">
        <f t="shared" si="123"/>
        <v>4.2874646285627281E-2</v>
      </c>
      <c r="U503" s="1">
        <f t="shared" si="124"/>
        <v>3.336802650241253E-2</v>
      </c>
      <c r="V503" s="1">
        <f t="shared" si="125"/>
        <v>3.1574382095289864E-2</v>
      </c>
      <c r="W503" s="1">
        <f t="shared" si="126"/>
        <v>4.0360367639778717E-2</v>
      </c>
      <c r="Y503" s="1" t="s">
        <v>159</v>
      </c>
      <c r="Z503" s="1">
        <f t="shared" si="127"/>
        <v>1.2862393885688184E-2</v>
      </c>
      <c r="AA503" s="1">
        <f t="shared" si="128"/>
        <v>6.6736053004825061E-3</v>
      </c>
      <c r="AB503" s="1">
        <f t="shared" si="129"/>
        <v>9.4723146285869593E-3</v>
      </c>
      <c r="AC503" s="1">
        <f t="shared" si="130"/>
        <v>8.0720735279557441E-3</v>
      </c>
      <c r="AK503" s="17" t="s">
        <v>1092</v>
      </c>
      <c r="AL503" s="17">
        <f t="shared" si="131"/>
        <v>1.9992141489115801E-2</v>
      </c>
      <c r="AM503" s="17">
        <f t="shared" si="132"/>
        <v>1.7211876492503896E-2</v>
      </c>
      <c r="AO503" s="17" t="s">
        <v>1804</v>
      </c>
      <c r="AP503" s="17">
        <f t="shared" si="133"/>
        <v>0.87814398333430732</v>
      </c>
      <c r="AR503" s="1" t="s">
        <v>159</v>
      </c>
      <c r="AS503" s="17">
        <f t="shared" si="134"/>
        <v>0.87814398333430732</v>
      </c>
      <c r="AT503" s="17">
        <f t="shared" si="135"/>
        <v>203</v>
      </c>
    </row>
    <row r="504" spans="6:46" x14ac:dyDescent="0.3">
      <c r="F504" s="1">
        <v>502</v>
      </c>
      <c r="G504" s="1" t="s">
        <v>414</v>
      </c>
      <c r="H504" s="1">
        <v>5</v>
      </c>
      <c r="I504" s="1">
        <v>54</v>
      </c>
      <c r="J504" s="1">
        <v>2</v>
      </c>
      <c r="K504" s="1">
        <v>3</v>
      </c>
      <c r="M504" s="1" t="s">
        <v>414</v>
      </c>
      <c r="N504" s="1">
        <f t="shared" si="119"/>
        <v>0.7142857142857143</v>
      </c>
      <c r="O504" s="1">
        <f t="shared" si="120"/>
        <v>0.51428571428571423</v>
      </c>
      <c r="P504" s="1">
        <f t="shared" si="121"/>
        <v>0.5</v>
      </c>
      <c r="Q504" s="1">
        <f t="shared" si="122"/>
        <v>1</v>
      </c>
      <c r="S504" s="1" t="s">
        <v>414</v>
      </c>
      <c r="T504" s="1">
        <f t="shared" si="123"/>
        <v>7.1457743809378804E-2</v>
      </c>
      <c r="U504" s="1">
        <f t="shared" si="124"/>
        <v>3.9171161546310361E-2</v>
      </c>
      <c r="V504" s="1">
        <f t="shared" si="125"/>
        <v>3.1574382095289864E-2</v>
      </c>
      <c r="W504" s="1">
        <f t="shared" si="126"/>
        <v>4.0360367639778717E-2</v>
      </c>
      <c r="Y504" s="1" t="s">
        <v>414</v>
      </c>
      <c r="Z504" s="1">
        <f t="shared" si="127"/>
        <v>2.1437323142813641E-2</v>
      </c>
      <c r="AA504" s="1">
        <f t="shared" si="128"/>
        <v>7.8342323092620725E-3</v>
      </c>
      <c r="AB504" s="1">
        <f t="shared" si="129"/>
        <v>9.4723146285869593E-3</v>
      </c>
      <c r="AC504" s="1">
        <f t="shared" si="130"/>
        <v>8.0720735279557441E-3</v>
      </c>
      <c r="AK504" s="17" t="s">
        <v>1093</v>
      </c>
      <c r="AL504" s="17">
        <f t="shared" si="131"/>
        <v>1.2671838029305913E-2</v>
      </c>
      <c r="AM504" s="17">
        <f t="shared" si="132"/>
        <v>2.4490727323348175E-2</v>
      </c>
      <c r="AO504" s="17" t="s">
        <v>1805</v>
      </c>
      <c r="AP504" s="17">
        <f t="shared" si="133"/>
        <v>1.9571801498608636</v>
      </c>
      <c r="AR504" s="1" t="s">
        <v>414</v>
      </c>
      <c r="AS504" s="17">
        <f t="shared" si="134"/>
        <v>1.9571801498608636</v>
      </c>
      <c r="AT504" s="17">
        <f t="shared" si="135"/>
        <v>14</v>
      </c>
    </row>
    <row r="505" spans="6:46" x14ac:dyDescent="0.3">
      <c r="F505" s="1">
        <v>503</v>
      </c>
      <c r="G505" s="1" t="s">
        <v>415</v>
      </c>
      <c r="H505" s="1">
        <v>4</v>
      </c>
      <c r="I505" s="1">
        <v>57</v>
      </c>
      <c r="J505" s="1">
        <v>2</v>
      </c>
      <c r="K505" s="1">
        <v>3</v>
      </c>
      <c r="M505" s="1" t="s">
        <v>415</v>
      </c>
      <c r="N505" s="1">
        <f t="shared" si="119"/>
        <v>0.5714285714285714</v>
      </c>
      <c r="O505" s="1">
        <f t="shared" si="120"/>
        <v>0.54285714285714282</v>
      </c>
      <c r="P505" s="1">
        <f t="shared" si="121"/>
        <v>0.5</v>
      </c>
      <c r="Q505" s="1">
        <f t="shared" si="122"/>
        <v>1</v>
      </c>
      <c r="S505" s="1" t="s">
        <v>415</v>
      </c>
      <c r="T505" s="1">
        <f t="shared" si="123"/>
        <v>5.7166195047503046E-2</v>
      </c>
      <c r="U505" s="1">
        <f t="shared" si="124"/>
        <v>4.1347337187772046E-2</v>
      </c>
      <c r="V505" s="1">
        <f t="shared" si="125"/>
        <v>3.1574382095289864E-2</v>
      </c>
      <c r="W505" s="1">
        <f t="shared" si="126"/>
        <v>4.0360367639778717E-2</v>
      </c>
      <c r="Y505" s="1" t="s">
        <v>415</v>
      </c>
      <c r="Z505" s="1">
        <f t="shared" si="127"/>
        <v>1.7149858514250913E-2</v>
      </c>
      <c r="AA505" s="1">
        <f t="shared" si="128"/>
        <v>8.2694674375544102E-3</v>
      </c>
      <c r="AB505" s="1">
        <f t="shared" si="129"/>
        <v>9.4723146285869593E-3</v>
      </c>
      <c r="AC505" s="1">
        <f t="shared" si="130"/>
        <v>8.0720735279557441E-3</v>
      </c>
      <c r="AK505" s="17" t="s">
        <v>1094</v>
      </c>
      <c r="AL505" s="17">
        <f t="shared" si="131"/>
        <v>1.5691910858437793E-2</v>
      </c>
      <c r="AM505" s="17">
        <f t="shared" si="132"/>
        <v>2.0942424480786117E-2</v>
      </c>
      <c r="AO505" s="17" t="s">
        <v>1806</v>
      </c>
      <c r="AP505" s="17">
        <f t="shared" si="133"/>
        <v>1.3555424403561656</v>
      </c>
      <c r="AR505" s="1" t="s">
        <v>415</v>
      </c>
      <c r="AS505" s="17">
        <f t="shared" si="134"/>
        <v>1.3555424403561656</v>
      </c>
      <c r="AT505" s="17">
        <f t="shared" si="135"/>
        <v>49</v>
      </c>
    </row>
    <row r="506" spans="6:46" x14ac:dyDescent="0.3">
      <c r="F506" s="1">
        <v>504</v>
      </c>
      <c r="G506" s="1" t="s">
        <v>162</v>
      </c>
      <c r="H506" s="1">
        <v>1</v>
      </c>
      <c r="I506" s="1">
        <v>27</v>
      </c>
      <c r="J506" s="1">
        <v>5</v>
      </c>
      <c r="K506" s="1">
        <v>3</v>
      </c>
      <c r="M506" s="1" t="s">
        <v>162</v>
      </c>
      <c r="N506" s="1">
        <f t="shared" si="119"/>
        <v>0.14285714285714285</v>
      </c>
      <c r="O506" s="1">
        <f t="shared" si="120"/>
        <v>0.25714285714285712</v>
      </c>
      <c r="P506" s="1">
        <f t="shared" si="121"/>
        <v>0.2</v>
      </c>
      <c r="Q506" s="1">
        <f t="shared" si="122"/>
        <v>1</v>
      </c>
      <c r="S506" s="1" t="s">
        <v>162</v>
      </c>
      <c r="T506" s="1">
        <f t="shared" si="123"/>
        <v>1.4291548761875762E-2</v>
      </c>
      <c r="U506" s="1">
        <f t="shared" si="124"/>
        <v>1.9585580773155181E-2</v>
      </c>
      <c r="V506" s="1">
        <f t="shared" si="125"/>
        <v>1.2629752838115946E-2</v>
      </c>
      <c r="W506" s="1">
        <f t="shared" si="126"/>
        <v>4.0360367639778717E-2</v>
      </c>
      <c r="Y506" s="1" t="s">
        <v>162</v>
      </c>
      <c r="Z506" s="1">
        <f t="shared" si="127"/>
        <v>4.2874646285627283E-3</v>
      </c>
      <c r="AA506" s="1">
        <f t="shared" si="128"/>
        <v>3.9171161546310363E-3</v>
      </c>
      <c r="AB506" s="1">
        <f t="shared" si="129"/>
        <v>3.7889258514347836E-3</v>
      </c>
      <c r="AC506" s="1">
        <f t="shared" si="130"/>
        <v>8.0720735279557441E-3</v>
      </c>
      <c r="AK506" s="17" t="s">
        <v>1095</v>
      </c>
      <c r="AL506" s="17">
        <f t="shared" si="131"/>
        <v>2.8103720872982584E-2</v>
      </c>
      <c r="AM506" s="17">
        <f t="shared" si="132"/>
        <v>1.6660227131173381E-2</v>
      </c>
      <c r="AO506" s="17" t="s">
        <v>1807</v>
      </c>
      <c r="AP506" s="17">
        <f t="shared" si="133"/>
        <v>0.60947237490587014</v>
      </c>
      <c r="AR506" s="1" t="s">
        <v>162</v>
      </c>
      <c r="AS506" s="17">
        <f t="shared" si="134"/>
        <v>0.60947237490587014</v>
      </c>
      <c r="AT506" s="17">
        <f t="shared" si="135"/>
        <v>423</v>
      </c>
    </row>
    <row r="507" spans="6:46" x14ac:dyDescent="0.3">
      <c r="F507" s="1">
        <v>505</v>
      </c>
      <c r="G507" s="1" t="s">
        <v>162</v>
      </c>
      <c r="H507" s="1">
        <v>0</v>
      </c>
      <c r="I507" s="1">
        <v>81</v>
      </c>
      <c r="J507" s="1">
        <v>2</v>
      </c>
      <c r="K507" s="1">
        <v>2</v>
      </c>
      <c r="M507" s="1" t="s">
        <v>162</v>
      </c>
      <c r="N507" s="1">
        <f t="shared" si="119"/>
        <v>0</v>
      </c>
      <c r="O507" s="1">
        <f t="shared" si="120"/>
        <v>0.77142857142857146</v>
      </c>
      <c r="P507" s="1">
        <f t="shared" si="121"/>
        <v>0.5</v>
      </c>
      <c r="Q507" s="1">
        <f t="shared" si="122"/>
        <v>0.66666666666666663</v>
      </c>
      <c r="S507" s="1" t="s">
        <v>162</v>
      </c>
      <c r="T507" s="1">
        <f t="shared" si="123"/>
        <v>0</v>
      </c>
      <c r="U507" s="1">
        <f t="shared" si="124"/>
        <v>5.8756742319465545E-2</v>
      </c>
      <c r="V507" s="1">
        <f t="shared" si="125"/>
        <v>3.1574382095289864E-2</v>
      </c>
      <c r="W507" s="1">
        <f t="shared" si="126"/>
        <v>2.6906911759852478E-2</v>
      </c>
      <c r="Y507" s="1" t="s">
        <v>162</v>
      </c>
      <c r="Z507" s="1">
        <f t="shared" si="127"/>
        <v>0</v>
      </c>
      <c r="AA507" s="1">
        <f t="shared" si="128"/>
        <v>1.175134846389311E-2</v>
      </c>
      <c r="AB507" s="1">
        <f t="shared" si="129"/>
        <v>9.4723146285869593E-3</v>
      </c>
      <c r="AC507" s="1">
        <f t="shared" si="130"/>
        <v>5.3813823519704958E-3</v>
      </c>
      <c r="AK507" s="17" t="s">
        <v>1096</v>
      </c>
      <c r="AL507" s="17">
        <f t="shared" si="131"/>
        <v>3.0860970765612866E-2</v>
      </c>
      <c r="AM507" s="17">
        <f t="shared" si="132"/>
        <v>1.3047288212391445E-2</v>
      </c>
      <c r="AO507" s="17" t="s">
        <v>1808</v>
      </c>
      <c r="AP507" s="17">
        <f t="shared" si="133"/>
        <v>0.43582362637377914</v>
      </c>
      <c r="AR507" s="1" t="s">
        <v>162</v>
      </c>
      <c r="AS507" s="17">
        <f t="shared" si="134"/>
        <v>0.43582362637377914</v>
      </c>
      <c r="AT507" s="17">
        <f t="shared" si="135"/>
        <v>576</v>
      </c>
    </row>
    <row r="508" spans="6:46" x14ac:dyDescent="0.3">
      <c r="F508" s="1">
        <v>506</v>
      </c>
      <c r="G508" s="1" t="s">
        <v>416</v>
      </c>
      <c r="H508" s="1">
        <v>2</v>
      </c>
      <c r="I508" s="1">
        <v>80</v>
      </c>
      <c r="J508" s="1">
        <v>2</v>
      </c>
      <c r="K508" s="1">
        <v>3</v>
      </c>
      <c r="M508" s="1" t="s">
        <v>416</v>
      </c>
      <c r="N508" s="1">
        <f t="shared" si="119"/>
        <v>0.2857142857142857</v>
      </c>
      <c r="O508" s="1">
        <f t="shared" si="120"/>
        <v>0.76190476190476186</v>
      </c>
      <c r="P508" s="1">
        <f t="shared" si="121"/>
        <v>0.5</v>
      </c>
      <c r="Q508" s="1">
        <f t="shared" si="122"/>
        <v>1</v>
      </c>
      <c r="S508" s="1" t="s">
        <v>416</v>
      </c>
      <c r="T508" s="1">
        <f t="shared" si="123"/>
        <v>2.8583097523751523E-2</v>
      </c>
      <c r="U508" s="1">
        <f t="shared" si="124"/>
        <v>5.8031350438978314E-2</v>
      </c>
      <c r="V508" s="1">
        <f t="shared" si="125"/>
        <v>3.1574382095289864E-2</v>
      </c>
      <c r="W508" s="1">
        <f t="shared" si="126"/>
        <v>4.0360367639778717E-2</v>
      </c>
      <c r="Y508" s="1" t="s">
        <v>416</v>
      </c>
      <c r="Z508" s="1">
        <f t="shared" si="127"/>
        <v>8.5749292571254566E-3</v>
      </c>
      <c r="AA508" s="1">
        <f t="shared" si="128"/>
        <v>1.1606270087795663E-2</v>
      </c>
      <c r="AB508" s="1">
        <f t="shared" si="129"/>
        <v>9.4723146285869593E-3</v>
      </c>
      <c r="AC508" s="1">
        <f t="shared" si="130"/>
        <v>8.0720735279557441E-3</v>
      </c>
      <c r="AK508" s="17" t="s">
        <v>1097</v>
      </c>
      <c r="AL508" s="17">
        <f t="shared" si="131"/>
        <v>2.2472529141789821E-2</v>
      </c>
      <c r="AM508" s="17">
        <f t="shared" si="132"/>
        <v>1.6217830109351686E-2</v>
      </c>
      <c r="AO508" s="17" t="s">
        <v>1809</v>
      </c>
      <c r="AP508" s="17">
        <f t="shared" si="133"/>
        <v>0.73789139017131544</v>
      </c>
      <c r="AR508" s="1" t="s">
        <v>416</v>
      </c>
      <c r="AS508" s="17">
        <f t="shared" si="134"/>
        <v>0.73789139017131544</v>
      </c>
      <c r="AT508" s="17">
        <f t="shared" si="135"/>
        <v>324</v>
      </c>
    </row>
    <row r="509" spans="6:46" x14ac:dyDescent="0.3">
      <c r="F509" s="1">
        <v>507</v>
      </c>
      <c r="G509" s="1" t="s">
        <v>417</v>
      </c>
      <c r="H509" s="1">
        <v>1</v>
      </c>
      <c r="I509" s="1">
        <v>25</v>
      </c>
      <c r="J509" s="1">
        <v>5</v>
      </c>
      <c r="K509" s="1">
        <v>1</v>
      </c>
      <c r="M509" s="1" t="s">
        <v>417</v>
      </c>
      <c r="N509" s="1">
        <f t="shared" si="119"/>
        <v>0.14285714285714285</v>
      </c>
      <c r="O509" s="1">
        <f t="shared" si="120"/>
        <v>0.23809523809523808</v>
      </c>
      <c r="P509" s="1">
        <f t="shared" si="121"/>
        <v>0.2</v>
      </c>
      <c r="Q509" s="1">
        <f t="shared" si="122"/>
        <v>0.33333333333333331</v>
      </c>
      <c r="S509" s="1" t="s">
        <v>417</v>
      </c>
      <c r="T509" s="1">
        <f t="shared" si="123"/>
        <v>1.4291548761875762E-2</v>
      </c>
      <c r="U509" s="1">
        <f t="shared" si="124"/>
        <v>1.8134797012180723E-2</v>
      </c>
      <c r="V509" s="1">
        <f t="shared" si="125"/>
        <v>1.2629752838115946E-2</v>
      </c>
      <c r="W509" s="1">
        <f t="shared" si="126"/>
        <v>1.3453455879926239E-2</v>
      </c>
      <c r="Y509" s="1" t="s">
        <v>417</v>
      </c>
      <c r="Z509" s="1">
        <f t="shared" si="127"/>
        <v>4.2874646285627283E-3</v>
      </c>
      <c r="AA509" s="1">
        <f t="shared" si="128"/>
        <v>3.6269594024361447E-3</v>
      </c>
      <c r="AB509" s="1">
        <f t="shared" si="129"/>
        <v>3.7889258514347836E-3</v>
      </c>
      <c r="AC509" s="1">
        <f t="shared" si="130"/>
        <v>2.6906911759852479E-3</v>
      </c>
      <c r="AK509" s="17" t="s">
        <v>1098</v>
      </c>
      <c r="AL509" s="17">
        <f t="shared" si="131"/>
        <v>2.8730288673302871E-2</v>
      </c>
      <c r="AM509" s="17">
        <f t="shared" si="132"/>
        <v>1.575649479677536E-2</v>
      </c>
      <c r="AO509" s="17" t="s">
        <v>1810</v>
      </c>
      <c r="AP509" s="17">
        <f t="shared" si="133"/>
        <v>0.56418449619784772</v>
      </c>
      <c r="AR509" s="1" t="s">
        <v>417</v>
      </c>
      <c r="AS509" s="17">
        <f t="shared" si="134"/>
        <v>0.56418449619784772</v>
      </c>
      <c r="AT509" s="17">
        <f t="shared" si="135"/>
        <v>504</v>
      </c>
    </row>
    <row r="510" spans="6:46" x14ac:dyDescent="0.3">
      <c r="F510" s="1">
        <v>508</v>
      </c>
      <c r="G510" s="1" t="s">
        <v>418</v>
      </c>
      <c r="H510" s="1">
        <v>3</v>
      </c>
      <c r="I510" s="1">
        <v>35</v>
      </c>
      <c r="J510" s="1">
        <v>5</v>
      </c>
      <c r="K510" s="1">
        <v>3</v>
      </c>
      <c r="M510" s="1" t="s">
        <v>418</v>
      </c>
      <c r="N510" s="1">
        <f t="shared" si="119"/>
        <v>0.42857142857142855</v>
      </c>
      <c r="O510" s="1">
        <f t="shared" si="120"/>
        <v>0.33333333333333331</v>
      </c>
      <c r="P510" s="1">
        <f t="shared" si="121"/>
        <v>0.2</v>
      </c>
      <c r="Q510" s="1">
        <f t="shared" si="122"/>
        <v>1</v>
      </c>
      <c r="S510" s="1" t="s">
        <v>418</v>
      </c>
      <c r="T510" s="1">
        <f t="shared" si="123"/>
        <v>4.2874646285627281E-2</v>
      </c>
      <c r="U510" s="1">
        <f t="shared" si="124"/>
        <v>2.5388715817053011E-2</v>
      </c>
      <c r="V510" s="1">
        <f t="shared" si="125"/>
        <v>1.2629752838115946E-2</v>
      </c>
      <c r="W510" s="1">
        <f t="shared" si="126"/>
        <v>4.0360367639778717E-2</v>
      </c>
      <c r="Y510" s="1" t="s">
        <v>418</v>
      </c>
      <c r="Z510" s="1">
        <f t="shared" si="127"/>
        <v>1.2862393885688184E-2</v>
      </c>
      <c r="AA510" s="1">
        <f t="shared" si="128"/>
        <v>5.0777431634106028E-3</v>
      </c>
      <c r="AB510" s="1">
        <f t="shared" si="129"/>
        <v>3.7889258514347836E-3</v>
      </c>
      <c r="AC510" s="1">
        <f t="shared" si="130"/>
        <v>8.0720735279557441E-3</v>
      </c>
      <c r="AK510" s="17" t="s">
        <v>1099</v>
      </c>
      <c r="AL510" s="17">
        <f t="shared" si="131"/>
        <v>1.9931170301642528E-2</v>
      </c>
      <c r="AM510" s="17">
        <f t="shared" si="132"/>
        <v>2.0679769473137079E-2</v>
      </c>
      <c r="AO510" s="17" t="s">
        <v>1811</v>
      </c>
      <c r="AP510" s="17">
        <f t="shared" si="133"/>
        <v>1.0582389875303355</v>
      </c>
      <c r="AR510" s="1" t="s">
        <v>418</v>
      </c>
      <c r="AS510" s="17">
        <f t="shared" si="134"/>
        <v>1.0582389875303355</v>
      </c>
      <c r="AT510" s="17">
        <f t="shared" si="135"/>
        <v>117</v>
      </c>
    </row>
    <row r="511" spans="6:46" x14ac:dyDescent="0.3">
      <c r="F511" s="1">
        <v>509</v>
      </c>
      <c r="G511" s="1" t="s">
        <v>419</v>
      </c>
      <c r="H511" s="1">
        <v>2</v>
      </c>
      <c r="I511" s="1">
        <v>29</v>
      </c>
      <c r="J511" s="1">
        <v>2</v>
      </c>
      <c r="K511" s="1">
        <v>3</v>
      </c>
      <c r="M511" s="1" t="s">
        <v>419</v>
      </c>
      <c r="N511" s="1">
        <f t="shared" si="119"/>
        <v>0.2857142857142857</v>
      </c>
      <c r="O511" s="1">
        <f t="shared" si="120"/>
        <v>0.27619047619047621</v>
      </c>
      <c r="P511" s="1">
        <f t="shared" si="121"/>
        <v>0.5</v>
      </c>
      <c r="Q511" s="1">
        <f t="shared" si="122"/>
        <v>1</v>
      </c>
      <c r="S511" s="1" t="s">
        <v>419</v>
      </c>
      <c r="T511" s="1">
        <f t="shared" si="123"/>
        <v>2.8583097523751523E-2</v>
      </c>
      <c r="U511" s="1">
        <f t="shared" si="124"/>
        <v>2.1036364534129642E-2</v>
      </c>
      <c r="V511" s="1">
        <f t="shared" si="125"/>
        <v>3.1574382095289864E-2</v>
      </c>
      <c r="W511" s="1">
        <f t="shared" si="126"/>
        <v>4.0360367639778717E-2</v>
      </c>
      <c r="Y511" s="1" t="s">
        <v>419</v>
      </c>
      <c r="Z511" s="1">
        <f t="shared" si="127"/>
        <v>8.5749292571254566E-3</v>
      </c>
      <c r="AA511" s="1">
        <f t="shared" si="128"/>
        <v>4.2072729068259283E-3</v>
      </c>
      <c r="AB511" s="1">
        <f t="shared" si="129"/>
        <v>9.4723146285869593E-3</v>
      </c>
      <c r="AC511" s="1">
        <f t="shared" si="130"/>
        <v>8.0720735279557441E-3</v>
      </c>
      <c r="AK511" s="17" t="s">
        <v>1100</v>
      </c>
      <c r="AL511" s="17">
        <f t="shared" si="131"/>
        <v>2.4767548326405344E-2</v>
      </c>
      <c r="AM511" s="17">
        <f t="shared" si="132"/>
        <v>1.3901250707439625E-2</v>
      </c>
      <c r="AO511" s="17" t="s">
        <v>1812</v>
      </c>
      <c r="AP511" s="17">
        <f t="shared" si="133"/>
        <v>0.57516999334754704</v>
      </c>
      <c r="AR511" s="1" t="s">
        <v>419</v>
      </c>
      <c r="AS511" s="17">
        <f t="shared" si="134"/>
        <v>0.57516999334754704</v>
      </c>
      <c r="AT511" s="17">
        <f t="shared" si="135"/>
        <v>481</v>
      </c>
    </row>
    <row r="512" spans="6:46" x14ac:dyDescent="0.3">
      <c r="F512" s="1">
        <v>510</v>
      </c>
      <c r="G512" s="1" t="s">
        <v>420</v>
      </c>
      <c r="H512" s="1">
        <v>3</v>
      </c>
      <c r="I512" s="1">
        <v>46</v>
      </c>
      <c r="J512" s="1">
        <v>2</v>
      </c>
      <c r="K512" s="1">
        <v>3</v>
      </c>
      <c r="M512" s="1" t="s">
        <v>420</v>
      </c>
      <c r="N512" s="1">
        <f t="shared" si="119"/>
        <v>0.42857142857142855</v>
      </c>
      <c r="O512" s="1">
        <f t="shared" si="120"/>
        <v>0.43809523809523809</v>
      </c>
      <c r="P512" s="1">
        <f t="shared" si="121"/>
        <v>0.5</v>
      </c>
      <c r="Q512" s="1">
        <f t="shared" si="122"/>
        <v>1</v>
      </c>
      <c r="S512" s="1" t="s">
        <v>420</v>
      </c>
      <c r="T512" s="1">
        <f t="shared" si="123"/>
        <v>4.2874646285627281E-2</v>
      </c>
      <c r="U512" s="1">
        <f t="shared" si="124"/>
        <v>3.336802650241253E-2</v>
      </c>
      <c r="V512" s="1">
        <f t="shared" si="125"/>
        <v>3.1574382095289864E-2</v>
      </c>
      <c r="W512" s="1">
        <f t="shared" si="126"/>
        <v>4.0360367639778717E-2</v>
      </c>
      <c r="Y512" s="1" t="s">
        <v>420</v>
      </c>
      <c r="Z512" s="1">
        <f t="shared" si="127"/>
        <v>1.2862393885688184E-2</v>
      </c>
      <c r="AA512" s="1">
        <f t="shared" si="128"/>
        <v>6.6736053004825061E-3</v>
      </c>
      <c r="AB512" s="1">
        <f t="shared" si="129"/>
        <v>9.4723146285869593E-3</v>
      </c>
      <c r="AC512" s="1">
        <f t="shared" si="130"/>
        <v>8.0720735279557441E-3</v>
      </c>
      <c r="AK512" s="17" t="s">
        <v>1101</v>
      </c>
      <c r="AL512" s="17">
        <f t="shared" si="131"/>
        <v>1.9992141489115801E-2</v>
      </c>
      <c r="AM512" s="17">
        <f t="shared" si="132"/>
        <v>1.7211876492503896E-2</v>
      </c>
      <c r="AO512" s="17" t="s">
        <v>1813</v>
      </c>
      <c r="AP512" s="17">
        <f t="shared" si="133"/>
        <v>0.87814398333430732</v>
      </c>
      <c r="AR512" s="1" t="s">
        <v>420</v>
      </c>
      <c r="AS512" s="17">
        <f t="shared" si="134"/>
        <v>0.87814398333430732</v>
      </c>
      <c r="AT512" s="17">
        <f t="shared" si="135"/>
        <v>203</v>
      </c>
    </row>
    <row r="513" spans="6:46" x14ac:dyDescent="0.3">
      <c r="F513" s="1">
        <v>511</v>
      </c>
      <c r="G513" s="1" t="s">
        <v>169</v>
      </c>
      <c r="H513" s="1">
        <v>4</v>
      </c>
      <c r="I513" s="1">
        <v>48</v>
      </c>
      <c r="J513" s="1">
        <v>2</v>
      </c>
      <c r="K513" s="1">
        <v>3</v>
      </c>
      <c r="M513" s="1" t="s">
        <v>169</v>
      </c>
      <c r="N513" s="1">
        <f t="shared" si="119"/>
        <v>0.5714285714285714</v>
      </c>
      <c r="O513" s="1">
        <f t="shared" si="120"/>
        <v>0.45714285714285713</v>
      </c>
      <c r="P513" s="1">
        <f t="shared" si="121"/>
        <v>0.5</v>
      </c>
      <c r="Q513" s="1">
        <f t="shared" si="122"/>
        <v>1</v>
      </c>
      <c r="S513" s="1" t="s">
        <v>169</v>
      </c>
      <c r="T513" s="1">
        <f t="shared" si="123"/>
        <v>5.7166195047503046E-2</v>
      </c>
      <c r="U513" s="1">
        <f t="shared" si="124"/>
        <v>3.4818810263386991E-2</v>
      </c>
      <c r="V513" s="1">
        <f t="shared" si="125"/>
        <v>3.1574382095289864E-2</v>
      </c>
      <c r="W513" s="1">
        <f t="shared" si="126"/>
        <v>4.0360367639778717E-2</v>
      </c>
      <c r="Y513" s="1" t="s">
        <v>169</v>
      </c>
      <c r="Z513" s="1">
        <f t="shared" si="127"/>
        <v>1.7149858514250913E-2</v>
      </c>
      <c r="AA513" s="1">
        <f t="shared" si="128"/>
        <v>6.963762052677399E-3</v>
      </c>
      <c r="AB513" s="1">
        <f t="shared" si="129"/>
        <v>9.4723146285869593E-3</v>
      </c>
      <c r="AC513" s="1">
        <f t="shared" si="130"/>
        <v>8.0720735279557441E-3</v>
      </c>
      <c r="AK513" s="17" t="s">
        <v>1102</v>
      </c>
      <c r="AL513" s="17">
        <f t="shared" si="131"/>
        <v>1.6313374150175704E-2</v>
      </c>
      <c r="AM513" s="17">
        <f t="shared" si="132"/>
        <v>2.0664702671525453E-2</v>
      </c>
      <c r="AO513" s="17" t="s">
        <v>1814</v>
      </c>
      <c r="AP513" s="17">
        <f t="shared" si="133"/>
        <v>1.2873985175949625</v>
      </c>
      <c r="AR513" s="1" t="s">
        <v>169</v>
      </c>
      <c r="AS513" s="17">
        <f t="shared" si="134"/>
        <v>1.2873985175949625</v>
      </c>
      <c r="AT513" s="17">
        <f t="shared" si="135"/>
        <v>68</v>
      </c>
    </row>
    <row r="514" spans="6:46" x14ac:dyDescent="0.3">
      <c r="F514" s="1">
        <v>512</v>
      </c>
      <c r="G514" s="1" t="s">
        <v>421</v>
      </c>
      <c r="H514" s="1">
        <v>3</v>
      </c>
      <c r="I514" s="1">
        <v>43</v>
      </c>
      <c r="J514" s="1">
        <v>1</v>
      </c>
      <c r="K514" s="1">
        <v>3</v>
      </c>
      <c r="M514" s="1" t="s">
        <v>421</v>
      </c>
      <c r="N514" s="1">
        <f t="shared" si="119"/>
        <v>0.42857142857142855</v>
      </c>
      <c r="O514" s="1">
        <f t="shared" si="120"/>
        <v>0.40952380952380951</v>
      </c>
      <c r="P514" s="1">
        <f t="shared" si="121"/>
        <v>1</v>
      </c>
      <c r="Q514" s="1">
        <f t="shared" si="122"/>
        <v>1</v>
      </c>
      <c r="S514" s="1" t="s">
        <v>421</v>
      </c>
      <c r="T514" s="1">
        <f t="shared" si="123"/>
        <v>4.2874646285627281E-2</v>
      </c>
      <c r="U514" s="1">
        <f t="shared" si="124"/>
        <v>3.1191850860950845E-2</v>
      </c>
      <c r="V514" s="1">
        <f t="shared" si="125"/>
        <v>6.3148764190579729E-2</v>
      </c>
      <c r="W514" s="1">
        <f t="shared" si="126"/>
        <v>4.0360367639778717E-2</v>
      </c>
      <c r="Y514" s="1" t="s">
        <v>421</v>
      </c>
      <c r="Z514" s="1">
        <f t="shared" si="127"/>
        <v>1.2862393885688184E-2</v>
      </c>
      <c r="AA514" s="1">
        <f t="shared" si="128"/>
        <v>6.2383701721901693E-3</v>
      </c>
      <c r="AB514" s="1">
        <f t="shared" si="129"/>
        <v>1.8944629257173919E-2</v>
      </c>
      <c r="AC514" s="1">
        <f t="shared" si="130"/>
        <v>8.0720735279557441E-3</v>
      </c>
      <c r="AK514" s="17" t="s">
        <v>1103</v>
      </c>
      <c r="AL514" s="17">
        <f t="shared" si="131"/>
        <v>2.4591065184999976E-2</v>
      </c>
      <c r="AM514" s="17">
        <f t="shared" si="132"/>
        <v>1.4271737936101932E-2</v>
      </c>
      <c r="AO514" s="17" t="s">
        <v>1815</v>
      </c>
      <c r="AP514" s="17">
        <f t="shared" si="133"/>
        <v>0.59463447654603363</v>
      </c>
      <c r="AR514" s="1" t="s">
        <v>421</v>
      </c>
      <c r="AS514" s="17">
        <f t="shared" si="134"/>
        <v>0.59463447654603363</v>
      </c>
      <c r="AT514" s="17">
        <f t="shared" si="135"/>
        <v>442</v>
      </c>
    </row>
    <row r="515" spans="6:46" x14ac:dyDescent="0.3">
      <c r="F515" s="1">
        <v>513</v>
      </c>
      <c r="G515" s="1" t="s">
        <v>422</v>
      </c>
      <c r="H515" s="1">
        <v>4</v>
      </c>
      <c r="I515" s="1">
        <v>47</v>
      </c>
      <c r="J515" s="1">
        <v>2</v>
      </c>
      <c r="K515" s="1">
        <v>3</v>
      </c>
      <c r="M515" s="1" t="s">
        <v>422</v>
      </c>
      <c r="N515" s="1">
        <f t="shared" si="119"/>
        <v>0.5714285714285714</v>
      </c>
      <c r="O515" s="1">
        <f t="shared" si="120"/>
        <v>0.44761904761904764</v>
      </c>
      <c r="P515" s="1">
        <f t="shared" si="121"/>
        <v>0.5</v>
      </c>
      <c r="Q515" s="1">
        <f t="shared" si="122"/>
        <v>1</v>
      </c>
      <c r="S515" s="1" t="s">
        <v>422</v>
      </c>
      <c r="T515" s="1">
        <f t="shared" si="123"/>
        <v>5.7166195047503046E-2</v>
      </c>
      <c r="U515" s="1">
        <f t="shared" si="124"/>
        <v>3.4093418382899761E-2</v>
      </c>
      <c r="V515" s="1">
        <f t="shared" si="125"/>
        <v>3.1574382095289864E-2</v>
      </c>
      <c r="W515" s="1">
        <f t="shared" si="126"/>
        <v>4.0360367639778717E-2</v>
      </c>
      <c r="Y515" s="1" t="s">
        <v>422</v>
      </c>
      <c r="Z515" s="1">
        <f t="shared" si="127"/>
        <v>1.7149858514250913E-2</v>
      </c>
      <c r="AA515" s="1">
        <f t="shared" si="128"/>
        <v>6.8186836765799525E-3</v>
      </c>
      <c r="AB515" s="1">
        <f t="shared" si="129"/>
        <v>9.4723146285869593E-3</v>
      </c>
      <c r="AC515" s="1">
        <f t="shared" si="130"/>
        <v>8.0720735279557441E-3</v>
      </c>
      <c r="AK515" s="17" t="s">
        <v>1104</v>
      </c>
      <c r="AL515" s="17">
        <f t="shared" si="131"/>
        <v>1.6387393499665958E-2</v>
      </c>
      <c r="AM515" s="17">
        <f t="shared" si="132"/>
        <v>2.0638713671321342E-2</v>
      </c>
      <c r="AO515" s="17" t="s">
        <v>1816</v>
      </c>
      <c r="AP515" s="17">
        <f t="shared" si="133"/>
        <v>1.2800649715287433</v>
      </c>
      <c r="AR515" s="1" t="s">
        <v>422</v>
      </c>
      <c r="AS515" s="17">
        <f t="shared" si="134"/>
        <v>1.2800649715287433</v>
      </c>
      <c r="AT515" s="17">
        <f t="shared" si="135"/>
        <v>70</v>
      </c>
    </row>
    <row r="516" spans="6:46" x14ac:dyDescent="0.3">
      <c r="F516" s="1">
        <v>514</v>
      </c>
      <c r="G516" s="1" t="s">
        <v>423</v>
      </c>
      <c r="H516" s="1">
        <v>0</v>
      </c>
      <c r="I516" s="1">
        <v>36</v>
      </c>
      <c r="J516" s="1">
        <v>5</v>
      </c>
      <c r="K516" s="1">
        <v>2</v>
      </c>
      <c r="M516" s="1" t="s">
        <v>423</v>
      </c>
      <c r="N516" s="1">
        <f t="shared" ref="N516:N579" si="136">H516/MAX($H$3:$H$712)</f>
        <v>0</v>
      </c>
      <c r="O516" s="1">
        <f t="shared" ref="O516:O579" si="137">I516/MAX($I$3:$I$712)</f>
        <v>0.34285714285714286</v>
      </c>
      <c r="P516" s="1">
        <f t="shared" ref="P516:P579" si="138">MIN($J$3:$J$712)/J516</f>
        <v>0.2</v>
      </c>
      <c r="Q516" s="1">
        <f t="shared" ref="Q516:Q579" si="139">K516/MAX($K$3:$K$712)</f>
        <v>0.66666666666666663</v>
      </c>
      <c r="S516" s="1" t="s">
        <v>423</v>
      </c>
      <c r="T516" s="1">
        <f t="shared" ref="T516:T579" si="140">N516/SQRT(SUMSQ($N$3:$N$712))</f>
        <v>0</v>
      </c>
      <c r="U516" s="1">
        <f t="shared" ref="U516:U579" si="141">O516/SQRT(SUMSQ($O$3:$O$712))</f>
        <v>2.6114107697540242E-2</v>
      </c>
      <c r="V516" s="1">
        <f t="shared" ref="V516:V579" si="142">P516/SQRT(SUMSQ($P$3:$P$712))</f>
        <v>1.2629752838115946E-2</v>
      </c>
      <c r="W516" s="1">
        <f t="shared" ref="W516:W579" si="143">Q516/SQRT(SUMSQ($Q$3:$Q$712))</f>
        <v>2.6906911759852478E-2</v>
      </c>
      <c r="Y516" s="1" t="s">
        <v>423</v>
      </c>
      <c r="Z516" s="1">
        <f t="shared" ref="Z516:Z579" si="144">T516*$D$3</f>
        <v>0</v>
      </c>
      <c r="AA516" s="1">
        <f t="shared" ref="AA516:AA579" si="145">U516*$D$4</f>
        <v>5.2228215395080484E-3</v>
      </c>
      <c r="AB516" s="1">
        <f t="shared" ref="AB516:AB579" si="146">V516*$D$5</f>
        <v>3.7889258514347836E-3</v>
      </c>
      <c r="AC516" s="1">
        <f t="shared" ref="AC516:AC579" si="147">W516*$D$6</f>
        <v>5.3813823519704958E-3</v>
      </c>
      <c r="AK516" s="17" t="s">
        <v>1105</v>
      </c>
      <c r="AL516" s="17">
        <f t="shared" ref="AL516:AL579" si="148">SQRT( ($AF$3-Z516)^2 + ($AG$3-AA516)^2 + ($AH$3-AB516)^2 + ($AI$3-AC516)^2 )</f>
        <v>3.1751903572259862E-2</v>
      </c>
      <c r="AM516" s="17">
        <f t="shared" ref="AM516:AM579" si="149">SQRT( (Z516-$AF$4)^2 + (AA516-$AG$4)^2 + (AB516-$AH$4)^2 + (AC516-$AI$4)^2 )</f>
        <v>1.5526123818539765E-2</v>
      </c>
      <c r="AO516" s="17" t="s">
        <v>1817</v>
      </c>
      <c r="AP516" s="17">
        <f t="shared" ref="AP516:AP579" si="150">AM516/AL516+AM516</f>
        <v>0.50450858067206228</v>
      </c>
      <c r="AR516" s="1" t="s">
        <v>423</v>
      </c>
      <c r="AS516" s="17">
        <f t="shared" ref="AS516:AS579" si="151">AP516</f>
        <v>0.50450858067206228</v>
      </c>
      <c r="AT516" s="17">
        <f t="shared" ref="AT516:AT579" si="152">RANK(AS516,$AS$3:$AS$712,0)</f>
        <v>533</v>
      </c>
    </row>
    <row r="517" spans="6:46" x14ac:dyDescent="0.3">
      <c r="F517" s="1">
        <v>515</v>
      </c>
      <c r="G517" s="1" t="s">
        <v>424</v>
      </c>
      <c r="H517" s="1">
        <v>2</v>
      </c>
      <c r="I517" s="1">
        <v>39</v>
      </c>
      <c r="J517" s="1">
        <v>2</v>
      </c>
      <c r="K517" s="1">
        <v>3</v>
      </c>
      <c r="M517" s="1" t="s">
        <v>424</v>
      </c>
      <c r="N517" s="1">
        <f t="shared" si="136"/>
        <v>0.2857142857142857</v>
      </c>
      <c r="O517" s="1">
        <f t="shared" si="137"/>
        <v>0.37142857142857144</v>
      </c>
      <c r="P517" s="1">
        <f t="shared" si="138"/>
        <v>0.5</v>
      </c>
      <c r="Q517" s="1">
        <f t="shared" si="139"/>
        <v>1</v>
      </c>
      <c r="S517" s="1" t="s">
        <v>424</v>
      </c>
      <c r="T517" s="1">
        <f t="shared" si="140"/>
        <v>2.8583097523751523E-2</v>
      </c>
      <c r="U517" s="1">
        <f t="shared" si="141"/>
        <v>2.829028333900193E-2</v>
      </c>
      <c r="V517" s="1">
        <f t="shared" si="142"/>
        <v>3.1574382095289864E-2</v>
      </c>
      <c r="W517" s="1">
        <f t="shared" si="143"/>
        <v>4.0360367639778717E-2</v>
      </c>
      <c r="Y517" s="1" t="s">
        <v>424</v>
      </c>
      <c r="Z517" s="1">
        <f t="shared" si="144"/>
        <v>8.5749292571254566E-3</v>
      </c>
      <c r="AA517" s="1">
        <f t="shared" si="145"/>
        <v>5.658056667800386E-3</v>
      </c>
      <c r="AB517" s="1">
        <f t="shared" si="146"/>
        <v>9.4723146285869593E-3</v>
      </c>
      <c r="AC517" s="1">
        <f t="shared" si="147"/>
        <v>8.0720735279557441E-3</v>
      </c>
      <c r="AK517" s="17" t="s">
        <v>1106</v>
      </c>
      <c r="AL517" s="17">
        <f t="shared" si="148"/>
        <v>2.4156648486516132E-2</v>
      </c>
      <c r="AM517" s="17">
        <f t="shared" si="149"/>
        <v>1.4081769337755392E-2</v>
      </c>
      <c r="AO517" s="17" t="s">
        <v>1818</v>
      </c>
      <c r="AP517" s="17">
        <f t="shared" si="150"/>
        <v>0.59701732621418291</v>
      </c>
      <c r="AR517" s="1" t="s">
        <v>424</v>
      </c>
      <c r="AS517" s="17">
        <f t="shared" si="151"/>
        <v>0.59701732621418291</v>
      </c>
      <c r="AT517" s="17">
        <f t="shared" si="152"/>
        <v>437</v>
      </c>
    </row>
    <row r="518" spans="6:46" x14ac:dyDescent="0.3">
      <c r="F518" s="1">
        <v>516</v>
      </c>
      <c r="G518" s="1" t="s">
        <v>425</v>
      </c>
      <c r="H518" s="1">
        <v>4</v>
      </c>
      <c r="I518" s="1">
        <v>46</v>
      </c>
      <c r="J518" s="1">
        <v>2</v>
      </c>
      <c r="K518" s="1">
        <v>3</v>
      </c>
      <c r="M518" s="1" t="s">
        <v>425</v>
      </c>
      <c r="N518" s="1">
        <f t="shared" si="136"/>
        <v>0.5714285714285714</v>
      </c>
      <c r="O518" s="1">
        <f t="shared" si="137"/>
        <v>0.43809523809523809</v>
      </c>
      <c r="P518" s="1">
        <f t="shared" si="138"/>
        <v>0.5</v>
      </c>
      <c r="Q518" s="1">
        <f t="shared" si="139"/>
        <v>1</v>
      </c>
      <c r="S518" s="1" t="s">
        <v>425</v>
      </c>
      <c r="T518" s="1">
        <f t="shared" si="140"/>
        <v>5.7166195047503046E-2</v>
      </c>
      <c r="U518" s="1">
        <f t="shared" si="141"/>
        <v>3.336802650241253E-2</v>
      </c>
      <c r="V518" s="1">
        <f t="shared" si="142"/>
        <v>3.1574382095289864E-2</v>
      </c>
      <c r="W518" s="1">
        <f t="shared" si="143"/>
        <v>4.0360367639778717E-2</v>
      </c>
      <c r="Y518" s="1" t="s">
        <v>425</v>
      </c>
      <c r="Z518" s="1">
        <f t="shared" si="144"/>
        <v>1.7149858514250913E-2</v>
      </c>
      <c r="AA518" s="1">
        <f t="shared" si="145"/>
        <v>6.6736053004825061E-3</v>
      </c>
      <c r="AB518" s="1">
        <f t="shared" si="146"/>
        <v>9.4723146285869593E-3</v>
      </c>
      <c r="AC518" s="1">
        <f t="shared" si="147"/>
        <v>8.0720735279557441E-3</v>
      </c>
      <c r="AK518" s="17" t="s">
        <v>1107</v>
      </c>
      <c r="AL518" s="17">
        <f t="shared" si="148"/>
        <v>1.646235860174931E-2</v>
      </c>
      <c r="AM518" s="17">
        <f t="shared" si="149"/>
        <v>2.0613712983871779E-2</v>
      </c>
      <c r="AO518" s="17" t="s">
        <v>1819</v>
      </c>
      <c r="AP518" s="17">
        <f t="shared" si="150"/>
        <v>1.2727862286330778</v>
      </c>
      <c r="AR518" s="1" t="s">
        <v>425</v>
      </c>
      <c r="AS518" s="17">
        <f t="shared" si="151"/>
        <v>1.2727862286330778</v>
      </c>
      <c r="AT518" s="17">
        <f t="shared" si="152"/>
        <v>72</v>
      </c>
    </row>
    <row r="519" spans="6:46" x14ac:dyDescent="0.3">
      <c r="F519" s="1">
        <v>517</v>
      </c>
      <c r="G519" s="1" t="s">
        <v>13</v>
      </c>
      <c r="H519" s="1">
        <v>2</v>
      </c>
      <c r="I519" s="1">
        <v>31</v>
      </c>
      <c r="J519" s="1">
        <v>2</v>
      </c>
      <c r="K519" s="1">
        <v>3</v>
      </c>
      <c r="M519" s="1" t="s">
        <v>13</v>
      </c>
      <c r="N519" s="1">
        <f t="shared" si="136"/>
        <v>0.2857142857142857</v>
      </c>
      <c r="O519" s="1">
        <f t="shared" si="137"/>
        <v>0.29523809523809524</v>
      </c>
      <c r="P519" s="1">
        <f t="shared" si="138"/>
        <v>0.5</v>
      </c>
      <c r="Q519" s="1">
        <f t="shared" si="139"/>
        <v>1</v>
      </c>
      <c r="S519" s="1" t="s">
        <v>13</v>
      </c>
      <c r="T519" s="1">
        <f t="shared" si="140"/>
        <v>2.8583097523751523E-2</v>
      </c>
      <c r="U519" s="1">
        <f t="shared" si="141"/>
        <v>2.2487148295104099E-2</v>
      </c>
      <c r="V519" s="1">
        <f t="shared" si="142"/>
        <v>3.1574382095289864E-2</v>
      </c>
      <c r="W519" s="1">
        <f t="shared" si="143"/>
        <v>4.0360367639778717E-2</v>
      </c>
      <c r="Y519" s="1" t="s">
        <v>13</v>
      </c>
      <c r="Z519" s="1">
        <f t="shared" si="144"/>
        <v>8.5749292571254566E-3</v>
      </c>
      <c r="AA519" s="1">
        <f t="shared" si="145"/>
        <v>4.4974296590208204E-3</v>
      </c>
      <c r="AB519" s="1">
        <f t="shared" si="146"/>
        <v>9.4723146285869593E-3</v>
      </c>
      <c r="AC519" s="1">
        <f t="shared" si="147"/>
        <v>8.0720735279557441E-3</v>
      </c>
      <c r="AK519" s="17" t="s">
        <v>1108</v>
      </c>
      <c r="AL519" s="17">
        <f t="shared" si="148"/>
        <v>2.4639746945484292E-2</v>
      </c>
      <c r="AM519" s="17">
        <f t="shared" si="149"/>
        <v>1.3925455064659288E-2</v>
      </c>
      <c r="AO519" s="17" t="s">
        <v>1820</v>
      </c>
      <c r="AP519" s="17">
        <f t="shared" si="150"/>
        <v>0.57908771486665755</v>
      </c>
      <c r="AR519" s="1" t="s">
        <v>13</v>
      </c>
      <c r="AS519" s="17">
        <f t="shared" si="151"/>
        <v>0.57908771486665755</v>
      </c>
      <c r="AT519" s="17">
        <f t="shared" si="152"/>
        <v>470</v>
      </c>
    </row>
    <row r="520" spans="6:46" x14ac:dyDescent="0.3">
      <c r="F520" s="1">
        <v>518</v>
      </c>
      <c r="G520" s="1" t="s">
        <v>14</v>
      </c>
      <c r="H520" s="1">
        <v>4</v>
      </c>
      <c r="I520" s="1">
        <v>51</v>
      </c>
      <c r="J520" s="1">
        <v>2</v>
      </c>
      <c r="K520" s="1">
        <v>3</v>
      </c>
      <c r="M520" s="1" t="s">
        <v>14</v>
      </c>
      <c r="N520" s="1">
        <f t="shared" si="136"/>
        <v>0.5714285714285714</v>
      </c>
      <c r="O520" s="1">
        <f t="shared" si="137"/>
        <v>0.48571428571428571</v>
      </c>
      <c r="P520" s="1">
        <f t="shared" si="138"/>
        <v>0.5</v>
      </c>
      <c r="Q520" s="1">
        <f t="shared" si="139"/>
        <v>1</v>
      </c>
      <c r="S520" s="1" t="s">
        <v>14</v>
      </c>
      <c r="T520" s="1">
        <f t="shared" si="140"/>
        <v>5.7166195047503046E-2</v>
      </c>
      <c r="U520" s="1">
        <f t="shared" si="141"/>
        <v>3.6994985904848676E-2</v>
      </c>
      <c r="V520" s="1">
        <f t="shared" si="142"/>
        <v>3.1574382095289864E-2</v>
      </c>
      <c r="W520" s="1">
        <f t="shared" si="143"/>
        <v>4.0360367639778717E-2</v>
      </c>
      <c r="Y520" s="1" t="s">
        <v>14</v>
      </c>
      <c r="Z520" s="1">
        <f t="shared" si="144"/>
        <v>1.7149858514250913E-2</v>
      </c>
      <c r="AA520" s="1">
        <f t="shared" si="145"/>
        <v>7.3989971809697358E-3</v>
      </c>
      <c r="AB520" s="1">
        <f t="shared" si="146"/>
        <v>9.4723146285869593E-3</v>
      </c>
      <c r="AC520" s="1">
        <f t="shared" si="147"/>
        <v>8.0720735279557441E-3</v>
      </c>
      <c r="AK520" s="17" t="s">
        <v>1109</v>
      </c>
      <c r="AL520" s="17">
        <f t="shared" si="148"/>
        <v>1.6097120249856305E-2</v>
      </c>
      <c r="AM520" s="17">
        <f t="shared" si="149"/>
        <v>2.0748561704667098E-2</v>
      </c>
      <c r="AO520" s="17" t="s">
        <v>1821</v>
      </c>
      <c r="AP520" s="17">
        <f t="shared" si="150"/>
        <v>1.3097096542859512</v>
      </c>
      <c r="AR520" s="1" t="s">
        <v>14</v>
      </c>
      <c r="AS520" s="17">
        <f t="shared" si="151"/>
        <v>1.3097096542859512</v>
      </c>
      <c r="AT520" s="17">
        <f t="shared" si="152"/>
        <v>59</v>
      </c>
    </row>
    <row r="521" spans="6:46" x14ac:dyDescent="0.3">
      <c r="F521" s="1">
        <v>519</v>
      </c>
      <c r="G521" s="1" t="s">
        <v>426</v>
      </c>
      <c r="H521" s="1">
        <v>3</v>
      </c>
      <c r="I521" s="1">
        <v>50</v>
      </c>
      <c r="J521" s="1">
        <v>2</v>
      </c>
      <c r="K521" s="1">
        <v>3</v>
      </c>
      <c r="M521" s="1" t="s">
        <v>426</v>
      </c>
      <c r="N521" s="1">
        <f t="shared" si="136"/>
        <v>0.42857142857142855</v>
      </c>
      <c r="O521" s="1">
        <f t="shared" si="137"/>
        <v>0.47619047619047616</v>
      </c>
      <c r="P521" s="1">
        <f t="shared" si="138"/>
        <v>0.5</v>
      </c>
      <c r="Q521" s="1">
        <f t="shared" si="139"/>
        <v>1</v>
      </c>
      <c r="S521" s="1" t="s">
        <v>426</v>
      </c>
      <c r="T521" s="1">
        <f t="shared" si="140"/>
        <v>4.2874646285627281E-2</v>
      </c>
      <c r="U521" s="1">
        <f t="shared" si="141"/>
        <v>3.6269594024361446E-2</v>
      </c>
      <c r="V521" s="1">
        <f t="shared" si="142"/>
        <v>3.1574382095289864E-2</v>
      </c>
      <c r="W521" s="1">
        <f t="shared" si="143"/>
        <v>4.0360367639778717E-2</v>
      </c>
      <c r="Y521" s="1" t="s">
        <v>426</v>
      </c>
      <c r="Z521" s="1">
        <f t="shared" si="144"/>
        <v>1.2862393885688184E-2</v>
      </c>
      <c r="AA521" s="1">
        <f t="shared" si="145"/>
        <v>7.2539188048722893E-3</v>
      </c>
      <c r="AB521" s="1">
        <f t="shared" si="146"/>
        <v>9.4723146285869593E-3</v>
      </c>
      <c r="AC521" s="1">
        <f t="shared" si="147"/>
        <v>8.0720735279557441E-3</v>
      </c>
      <c r="AK521" s="17" t="s">
        <v>1110</v>
      </c>
      <c r="AL521" s="17">
        <f t="shared" si="148"/>
        <v>1.9750644396185572E-2</v>
      </c>
      <c r="AM521" s="17">
        <f t="shared" si="149"/>
        <v>1.7338587639052702E-2</v>
      </c>
      <c r="AO521" s="17" t="s">
        <v>1822</v>
      </c>
      <c r="AP521" s="17">
        <f t="shared" si="150"/>
        <v>0.89521311624943523</v>
      </c>
      <c r="AR521" s="1" t="s">
        <v>426</v>
      </c>
      <c r="AS521" s="17">
        <f t="shared" si="151"/>
        <v>0.89521311624943523</v>
      </c>
      <c r="AT521" s="17">
        <f t="shared" si="152"/>
        <v>181</v>
      </c>
    </row>
    <row r="522" spans="6:46" x14ac:dyDescent="0.3">
      <c r="F522" s="1">
        <v>520</v>
      </c>
      <c r="G522" s="1" t="s">
        <v>16</v>
      </c>
      <c r="H522" s="1">
        <v>2</v>
      </c>
      <c r="I522" s="1">
        <v>40</v>
      </c>
      <c r="J522" s="1">
        <v>3</v>
      </c>
      <c r="K522" s="1">
        <v>3</v>
      </c>
      <c r="M522" s="1" t="s">
        <v>16</v>
      </c>
      <c r="N522" s="1">
        <f t="shared" si="136"/>
        <v>0.2857142857142857</v>
      </c>
      <c r="O522" s="1">
        <f t="shared" si="137"/>
        <v>0.38095238095238093</v>
      </c>
      <c r="P522" s="1">
        <f t="shared" si="138"/>
        <v>0.33333333333333331</v>
      </c>
      <c r="Q522" s="1">
        <f t="shared" si="139"/>
        <v>1</v>
      </c>
      <c r="S522" s="1" t="s">
        <v>16</v>
      </c>
      <c r="T522" s="1">
        <f t="shared" si="140"/>
        <v>2.8583097523751523E-2</v>
      </c>
      <c r="U522" s="1">
        <f t="shared" si="141"/>
        <v>2.9015675219489157E-2</v>
      </c>
      <c r="V522" s="1">
        <f t="shared" si="142"/>
        <v>2.1049588063526574E-2</v>
      </c>
      <c r="W522" s="1">
        <f t="shared" si="143"/>
        <v>4.0360367639778717E-2</v>
      </c>
      <c r="Y522" s="1" t="s">
        <v>16</v>
      </c>
      <c r="Z522" s="1">
        <f t="shared" si="144"/>
        <v>8.5749292571254566E-3</v>
      </c>
      <c r="AA522" s="1">
        <f t="shared" si="145"/>
        <v>5.8031350438978316E-3</v>
      </c>
      <c r="AB522" s="1">
        <f t="shared" si="146"/>
        <v>6.314876419057972E-3</v>
      </c>
      <c r="AC522" s="1">
        <f t="shared" si="147"/>
        <v>8.0720735279557441E-3</v>
      </c>
      <c r="AK522" s="17" t="s">
        <v>1111</v>
      </c>
      <c r="AL522" s="17">
        <f t="shared" si="148"/>
        <v>2.3555592352268881E-2</v>
      </c>
      <c r="AM522" s="17">
        <f t="shared" si="149"/>
        <v>1.6395694884422884E-2</v>
      </c>
      <c r="AO522" s="17" t="s">
        <v>1823</v>
      </c>
      <c r="AP522" s="17">
        <f t="shared" si="150"/>
        <v>0.71243825833299801</v>
      </c>
      <c r="AR522" s="1" t="s">
        <v>16</v>
      </c>
      <c r="AS522" s="17">
        <f t="shared" si="151"/>
        <v>0.71243825833299801</v>
      </c>
      <c r="AT522" s="17">
        <f t="shared" si="152"/>
        <v>336</v>
      </c>
    </row>
    <row r="523" spans="6:46" x14ac:dyDescent="0.3">
      <c r="F523" s="1">
        <v>521</v>
      </c>
      <c r="G523" s="1" t="s">
        <v>16</v>
      </c>
      <c r="H523" s="1">
        <v>4</v>
      </c>
      <c r="I523" s="1">
        <v>52</v>
      </c>
      <c r="J523" s="1">
        <v>3</v>
      </c>
      <c r="K523" s="1">
        <v>3</v>
      </c>
      <c r="M523" s="1" t="s">
        <v>16</v>
      </c>
      <c r="N523" s="1">
        <f t="shared" si="136"/>
        <v>0.5714285714285714</v>
      </c>
      <c r="O523" s="1">
        <f t="shared" si="137"/>
        <v>0.49523809523809526</v>
      </c>
      <c r="P523" s="1">
        <f t="shared" si="138"/>
        <v>0.33333333333333331</v>
      </c>
      <c r="Q523" s="1">
        <f t="shared" si="139"/>
        <v>1</v>
      </c>
      <c r="S523" s="1" t="s">
        <v>16</v>
      </c>
      <c r="T523" s="1">
        <f t="shared" si="140"/>
        <v>5.7166195047503046E-2</v>
      </c>
      <c r="U523" s="1">
        <f t="shared" si="141"/>
        <v>3.7720377785335907E-2</v>
      </c>
      <c r="V523" s="1">
        <f t="shared" si="142"/>
        <v>2.1049588063526574E-2</v>
      </c>
      <c r="W523" s="1">
        <f t="shared" si="143"/>
        <v>4.0360367639778717E-2</v>
      </c>
      <c r="Y523" s="1" t="s">
        <v>16</v>
      </c>
      <c r="Z523" s="1">
        <f t="shared" si="144"/>
        <v>1.7149858514250913E-2</v>
      </c>
      <c r="AA523" s="1">
        <f t="shared" si="145"/>
        <v>7.5440755570671814E-3</v>
      </c>
      <c r="AB523" s="1">
        <f t="shared" si="146"/>
        <v>6.314876419057972E-3</v>
      </c>
      <c r="AC523" s="1">
        <f t="shared" si="147"/>
        <v>8.0720735279557441E-3</v>
      </c>
      <c r="AK523" s="17" t="s">
        <v>1112</v>
      </c>
      <c r="AL523" s="17">
        <f t="shared" si="148"/>
        <v>1.5196864510436546E-2</v>
      </c>
      <c r="AM523" s="17">
        <f t="shared" si="149"/>
        <v>2.2394877573203801E-2</v>
      </c>
      <c r="AO523" s="17" t="s">
        <v>1824</v>
      </c>
      <c r="AP523" s="17">
        <f t="shared" si="150"/>
        <v>1.4960460743594866</v>
      </c>
      <c r="AR523" s="1" t="s">
        <v>16</v>
      </c>
      <c r="AS523" s="17">
        <f t="shared" si="151"/>
        <v>1.4960460743594866</v>
      </c>
      <c r="AT523" s="17">
        <f t="shared" si="152"/>
        <v>43</v>
      </c>
    </row>
    <row r="524" spans="6:46" x14ac:dyDescent="0.3">
      <c r="F524" s="1">
        <v>522</v>
      </c>
      <c r="G524" s="1" t="s">
        <v>427</v>
      </c>
      <c r="H524" s="1">
        <v>3</v>
      </c>
      <c r="I524" s="1">
        <v>46</v>
      </c>
      <c r="J524" s="1">
        <v>4</v>
      </c>
      <c r="K524" s="1">
        <v>3</v>
      </c>
      <c r="M524" s="1" t="s">
        <v>427</v>
      </c>
      <c r="N524" s="1">
        <f t="shared" si="136"/>
        <v>0.42857142857142855</v>
      </c>
      <c r="O524" s="1">
        <f t="shared" si="137"/>
        <v>0.43809523809523809</v>
      </c>
      <c r="P524" s="1">
        <f t="shared" si="138"/>
        <v>0.25</v>
      </c>
      <c r="Q524" s="1">
        <f t="shared" si="139"/>
        <v>1</v>
      </c>
      <c r="S524" s="1" t="s">
        <v>427</v>
      </c>
      <c r="T524" s="1">
        <f t="shared" si="140"/>
        <v>4.2874646285627281E-2</v>
      </c>
      <c r="U524" s="1">
        <f t="shared" si="141"/>
        <v>3.336802650241253E-2</v>
      </c>
      <c r="V524" s="1">
        <f t="shared" si="142"/>
        <v>1.5787191047644932E-2</v>
      </c>
      <c r="W524" s="1">
        <f t="shared" si="143"/>
        <v>4.0360367639778717E-2</v>
      </c>
      <c r="Y524" s="1" t="s">
        <v>427</v>
      </c>
      <c r="Z524" s="1">
        <f t="shared" si="144"/>
        <v>1.2862393885688184E-2</v>
      </c>
      <c r="AA524" s="1">
        <f t="shared" si="145"/>
        <v>6.6736053004825061E-3</v>
      </c>
      <c r="AB524" s="1">
        <f t="shared" si="146"/>
        <v>4.7361573142934797E-3</v>
      </c>
      <c r="AC524" s="1">
        <f t="shared" si="147"/>
        <v>8.0720735279557441E-3</v>
      </c>
      <c r="AK524" s="17" t="s">
        <v>1113</v>
      </c>
      <c r="AL524" s="17">
        <f t="shared" si="148"/>
        <v>1.9190676402169767E-2</v>
      </c>
      <c r="AM524" s="17">
        <f t="shared" si="149"/>
        <v>2.0209023304501542E-2</v>
      </c>
      <c r="AO524" s="17" t="s">
        <v>1825</v>
      </c>
      <c r="AP524" s="17">
        <f t="shared" si="150"/>
        <v>1.0732736928862698</v>
      </c>
      <c r="AR524" s="1" t="s">
        <v>427</v>
      </c>
      <c r="AS524" s="17">
        <f t="shared" si="151"/>
        <v>1.0732736928862698</v>
      </c>
      <c r="AT524" s="17">
        <f t="shared" si="152"/>
        <v>115</v>
      </c>
    </row>
    <row r="525" spans="6:46" x14ac:dyDescent="0.3">
      <c r="F525" s="1">
        <v>523</v>
      </c>
      <c r="G525" s="1" t="s">
        <v>18</v>
      </c>
      <c r="H525" s="1">
        <v>2</v>
      </c>
      <c r="I525" s="1">
        <v>37</v>
      </c>
      <c r="J525" s="1">
        <v>2</v>
      </c>
      <c r="K525" s="1">
        <v>3</v>
      </c>
      <c r="M525" s="1" t="s">
        <v>18</v>
      </c>
      <c r="N525" s="1">
        <f t="shared" si="136"/>
        <v>0.2857142857142857</v>
      </c>
      <c r="O525" s="1">
        <f t="shared" si="137"/>
        <v>0.35238095238095241</v>
      </c>
      <c r="P525" s="1">
        <f t="shared" si="138"/>
        <v>0.5</v>
      </c>
      <c r="Q525" s="1">
        <f t="shared" si="139"/>
        <v>1</v>
      </c>
      <c r="S525" s="1" t="s">
        <v>18</v>
      </c>
      <c r="T525" s="1">
        <f t="shared" si="140"/>
        <v>2.8583097523751523E-2</v>
      </c>
      <c r="U525" s="1">
        <f t="shared" si="141"/>
        <v>2.6839499578027472E-2</v>
      </c>
      <c r="V525" s="1">
        <f t="shared" si="142"/>
        <v>3.1574382095289864E-2</v>
      </c>
      <c r="W525" s="1">
        <f t="shared" si="143"/>
        <v>4.0360367639778717E-2</v>
      </c>
      <c r="Y525" s="1" t="s">
        <v>18</v>
      </c>
      <c r="Z525" s="1">
        <f t="shared" si="144"/>
        <v>8.5749292571254566E-3</v>
      </c>
      <c r="AA525" s="1">
        <f t="shared" si="145"/>
        <v>5.3678999156054948E-3</v>
      </c>
      <c r="AB525" s="1">
        <f t="shared" si="146"/>
        <v>9.4723146285869593E-3</v>
      </c>
      <c r="AC525" s="1">
        <f t="shared" si="147"/>
        <v>8.0720735279557441E-3</v>
      </c>
      <c r="AK525" s="17" t="s">
        <v>1114</v>
      </c>
      <c r="AL525" s="17">
        <f t="shared" si="148"/>
        <v>2.4273122154714038E-2</v>
      </c>
      <c r="AM525" s="17">
        <f t="shared" si="149"/>
        <v>1.4033858080664751E-2</v>
      </c>
      <c r="AO525" s="17" t="s">
        <v>1826</v>
      </c>
      <c r="AP525" s="17">
        <f t="shared" si="150"/>
        <v>0.5921983806012775</v>
      </c>
      <c r="AR525" s="1" t="s">
        <v>18</v>
      </c>
      <c r="AS525" s="17">
        <f t="shared" si="151"/>
        <v>0.5921983806012775</v>
      </c>
      <c r="AT525" s="17">
        <f t="shared" si="152"/>
        <v>448</v>
      </c>
    </row>
    <row r="526" spans="6:46" x14ac:dyDescent="0.3">
      <c r="F526" s="1">
        <v>524</v>
      </c>
      <c r="G526" s="1" t="s">
        <v>183</v>
      </c>
      <c r="H526" s="1">
        <v>1</v>
      </c>
      <c r="I526" s="1">
        <v>22</v>
      </c>
      <c r="J526" s="1">
        <v>2</v>
      </c>
      <c r="K526" s="1">
        <v>1</v>
      </c>
      <c r="M526" s="1" t="s">
        <v>183</v>
      </c>
      <c r="N526" s="1">
        <f t="shared" si="136"/>
        <v>0.14285714285714285</v>
      </c>
      <c r="O526" s="1">
        <f t="shared" si="137"/>
        <v>0.20952380952380953</v>
      </c>
      <c r="P526" s="1">
        <f t="shared" si="138"/>
        <v>0.5</v>
      </c>
      <c r="Q526" s="1">
        <f t="shared" si="139"/>
        <v>0.33333333333333331</v>
      </c>
      <c r="S526" s="1" t="s">
        <v>183</v>
      </c>
      <c r="T526" s="1">
        <f t="shared" si="140"/>
        <v>1.4291548761875762E-2</v>
      </c>
      <c r="U526" s="1">
        <f t="shared" si="141"/>
        <v>1.5958621370719038E-2</v>
      </c>
      <c r="V526" s="1">
        <f t="shared" si="142"/>
        <v>3.1574382095289864E-2</v>
      </c>
      <c r="W526" s="1">
        <f t="shared" si="143"/>
        <v>1.3453455879926239E-2</v>
      </c>
      <c r="Y526" s="1" t="s">
        <v>183</v>
      </c>
      <c r="Z526" s="1">
        <f t="shared" si="144"/>
        <v>4.2874646285627283E-3</v>
      </c>
      <c r="AA526" s="1">
        <f t="shared" si="145"/>
        <v>3.1917242741438079E-3</v>
      </c>
      <c r="AB526" s="1">
        <f t="shared" si="146"/>
        <v>9.4723146285869593E-3</v>
      </c>
      <c r="AC526" s="1">
        <f t="shared" si="147"/>
        <v>2.6906911759852479E-3</v>
      </c>
      <c r="AK526" s="17" t="s">
        <v>1115</v>
      </c>
      <c r="AL526" s="17">
        <f t="shared" si="148"/>
        <v>2.9462225607747094E-2</v>
      </c>
      <c r="AM526" s="17">
        <f t="shared" si="149"/>
        <v>1.0397456292965075E-2</v>
      </c>
      <c r="AO526" s="17" t="s">
        <v>1827</v>
      </c>
      <c r="AP526" s="17">
        <f t="shared" si="150"/>
        <v>0.36330549628268882</v>
      </c>
      <c r="AR526" s="1" t="s">
        <v>183</v>
      </c>
      <c r="AS526" s="17">
        <f t="shared" si="151"/>
        <v>0.36330549628268882</v>
      </c>
      <c r="AT526" s="17">
        <f t="shared" si="152"/>
        <v>624</v>
      </c>
    </row>
    <row r="527" spans="6:46" x14ac:dyDescent="0.3">
      <c r="F527" s="1">
        <v>525</v>
      </c>
      <c r="G527" s="1" t="s">
        <v>183</v>
      </c>
      <c r="H527" s="1">
        <v>3</v>
      </c>
      <c r="I527" s="1">
        <v>43</v>
      </c>
      <c r="J527" s="1">
        <v>2</v>
      </c>
      <c r="K527" s="1">
        <v>3</v>
      </c>
      <c r="M527" s="1" t="s">
        <v>183</v>
      </c>
      <c r="N527" s="1">
        <f t="shared" si="136"/>
        <v>0.42857142857142855</v>
      </c>
      <c r="O527" s="1">
        <f t="shared" si="137"/>
        <v>0.40952380952380951</v>
      </c>
      <c r="P527" s="1">
        <f t="shared" si="138"/>
        <v>0.5</v>
      </c>
      <c r="Q527" s="1">
        <f t="shared" si="139"/>
        <v>1</v>
      </c>
      <c r="S527" s="1" t="s">
        <v>183</v>
      </c>
      <c r="T527" s="1">
        <f t="shared" si="140"/>
        <v>4.2874646285627281E-2</v>
      </c>
      <c r="U527" s="1">
        <f t="shared" si="141"/>
        <v>3.1191850860950845E-2</v>
      </c>
      <c r="V527" s="1">
        <f t="shared" si="142"/>
        <v>3.1574382095289864E-2</v>
      </c>
      <c r="W527" s="1">
        <f t="shared" si="143"/>
        <v>4.0360367639778717E-2</v>
      </c>
      <c r="Y527" s="1" t="s">
        <v>183</v>
      </c>
      <c r="Z527" s="1">
        <f t="shared" si="144"/>
        <v>1.2862393885688184E-2</v>
      </c>
      <c r="AA527" s="1">
        <f t="shared" si="145"/>
        <v>6.2383701721901693E-3</v>
      </c>
      <c r="AB527" s="1">
        <f t="shared" si="146"/>
        <v>9.4723146285869593E-3</v>
      </c>
      <c r="AC527" s="1">
        <f t="shared" si="147"/>
        <v>8.0720735279557441E-3</v>
      </c>
      <c r="AK527" s="17" t="s">
        <v>1116</v>
      </c>
      <c r="AL527" s="17">
        <f t="shared" si="148"/>
        <v>2.0182320213554348E-2</v>
      </c>
      <c r="AM527" s="17">
        <f t="shared" si="149"/>
        <v>1.7129134483087973E-2</v>
      </c>
      <c r="AO527" s="17" t="s">
        <v>1828</v>
      </c>
      <c r="AP527" s="17">
        <f t="shared" si="150"/>
        <v>0.86584892001023117</v>
      </c>
      <c r="AR527" s="1" t="s">
        <v>183</v>
      </c>
      <c r="AS527" s="17">
        <f t="shared" si="151"/>
        <v>0.86584892001023117</v>
      </c>
      <c r="AT527" s="17">
        <f t="shared" si="152"/>
        <v>222</v>
      </c>
    </row>
    <row r="528" spans="6:46" x14ac:dyDescent="0.3">
      <c r="F528" s="1">
        <v>526</v>
      </c>
      <c r="G528" s="1" t="s">
        <v>428</v>
      </c>
      <c r="H528" s="1">
        <v>3</v>
      </c>
      <c r="I528" s="1">
        <v>29</v>
      </c>
      <c r="J528" s="1">
        <v>2</v>
      </c>
      <c r="K528" s="1">
        <v>3</v>
      </c>
      <c r="M528" s="1" t="s">
        <v>428</v>
      </c>
      <c r="N528" s="1">
        <f t="shared" si="136"/>
        <v>0.42857142857142855</v>
      </c>
      <c r="O528" s="1">
        <f t="shared" si="137"/>
        <v>0.27619047619047621</v>
      </c>
      <c r="P528" s="1">
        <f t="shared" si="138"/>
        <v>0.5</v>
      </c>
      <c r="Q528" s="1">
        <f t="shared" si="139"/>
        <v>1</v>
      </c>
      <c r="S528" s="1" t="s">
        <v>428</v>
      </c>
      <c r="T528" s="1">
        <f t="shared" si="140"/>
        <v>4.2874646285627281E-2</v>
      </c>
      <c r="U528" s="1">
        <f t="shared" si="141"/>
        <v>2.1036364534129642E-2</v>
      </c>
      <c r="V528" s="1">
        <f t="shared" si="142"/>
        <v>3.1574382095289864E-2</v>
      </c>
      <c r="W528" s="1">
        <f t="shared" si="143"/>
        <v>4.0360367639778717E-2</v>
      </c>
      <c r="Y528" s="1" t="s">
        <v>428</v>
      </c>
      <c r="Z528" s="1">
        <f t="shared" si="144"/>
        <v>1.2862393885688184E-2</v>
      </c>
      <c r="AA528" s="1">
        <f t="shared" si="145"/>
        <v>4.2072729068259283E-3</v>
      </c>
      <c r="AB528" s="1">
        <f t="shared" si="146"/>
        <v>9.4723146285869593E-3</v>
      </c>
      <c r="AC528" s="1">
        <f t="shared" si="147"/>
        <v>8.0720735279557441E-3</v>
      </c>
      <c r="AK528" s="17" t="s">
        <v>1117</v>
      </c>
      <c r="AL528" s="17">
        <f t="shared" si="148"/>
        <v>2.1165780723380732E-2</v>
      </c>
      <c r="AM528" s="17">
        <f t="shared" si="149"/>
        <v>1.6886578574032494E-2</v>
      </c>
      <c r="AO528" s="17" t="s">
        <v>1829</v>
      </c>
      <c r="AP528" s="17">
        <f t="shared" si="150"/>
        <v>0.81471108572196749</v>
      </c>
      <c r="AR528" s="1" t="s">
        <v>428</v>
      </c>
      <c r="AS528" s="17">
        <f t="shared" si="151"/>
        <v>0.81471108572196749</v>
      </c>
      <c r="AT528" s="17">
        <f t="shared" si="152"/>
        <v>300</v>
      </c>
    </row>
    <row r="529" spans="6:46" x14ac:dyDescent="0.3">
      <c r="F529" s="1">
        <v>527</v>
      </c>
      <c r="G529" s="1" t="s">
        <v>429</v>
      </c>
      <c r="H529" s="1">
        <v>3</v>
      </c>
      <c r="I529" s="1">
        <v>45</v>
      </c>
      <c r="J529" s="1">
        <v>2</v>
      </c>
      <c r="K529" s="1">
        <v>3</v>
      </c>
      <c r="M529" s="1" t="s">
        <v>429</v>
      </c>
      <c r="N529" s="1">
        <f t="shared" si="136"/>
        <v>0.42857142857142855</v>
      </c>
      <c r="O529" s="1">
        <f t="shared" si="137"/>
        <v>0.42857142857142855</v>
      </c>
      <c r="P529" s="1">
        <f t="shared" si="138"/>
        <v>0.5</v>
      </c>
      <c r="Q529" s="1">
        <f t="shared" si="139"/>
        <v>1</v>
      </c>
      <c r="S529" s="1" t="s">
        <v>429</v>
      </c>
      <c r="T529" s="1">
        <f t="shared" si="140"/>
        <v>4.2874646285627281E-2</v>
      </c>
      <c r="U529" s="1">
        <f t="shared" si="141"/>
        <v>3.26426346219253E-2</v>
      </c>
      <c r="V529" s="1">
        <f t="shared" si="142"/>
        <v>3.1574382095289864E-2</v>
      </c>
      <c r="W529" s="1">
        <f t="shared" si="143"/>
        <v>4.0360367639778717E-2</v>
      </c>
      <c r="Y529" s="1" t="s">
        <v>429</v>
      </c>
      <c r="Z529" s="1">
        <f t="shared" si="144"/>
        <v>1.2862393885688184E-2</v>
      </c>
      <c r="AA529" s="1">
        <f t="shared" si="145"/>
        <v>6.5285269243850605E-3</v>
      </c>
      <c r="AB529" s="1">
        <f t="shared" si="146"/>
        <v>9.4723146285869593E-3</v>
      </c>
      <c r="AC529" s="1">
        <f t="shared" si="147"/>
        <v>8.0720735279557441E-3</v>
      </c>
      <c r="AK529" s="17" t="s">
        <v>1118</v>
      </c>
      <c r="AL529" s="17">
        <f t="shared" si="148"/>
        <v>2.0054685283268418E-2</v>
      </c>
      <c r="AM529" s="17">
        <f t="shared" si="149"/>
        <v>1.7183115225077431E-2</v>
      </c>
      <c r="AO529" s="17" t="s">
        <v>1830</v>
      </c>
      <c r="AP529" s="17">
        <f t="shared" si="150"/>
        <v>0.87399612337600907</v>
      </c>
      <c r="AR529" s="1" t="s">
        <v>429</v>
      </c>
      <c r="AS529" s="17">
        <f t="shared" si="151"/>
        <v>0.87399612337600907</v>
      </c>
      <c r="AT529" s="17">
        <f t="shared" si="152"/>
        <v>210</v>
      </c>
    </row>
    <row r="530" spans="6:46" x14ac:dyDescent="0.3">
      <c r="F530" s="1">
        <v>528</v>
      </c>
      <c r="G530" s="1" t="s">
        <v>430</v>
      </c>
      <c r="H530" s="1">
        <v>4</v>
      </c>
      <c r="I530" s="1">
        <v>41</v>
      </c>
      <c r="J530" s="1">
        <v>1</v>
      </c>
      <c r="K530" s="1">
        <v>3</v>
      </c>
      <c r="M530" s="1" t="s">
        <v>430</v>
      </c>
      <c r="N530" s="1">
        <f t="shared" si="136"/>
        <v>0.5714285714285714</v>
      </c>
      <c r="O530" s="1">
        <f t="shared" si="137"/>
        <v>0.39047619047619048</v>
      </c>
      <c r="P530" s="1">
        <f t="shared" si="138"/>
        <v>1</v>
      </c>
      <c r="Q530" s="1">
        <f t="shared" si="139"/>
        <v>1</v>
      </c>
      <c r="S530" s="1" t="s">
        <v>430</v>
      </c>
      <c r="T530" s="1">
        <f t="shared" si="140"/>
        <v>5.7166195047503046E-2</v>
      </c>
      <c r="U530" s="1">
        <f t="shared" si="141"/>
        <v>2.9741067099976388E-2</v>
      </c>
      <c r="V530" s="1">
        <f t="shared" si="142"/>
        <v>6.3148764190579729E-2</v>
      </c>
      <c r="W530" s="1">
        <f t="shared" si="143"/>
        <v>4.0360367639778717E-2</v>
      </c>
      <c r="Y530" s="1" t="s">
        <v>430</v>
      </c>
      <c r="Z530" s="1">
        <f t="shared" si="144"/>
        <v>1.7149858514250913E-2</v>
      </c>
      <c r="AA530" s="1">
        <f t="shared" si="145"/>
        <v>5.9482134199952781E-3</v>
      </c>
      <c r="AB530" s="1">
        <f t="shared" si="146"/>
        <v>1.8944629257173919E-2</v>
      </c>
      <c r="AC530" s="1">
        <f t="shared" si="147"/>
        <v>8.0720735279557441E-3</v>
      </c>
      <c r="AK530" s="17" t="s">
        <v>1119</v>
      </c>
      <c r="AL530" s="17">
        <f t="shared" si="148"/>
        <v>2.1939645521700489E-2</v>
      </c>
      <c r="AM530" s="17">
        <f t="shared" si="149"/>
        <v>1.818447567262034E-2</v>
      </c>
      <c r="AO530" s="17" t="s">
        <v>1831</v>
      </c>
      <c r="AP530" s="17">
        <f t="shared" si="150"/>
        <v>0.84702538172254205</v>
      </c>
      <c r="AR530" s="1" t="s">
        <v>430</v>
      </c>
      <c r="AS530" s="17">
        <f t="shared" si="151"/>
        <v>0.84702538172254205</v>
      </c>
      <c r="AT530" s="17">
        <f t="shared" si="152"/>
        <v>266</v>
      </c>
    </row>
    <row r="531" spans="6:46" x14ac:dyDescent="0.3">
      <c r="F531" s="1">
        <v>529</v>
      </c>
      <c r="G531" s="1" t="s">
        <v>24</v>
      </c>
      <c r="H531" s="1">
        <v>2</v>
      </c>
      <c r="I531" s="1">
        <v>27</v>
      </c>
      <c r="J531" s="1">
        <v>2</v>
      </c>
      <c r="K531" s="1">
        <v>3</v>
      </c>
      <c r="M531" s="1" t="s">
        <v>24</v>
      </c>
      <c r="N531" s="1">
        <f t="shared" si="136"/>
        <v>0.2857142857142857</v>
      </c>
      <c r="O531" s="1">
        <f t="shared" si="137"/>
        <v>0.25714285714285712</v>
      </c>
      <c r="P531" s="1">
        <f t="shared" si="138"/>
        <v>0.5</v>
      </c>
      <c r="Q531" s="1">
        <f t="shared" si="139"/>
        <v>1</v>
      </c>
      <c r="S531" s="1" t="s">
        <v>24</v>
      </c>
      <c r="T531" s="1">
        <f t="shared" si="140"/>
        <v>2.8583097523751523E-2</v>
      </c>
      <c r="U531" s="1">
        <f t="shared" si="141"/>
        <v>1.9585580773155181E-2</v>
      </c>
      <c r="V531" s="1">
        <f t="shared" si="142"/>
        <v>3.1574382095289864E-2</v>
      </c>
      <c r="W531" s="1">
        <f t="shared" si="143"/>
        <v>4.0360367639778717E-2</v>
      </c>
      <c r="Y531" s="1" t="s">
        <v>24</v>
      </c>
      <c r="Z531" s="1">
        <f t="shared" si="144"/>
        <v>8.5749292571254566E-3</v>
      </c>
      <c r="AA531" s="1">
        <f t="shared" si="145"/>
        <v>3.9171161546310363E-3</v>
      </c>
      <c r="AB531" s="1">
        <f t="shared" si="146"/>
        <v>9.4723146285869593E-3</v>
      </c>
      <c r="AC531" s="1">
        <f t="shared" si="147"/>
        <v>8.0720735279557441E-3</v>
      </c>
      <c r="AK531" s="17" t="s">
        <v>1120</v>
      </c>
      <c r="AL531" s="17">
        <f t="shared" si="148"/>
        <v>2.4898075277937335E-2</v>
      </c>
      <c r="AM531" s="17">
        <f t="shared" si="149"/>
        <v>1.3883069746494286E-2</v>
      </c>
      <c r="AO531" s="17" t="s">
        <v>1832</v>
      </c>
      <c r="AP531" s="17">
        <f t="shared" si="150"/>
        <v>0.57147917271901372</v>
      </c>
      <c r="AR531" s="1" t="s">
        <v>24</v>
      </c>
      <c r="AS531" s="17">
        <f t="shared" si="151"/>
        <v>0.57147917271901372</v>
      </c>
      <c r="AT531" s="17">
        <f t="shared" si="152"/>
        <v>488</v>
      </c>
    </row>
    <row r="532" spans="6:46" x14ac:dyDescent="0.3">
      <c r="F532" s="1">
        <v>530</v>
      </c>
      <c r="G532" s="1" t="s">
        <v>431</v>
      </c>
      <c r="H532" s="1">
        <v>5</v>
      </c>
      <c r="I532" s="1">
        <v>50</v>
      </c>
      <c r="J532" s="1">
        <v>2</v>
      </c>
      <c r="K532" s="1">
        <v>3</v>
      </c>
      <c r="M532" s="1" t="s">
        <v>431</v>
      </c>
      <c r="N532" s="1">
        <f t="shared" si="136"/>
        <v>0.7142857142857143</v>
      </c>
      <c r="O532" s="1">
        <f t="shared" si="137"/>
        <v>0.47619047619047616</v>
      </c>
      <c r="P532" s="1">
        <f t="shared" si="138"/>
        <v>0.5</v>
      </c>
      <c r="Q532" s="1">
        <f t="shared" si="139"/>
        <v>1</v>
      </c>
      <c r="S532" s="1" t="s">
        <v>431</v>
      </c>
      <c r="T532" s="1">
        <f t="shared" si="140"/>
        <v>7.1457743809378804E-2</v>
      </c>
      <c r="U532" s="1">
        <f t="shared" si="141"/>
        <v>3.6269594024361446E-2</v>
      </c>
      <c r="V532" s="1">
        <f t="shared" si="142"/>
        <v>3.1574382095289864E-2</v>
      </c>
      <c r="W532" s="1">
        <f t="shared" si="143"/>
        <v>4.0360367639778717E-2</v>
      </c>
      <c r="Y532" s="1" t="s">
        <v>431</v>
      </c>
      <c r="Z532" s="1">
        <f t="shared" si="144"/>
        <v>2.1437323142813641E-2</v>
      </c>
      <c r="AA532" s="1">
        <f t="shared" si="145"/>
        <v>7.2539188048722893E-3</v>
      </c>
      <c r="AB532" s="1">
        <f t="shared" si="146"/>
        <v>9.4723146285869593E-3</v>
      </c>
      <c r="AC532" s="1">
        <f t="shared" si="147"/>
        <v>8.0720735279557441E-3</v>
      </c>
      <c r="AK532" s="17" t="s">
        <v>1121</v>
      </c>
      <c r="AL532" s="17">
        <f t="shared" si="148"/>
        <v>1.3019205765731567E-2</v>
      </c>
      <c r="AM532" s="17">
        <f t="shared" si="149"/>
        <v>2.4387379284702481E-2</v>
      </c>
      <c r="AO532" s="17" t="s">
        <v>1833</v>
      </c>
      <c r="AP532" s="17">
        <f t="shared" si="150"/>
        <v>1.8975722511985937</v>
      </c>
      <c r="AR532" s="1" t="s">
        <v>431</v>
      </c>
      <c r="AS532" s="17">
        <f t="shared" si="151"/>
        <v>1.8975722511985937</v>
      </c>
      <c r="AT532" s="17">
        <f t="shared" si="152"/>
        <v>16</v>
      </c>
    </row>
    <row r="533" spans="6:46" x14ac:dyDescent="0.3">
      <c r="F533" s="1">
        <v>531</v>
      </c>
      <c r="G533" s="1" t="s">
        <v>432</v>
      </c>
      <c r="H533" s="1">
        <v>1</v>
      </c>
      <c r="I533" s="1">
        <v>66</v>
      </c>
      <c r="J533" s="1">
        <v>1</v>
      </c>
      <c r="K533" s="1">
        <v>2</v>
      </c>
      <c r="M533" s="1" t="s">
        <v>432</v>
      </c>
      <c r="N533" s="1">
        <f t="shared" si="136"/>
        <v>0.14285714285714285</v>
      </c>
      <c r="O533" s="1">
        <f t="shared" si="137"/>
        <v>0.62857142857142856</v>
      </c>
      <c r="P533" s="1">
        <f t="shared" si="138"/>
        <v>1</v>
      </c>
      <c r="Q533" s="1">
        <f t="shared" si="139"/>
        <v>0.66666666666666663</v>
      </c>
      <c r="S533" s="1" t="s">
        <v>432</v>
      </c>
      <c r="T533" s="1">
        <f t="shared" si="140"/>
        <v>1.4291548761875762E-2</v>
      </c>
      <c r="U533" s="1">
        <f t="shared" si="141"/>
        <v>4.7875864112157107E-2</v>
      </c>
      <c r="V533" s="1">
        <f t="shared" si="142"/>
        <v>6.3148764190579729E-2</v>
      </c>
      <c r="W533" s="1">
        <f t="shared" si="143"/>
        <v>2.6906911759852478E-2</v>
      </c>
      <c r="Y533" s="1" t="s">
        <v>432</v>
      </c>
      <c r="Z533" s="1">
        <f t="shared" si="144"/>
        <v>4.2874646285627283E-3</v>
      </c>
      <c r="AA533" s="1">
        <f t="shared" si="145"/>
        <v>9.5751728224314214E-3</v>
      </c>
      <c r="AB533" s="1">
        <f t="shared" si="146"/>
        <v>1.8944629257173919E-2</v>
      </c>
      <c r="AC533" s="1">
        <f t="shared" si="147"/>
        <v>5.3813823519704958E-3</v>
      </c>
      <c r="AK533" s="17" t="s">
        <v>1122</v>
      </c>
      <c r="AL533" s="17">
        <f t="shared" si="148"/>
        <v>3.0507597018868158E-2</v>
      </c>
      <c r="AM533" s="17">
        <f t="shared" si="149"/>
        <v>8.1468145501377796E-3</v>
      </c>
      <c r="AO533" s="17" t="s">
        <v>1834</v>
      </c>
      <c r="AP533" s="17">
        <f t="shared" si="150"/>
        <v>0.27518897277384796</v>
      </c>
      <c r="AR533" s="1" t="s">
        <v>432</v>
      </c>
      <c r="AS533" s="17">
        <f t="shared" si="151"/>
        <v>0.27518897277384796</v>
      </c>
      <c r="AT533" s="17">
        <f t="shared" si="152"/>
        <v>653</v>
      </c>
    </row>
    <row r="534" spans="6:46" x14ac:dyDescent="0.3">
      <c r="F534" s="1">
        <v>532</v>
      </c>
      <c r="G534" s="1" t="s">
        <v>433</v>
      </c>
      <c r="H534" s="1">
        <v>1</v>
      </c>
      <c r="I534" s="1">
        <v>43</v>
      </c>
      <c r="J534" s="1">
        <v>3</v>
      </c>
      <c r="K534" s="1">
        <v>1</v>
      </c>
      <c r="M534" s="1" t="s">
        <v>433</v>
      </c>
      <c r="N534" s="1">
        <f t="shared" si="136"/>
        <v>0.14285714285714285</v>
      </c>
      <c r="O534" s="1">
        <f t="shared" si="137"/>
        <v>0.40952380952380951</v>
      </c>
      <c r="P534" s="1">
        <f t="shared" si="138"/>
        <v>0.33333333333333331</v>
      </c>
      <c r="Q534" s="1">
        <f t="shared" si="139"/>
        <v>0.33333333333333331</v>
      </c>
      <c r="S534" s="1" t="s">
        <v>433</v>
      </c>
      <c r="T534" s="1">
        <f t="shared" si="140"/>
        <v>1.4291548761875762E-2</v>
      </c>
      <c r="U534" s="1">
        <f t="shared" si="141"/>
        <v>3.1191850860950845E-2</v>
      </c>
      <c r="V534" s="1">
        <f t="shared" si="142"/>
        <v>2.1049588063526574E-2</v>
      </c>
      <c r="W534" s="1">
        <f t="shared" si="143"/>
        <v>1.3453455879926239E-2</v>
      </c>
      <c r="Y534" s="1" t="s">
        <v>433</v>
      </c>
      <c r="Z534" s="1">
        <f t="shared" si="144"/>
        <v>4.2874646285627283E-3</v>
      </c>
      <c r="AA534" s="1">
        <f t="shared" si="145"/>
        <v>6.2383701721901693E-3</v>
      </c>
      <c r="AB534" s="1">
        <f t="shared" si="146"/>
        <v>6.314876419057972E-3</v>
      </c>
      <c r="AC534" s="1">
        <f t="shared" si="147"/>
        <v>2.6906911759852479E-3</v>
      </c>
      <c r="AK534" s="17" t="s">
        <v>1123</v>
      </c>
      <c r="AL534" s="17">
        <f t="shared" si="148"/>
        <v>2.789286472060357E-2</v>
      </c>
      <c r="AM534" s="17">
        <f t="shared" si="149"/>
        <v>1.3681193695038348E-2</v>
      </c>
      <c r="AO534" s="17" t="s">
        <v>1835</v>
      </c>
      <c r="AP534" s="17">
        <f t="shared" si="150"/>
        <v>0.50417199957244563</v>
      </c>
      <c r="AR534" s="1" t="s">
        <v>433</v>
      </c>
      <c r="AS534" s="17">
        <f t="shared" si="151"/>
        <v>0.50417199957244563</v>
      </c>
      <c r="AT534" s="17">
        <f t="shared" si="152"/>
        <v>535</v>
      </c>
    </row>
    <row r="535" spans="6:46" x14ac:dyDescent="0.3">
      <c r="F535" s="1">
        <v>533</v>
      </c>
      <c r="G535" s="1" t="s">
        <v>434</v>
      </c>
      <c r="H535" s="1">
        <v>6</v>
      </c>
      <c r="I535" s="1">
        <v>56</v>
      </c>
      <c r="J535" s="1">
        <v>4</v>
      </c>
      <c r="K535" s="1">
        <v>3</v>
      </c>
      <c r="M535" s="1" t="s">
        <v>434</v>
      </c>
      <c r="N535" s="1">
        <f t="shared" si="136"/>
        <v>0.8571428571428571</v>
      </c>
      <c r="O535" s="1">
        <f t="shared" si="137"/>
        <v>0.53333333333333333</v>
      </c>
      <c r="P535" s="1">
        <f t="shared" si="138"/>
        <v>0.25</v>
      </c>
      <c r="Q535" s="1">
        <f t="shared" si="139"/>
        <v>1</v>
      </c>
      <c r="S535" s="1" t="s">
        <v>434</v>
      </c>
      <c r="T535" s="1">
        <f t="shared" si="140"/>
        <v>8.5749292571254562E-2</v>
      </c>
      <c r="U535" s="1">
        <f t="shared" si="141"/>
        <v>4.0621945307284822E-2</v>
      </c>
      <c r="V535" s="1">
        <f t="shared" si="142"/>
        <v>1.5787191047644932E-2</v>
      </c>
      <c r="W535" s="1">
        <f t="shared" si="143"/>
        <v>4.0360367639778717E-2</v>
      </c>
      <c r="Y535" s="1" t="s">
        <v>434</v>
      </c>
      <c r="Z535" s="1">
        <f t="shared" si="144"/>
        <v>2.5724787771376368E-2</v>
      </c>
      <c r="AA535" s="1">
        <f t="shared" si="145"/>
        <v>8.1243890614569655E-3</v>
      </c>
      <c r="AB535" s="1">
        <f t="shared" si="146"/>
        <v>4.7361573142934797E-3</v>
      </c>
      <c r="AC535" s="1">
        <f t="shared" si="147"/>
        <v>8.0720735279557441E-3</v>
      </c>
      <c r="AK535" s="17" t="s">
        <v>1124</v>
      </c>
      <c r="AL535" s="17">
        <f t="shared" si="148"/>
        <v>8.355549809987952E-3</v>
      </c>
      <c r="AM535" s="17">
        <f t="shared" si="149"/>
        <v>3.0280948445451216E-2</v>
      </c>
      <c r="AO535" s="17" t="s">
        <v>1836</v>
      </c>
      <c r="AP535" s="17">
        <f t="shared" si="150"/>
        <v>3.6543331214400228</v>
      </c>
      <c r="AR535" s="1" t="s">
        <v>434</v>
      </c>
      <c r="AS535" s="17">
        <f t="shared" si="151"/>
        <v>3.6543331214400228</v>
      </c>
      <c r="AT535" s="17">
        <f t="shared" si="152"/>
        <v>1</v>
      </c>
    </row>
    <row r="536" spans="6:46" x14ac:dyDescent="0.3">
      <c r="F536" s="1">
        <v>534</v>
      </c>
      <c r="G536" s="1" t="s">
        <v>435</v>
      </c>
      <c r="H536" s="1">
        <v>3</v>
      </c>
      <c r="I536" s="1">
        <v>57</v>
      </c>
      <c r="J536" s="1">
        <v>2</v>
      </c>
      <c r="K536" s="1">
        <v>3</v>
      </c>
      <c r="M536" s="1" t="s">
        <v>435</v>
      </c>
      <c r="N536" s="1">
        <f t="shared" si="136"/>
        <v>0.42857142857142855</v>
      </c>
      <c r="O536" s="1">
        <f t="shared" si="137"/>
        <v>0.54285714285714282</v>
      </c>
      <c r="P536" s="1">
        <f t="shared" si="138"/>
        <v>0.5</v>
      </c>
      <c r="Q536" s="1">
        <f t="shared" si="139"/>
        <v>1</v>
      </c>
      <c r="S536" s="1" t="s">
        <v>435</v>
      </c>
      <c r="T536" s="1">
        <f t="shared" si="140"/>
        <v>4.2874646285627281E-2</v>
      </c>
      <c r="U536" s="1">
        <f t="shared" si="141"/>
        <v>4.1347337187772046E-2</v>
      </c>
      <c r="V536" s="1">
        <f t="shared" si="142"/>
        <v>3.1574382095289864E-2</v>
      </c>
      <c r="W536" s="1">
        <f t="shared" si="143"/>
        <v>4.0360367639778717E-2</v>
      </c>
      <c r="Y536" s="1" t="s">
        <v>435</v>
      </c>
      <c r="Z536" s="1">
        <f t="shared" si="144"/>
        <v>1.2862393885688184E-2</v>
      </c>
      <c r="AA536" s="1">
        <f t="shared" si="145"/>
        <v>8.2694674375544102E-3</v>
      </c>
      <c r="AB536" s="1">
        <f t="shared" si="146"/>
        <v>9.4723146285869593E-3</v>
      </c>
      <c r="AC536" s="1">
        <f t="shared" si="147"/>
        <v>8.0720735279557441E-3</v>
      </c>
      <c r="AK536" s="17" t="s">
        <v>1125</v>
      </c>
      <c r="AL536" s="17">
        <f t="shared" si="148"/>
        <v>1.9362658313810985E-2</v>
      </c>
      <c r="AM536" s="17">
        <f t="shared" si="149"/>
        <v>1.7604223145177234E-2</v>
      </c>
      <c r="AO536" s="17" t="s">
        <v>1837</v>
      </c>
      <c r="AP536" s="17">
        <f t="shared" si="150"/>
        <v>0.92678843018251889</v>
      </c>
      <c r="AR536" s="1" t="s">
        <v>435</v>
      </c>
      <c r="AS536" s="17">
        <f t="shared" si="151"/>
        <v>0.92678843018251889</v>
      </c>
      <c r="AT536" s="17">
        <f t="shared" si="152"/>
        <v>167</v>
      </c>
    </row>
    <row r="537" spans="6:46" x14ac:dyDescent="0.3">
      <c r="F537" s="1">
        <v>535</v>
      </c>
      <c r="G537" s="1" t="s">
        <v>436</v>
      </c>
      <c r="H537" s="1">
        <v>3</v>
      </c>
      <c r="I537" s="1">
        <v>38</v>
      </c>
      <c r="J537" s="1">
        <v>2</v>
      </c>
      <c r="K537" s="1">
        <v>3</v>
      </c>
      <c r="M537" s="1" t="s">
        <v>436</v>
      </c>
      <c r="N537" s="1">
        <f t="shared" si="136"/>
        <v>0.42857142857142855</v>
      </c>
      <c r="O537" s="1">
        <f t="shared" si="137"/>
        <v>0.3619047619047619</v>
      </c>
      <c r="P537" s="1">
        <f t="shared" si="138"/>
        <v>0.5</v>
      </c>
      <c r="Q537" s="1">
        <f t="shared" si="139"/>
        <v>1</v>
      </c>
      <c r="S537" s="1" t="s">
        <v>436</v>
      </c>
      <c r="T537" s="1">
        <f t="shared" si="140"/>
        <v>4.2874646285627281E-2</v>
      </c>
      <c r="U537" s="1">
        <f t="shared" si="141"/>
        <v>2.75648914585147E-2</v>
      </c>
      <c r="V537" s="1">
        <f t="shared" si="142"/>
        <v>3.1574382095289864E-2</v>
      </c>
      <c r="W537" s="1">
        <f t="shared" si="143"/>
        <v>4.0360367639778717E-2</v>
      </c>
      <c r="Y537" s="1" t="s">
        <v>436</v>
      </c>
      <c r="Z537" s="1">
        <f t="shared" si="144"/>
        <v>1.2862393885688184E-2</v>
      </c>
      <c r="AA537" s="1">
        <f t="shared" si="145"/>
        <v>5.5129782917029404E-3</v>
      </c>
      <c r="AB537" s="1">
        <f t="shared" si="146"/>
        <v>9.4723146285869593E-3</v>
      </c>
      <c r="AC537" s="1">
        <f t="shared" si="147"/>
        <v>8.0720735279557441E-3</v>
      </c>
      <c r="AK537" s="17" t="s">
        <v>1126</v>
      </c>
      <c r="AL537" s="17">
        <f t="shared" si="148"/>
        <v>2.0515892337736274E-2</v>
      </c>
      <c r="AM537" s="17">
        <f t="shared" si="149"/>
        <v>1.701509380302281E-2</v>
      </c>
      <c r="AO537" s="17" t="s">
        <v>1838</v>
      </c>
      <c r="AP537" s="17">
        <f t="shared" si="150"/>
        <v>0.84637671858235508</v>
      </c>
      <c r="AR537" s="1" t="s">
        <v>436</v>
      </c>
      <c r="AS537" s="17">
        <f t="shared" si="151"/>
        <v>0.84637671858235508</v>
      </c>
      <c r="AT537" s="17">
        <f t="shared" si="152"/>
        <v>267</v>
      </c>
    </row>
    <row r="538" spans="6:46" x14ac:dyDescent="0.3">
      <c r="F538" s="1">
        <v>536</v>
      </c>
      <c r="G538" s="1" t="s">
        <v>437</v>
      </c>
      <c r="H538" s="1">
        <v>2</v>
      </c>
      <c r="I538" s="1">
        <v>39</v>
      </c>
      <c r="J538" s="1">
        <v>3</v>
      </c>
      <c r="K538" s="1">
        <v>3</v>
      </c>
      <c r="M538" s="1" t="s">
        <v>437</v>
      </c>
      <c r="N538" s="1">
        <f t="shared" si="136"/>
        <v>0.2857142857142857</v>
      </c>
      <c r="O538" s="1">
        <f t="shared" si="137"/>
        <v>0.37142857142857144</v>
      </c>
      <c r="P538" s="1">
        <f t="shared" si="138"/>
        <v>0.33333333333333331</v>
      </c>
      <c r="Q538" s="1">
        <f t="shared" si="139"/>
        <v>1</v>
      </c>
      <c r="S538" s="1" t="s">
        <v>437</v>
      </c>
      <c r="T538" s="1">
        <f t="shared" si="140"/>
        <v>2.8583097523751523E-2</v>
      </c>
      <c r="U538" s="1">
        <f t="shared" si="141"/>
        <v>2.829028333900193E-2</v>
      </c>
      <c r="V538" s="1">
        <f t="shared" si="142"/>
        <v>2.1049588063526574E-2</v>
      </c>
      <c r="W538" s="1">
        <f t="shared" si="143"/>
        <v>4.0360367639778717E-2</v>
      </c>
      <c r="Y538" s="1" t="s">
        <v>437</v>
      </c>
      <c r="Z538" s="1">
        <f t="shared" si="144"/>
        <v>8.5749292571254566E-3</v>
      </c>
      <c r="AA538" s="1">
        <f t="shared" si="145"/>
        <v>5.658056667800386E-3</v>
      </c>
      <c r="AB538" s="1">
        <f t="shared" si="146"/>
        <v>6.314876419057972E-3</v>
      </c>
      <c r="AC538" s="1">
        <f t="shared" si="147"/>
        <v>8.0720735279557441E-3</v>
      </c>
      <c r="AK538" s="17" t="s">
        <v>1127</v>
      </c>
      <c r="AL538" s="17">
        <f t="shared" si="148"/>
        <v>2.3614046336426945E-2</v>
      </c>
      <c r="AM538" s="17">
        <f t="shared" si="149"/>
        <v>1.6373214101412809E-2</v>
      </c>
      <c r="AO538" s="17" t="s">
        <v>1839</v>
      </c>
      <c r="AP538" s="17">
        <f t="shared" si="150"/>
        <v>0.70974079152314196</v>
      </c>
      <c r="AR538" s="1" t="s">
        <v>437</v>
      </c>
      <c r="AS538" s="17">
        <f t="shared" si="151"/>
        <v>0.70974079152314196</v>
      </c>
      <c r="AT538" s="17">
        <f t="shared" si="152"/>
        <v>337</v>
      </c>
    </row>
    <row r="539" spans="6:46" x14ac:dyDescent="0.3">
      <c r="F539" s="1">
        <v>537</v>
      </c>
      <c r="G539" s="1" t="s">
        <v>337</v>
      </c>
      <c r="H539" s="1">
        <v>2</v>
      </c>
      <c r="I539" s="1">
        <v>31</v>
      </c>
      <c r="J539" s="1">
        <v>2</v>
      </c>
      <c r="K539" s="1">
        <v>3</v>
      </c>
      <c r="M539" s="1" t="s">
        <v>337</v>
      </c>
      <c r="N539" s="1">
        <f t="shared" si="136"/>
        <v>0.2857142857142857</v>
      </c>
      <c r="O539" s="1">
        <f t="shared" si="137"/>
        <v>0.29523809523809524</v>
      </c>
      <c r="P539" s="1">
        <f t="shared" si="138"/>
        <v>0.5</v>
      </c>
      <c r="Q539" s="1">
        <f t="shared" si="139"/>
        <v>1</v>
      </c>
      <c r="S539" s="1" t="s">
        <v>337</v>
      </c>
      <c r="T539" s="1">
        <f t="shared" si="140"/>
        <v>2.8583097523751523E-2</v>
      </c>
      <c r="U539" s="1">
        <f t="shared" si="141"/>
        <v>2.2487148295104099E-2</v>
      </c>
      <c r="V539" s="1">
        <f t="shared" si="142"/>
        <v>3.1574382095289864E-2</v>
      </c>
      <c r="W539" s="1">
        <f t="shared" si="143"/>
        <v>4.0360367639778717E-2</v>
      </c>
      <c r="Y539" s="1" t="s">
        <v>337</v>
      </c>
      <c r="Z539" s="1">
        <f t="shared" si="144"/>
        <v>8.5749292571254566E-3</v>
      </c>
      <c r="AA539" s="1">
        <f t="shared" si="145"/>
        <v>4.4974296590208204E-3</v>
      </c>
      <c r="AB539" s="1">
        <f t="shared" si="146"/>
        <v>9.4723146285869593E-3</v>
      </c>
      <c r="AC539" s="1">
        <f t="shared" si="147"/>
        <v>8.0720735279557441E-3</v>
      </c>
      <c r="AK539" s="17" t="s">
        <v>1128</v>
      </c>
      <c r="AL539" s="17">
        <f t="shared" si="148"/>
        <v>2.4639746945484292E-2</v>
      </c>
      <c r="AM539" s="17">
        <f t="shared" si="149"/>
        <v>1.3925455064659288E-2</v>
      </c>
      <c r="AO539" s="17" t="s">
        <v>1840</v>
      </c>
      <c r="AP539" s="17">
        <f t="shared" si="150"/>
        <v>0.57908771486665755</v>
      </c>
      <c r="AR539" s="1" t="s">
        <v>337</v>
      </c>
      <c r="AS539" s="17">
        <f t="shared" si="151"/>
        <v>0.57908771486665755</v>
      </c>
      <c r="AT539" s="17">
        <f t="shared" si="152"/>
        <v>470</v>
      </c>
    </row>
    <row r="540" spans="6:46" x14ac:dyDescent="0.3">
      <c r="F540" s="1">
        <v>538</v>
      </c>
      <c r="G540" s="1" t="s">
        <v>438</v>
      </c>
      <c r="H540" s="1">
        <v>3</v>
      </c>
      <c r="I540" s="1">
        <v>41</v>
      </c>
      <c r="J540" s="1">
        <v>2</v>
      </c>
      <c r="K540" s="1">
        <v>3</v>
      </c>
      <c r="M540" s="1" t="s">
        <v>438</v>
      </c>
      <c r="N540" s="1">
        <f t="shared" si="136"/>
        <v>0.42857142857142855</v>
      </c>
      <c r="O540" s="1">
        <f t="shared" si="137"/>
        <v>0.39047619047619048</v>
      </c>
      <c r="P540" s="1">
        <f t="shared" si="138"/>
        <v>0.5</v>
      </c>
      <c r="Q540" s="1">
        <f t="shared" si="139"/>
        <v>1</v>
      </c>
      <c r="S540" s="1" t="s">
        <v>438</v>
      </c>
      <c r="T540" s="1">
        <f t="shared" si="140"/>
        <v>4.2874646285627281E-2</v>
      </c>
      <c r="U540" s="1">
        <f t="shared" si="141"/>
        <v>2.9741067099976388E-2</v>
      </c>
      <c r="V540" s="1">
        <f t="shared" si="142"/>
        <v>3.1574382095289864E-2</v>
      </c>
      <c r="W540" s="1">
        <f t="shared" si="143"/>
        <v>4.0360367639778717E-2</v>
      </c>
      <c r="Y540" s="1" t="s">
        <v>438</v>
      </c>
      <c r="Z540" s="1">
        <f t="shared" si="144"/>
        <v>1.2862393885688184E-2</v>
      </c>
      <c r="AA540" s="1">
        <f t="shared" si="145"/>
        <v>5.9482134199952781E-3</v>
      </c>
      <c r="AB540" s="1">
        <f t="shared" si="146"/>
        <v>9.4723146285869593E-3</v>
      </c>
      <c r="AC540" s="1">
        <f t="shared" si="147"/>
        <v>8.0720735279557441E-3</v>
      </c>
      <c r="AK540" s="17" t="s">
        <v>1129</v>
      </c>
      <c r="AL540" s="17">
        <f t="shared" si="148"/>
        <v>2.0313298069876161E-2</v>
      </c>
      <c r="AM540" s="17">
        <f t="shared" si="149"/>
        <v>1.7079913036161156E-2</v>
      </c>
      <c r="AO540" s="17" t="s">
        <v>1841</v>
      </c>
      <c r="AP540" s="17">
        <f t="shared" si="150"/>
        <v>0.85790413455881043</v>
      </c>
      <c r="AR540" s="1" t="s">
        <v>438</v>
      </c>
      <c r="AS540" s="17">
        <f t="shared" si="151"/>
        <v>0.85790413455881043</v>
      </c>
      <c r="AT540" s="17">
        <f t="shared" si="152"/>
        <v>239</v>
      </c>
    </row>
    <row r="541" spans="6:46" x14ac:dyDescent="0.3">
      <c r="F541" s="1">
        <v>539</v>
      </c>
      <c r="G541" s="1" t="s">
        <v>439</v>
      </c>
      <c r="H541" s="1">
        <v>2</v>
      </c>
      <c r="I541" s="1">
        <v>66</v>
      </c>
      <c r="J541" s="1">
        <v>2</v>
      </c>
      <c r="K541" s="1">
        <v>3</v>
      </c>
      <c r="M541" s="1" t="s">
        <v>439</v>
      </c>
      <c r="N541" s="1">
        <f t="shared" si="136"/>
        <v>0.2857142857142857</v>
      </c>
      <c r="O541" s="1">
        <f t="shared" si="137"/>
        <v>0.62857142857142856</v>
      </c>
      <c r="P541" s="1">
        <f t="shared" si="138"/>
        <v>0.5</v>
      </c>
      <c r="Q541" s="1">
        <f t="shared" si="139"/>
        <v>1</v>
      </c>
      <c r="S541" s="1" t="s">
        <v>439</v>
      </c>
      <c r="T541" s="1">
        <f t="shared" si="140"/>
        <v>2.8583097523751523E-2</v>
      </c>
      <c r="U541" s="1">
        <f t="shared" si="141"/>
        <v>4.7875864112157107E-2</v>
      </c>
      <c r="V541" s="1">
        <f t="shared" si="142"/>
        <v>3.1574382095289864E-2</v>
      </c>
      <c r="W541" s="1">
        <f t="shared" si="143"/>
        <v>4.0360367639778717E-2</v>
      </c>
      <c r="Y541" s="1" t="s">
        <v>439</v>
      </c>
      <c r="Z541" s="1">
        <f t="shared" si="144"/>
        <v>8.5749292571254566E-3</v>
      </c>
      <c r="AA541" s="1">
        <f t="shared" si="145"/>
        <v>9.5751728224314214E-3</v>
      </c>
      <c r="AB541" s="1">
        <f t="shared" si="146"/>
        <v>9.4723146285869593E-3</v>
      </c>
      <c r="AC541" s="1">
        <f t="shared" si="147"/>
        <v>8.0720735279557441E-3</v>
      </c>
      <c r="AK541" s="17" t="s">
        <v>1130</v>
      </c>
      <c r="AL541" s="17">
        <f t="shared" si="148"/>
        <v>2.2888279463028956E-2</v>
      </c>
      <c r="AM541" s="17">
        <f t="shared" si="149"/>
        <v>1.5263087747057716E-2</v>
      </c>
      <c r="AO541" s="17" t="s">
        <v>1842</v>
      </c>
      <c r="AP541" s="17">
        <f t="shared" si="150"/>
        <v>0.68211477363773021</v>
      </c>
      <c r="AR541" s="1" t="s">
        <v>439</v>
      </c>
      <c r="AS541" s="17">
        <f t="shared" si="151"/>
        <v>0.68211477363773021</v>
      </c>
      <c r="AT541" s="17">
        <f t="shared" si="152"/>
        <v>358</v>
      </c>
    </row>
    <row r="542" spans="6:46" x14ac:dyDescent="0.3">
      <c r="F542" s="1">
        <v>540</v>
      </c>
      <c r="G542" s="1" t="s">
        <v>440</v>
      </c>
      <c r="H542" s="1">
        <v>2</v>
      </c>
      <c r="I542" s="1">
        <v>63</v>
      </c>
      <c r="J542" s="1">
        <v>2</v>
      </c>
      <c r="K542" s="1">
        <v>3</v>
      </c>
      <c r="M542" s="1" t="s">
        <v>440</v>
      </c>
      <c r="N542" s="1">
        <f t="shared" si="136"/>
        <v>0.2857142857142857</v>
      </c>
      <c r="O542" s="1">
        <f t="shared" si="137"/>
        <v>0.6</v>
      </c>
      <c r="P542" s="1">
        <f t="shared" si="138"/>
        <v>0.5</v>
      </c>
      <c r="Q542" s="1">
        <f t="shared" si="139"/>
        <v>1</v>
      </c>
      <c r="S542" s="1" t="s">
        <v>440</v>
      </c>
      <c r="T542" s="1">
        <f t="shared" si="140"/>
        <v>2.8583097523751523E-2</v>
      </c>
      <c r="U542" s="1">
        <f t="shared" si="141"/>
        <v>4.5699688470695422E-2</v>
      </c>
      <c r="V542" s="1">
        <f t="shared" si="142"/>
        <v>3.1574382095289864E-2</v>
      </c>
      <c r="W542" s="1">
        <f t="shared" si="143"/>
        <v>4.0360367639778717E-2</v>
      </c>
      <c r="Y542" s="1" t="s">
        <v>440</v>
      </c>
      <c r="Z542" s="1">
        <f t="shared" si="144"/>
        <v>8.5749292571254566E-3</v>
      </c>
      <c r="AA542" s="1">
        <f t="shared" si="145"/>
        <v>9.1399376941390855E-3</v>
      </c>
      <c r="AB542" s="1">
        <f t="shared" si="146"/>
        <v>9.4723146285869593E-3</v>
      </c>
      <c r="AC542" s="1">
        <f t="shared" si="147"/>
        <v>8.0720735279557441E-3</v>
      </c>
      <c r="AK542" s="17" t="s">
        <v>1131</v>
      </c>
      <c r="AL542" s="17">
        <f t="shared" si="148"/>
        <v>2.2999737747070152E-2</v>
      </c>
      <c r="AM542" s="17">
        <f t="shared" si="149"/>
        <v>1.5086241251403879E-2</v>
      </c>
      <c r="AO542" s="17" t="s">
        <v>1843</v>
      </c>
      <c r="AP542" s="17">
        <f t="shared" si="150"/>
        <v>0.67101725304416482</v>
      </c>
      <c r="AR542" s="1" t="s">
        <v>440</v>
      </c>
      <c r="AS542" s="17">
        <f t="shared" si="151"/>
        <v>0.67101725304416482</v>
      </c>
      <c r="AT542" s="17">
        <f t="shared" si="152"/>
        <v>367</v>
      </c>
    </row>
    <row r="543" spans="6:46" x14ac:dyDescent="0.3">
      <c r="F543" s="1">
        <v>541</v>
      </c>
      <c r="G543" s="1" t="s">
        <v>441</v>
      </c>
      <c r="H543" s="1">
        <v>1</v>
      </c>
      <c r="I543" s="1">
        <v>65</v>
      </c>
      <c r="J543" s="1">
        <v>2</v>
      </c>
      <c r="K543" s="1">
        <v>3</v>
      </c>
      <c r="M543" s="1" t="s">
        <v>441</v>
      </c>
      <c r="N543" s="1">
        <f t="shared" si="136"/>
        <v>0.14285714285714285</v>
      </c>
      <c r="O543" s="1">
        <f t="shared" si="137"/>
        <v>0.61904761904761907</v>
      </c>
      <c r="P543" s="1">
        <f t="shared" si="138"/>
        <v>0.5</v>
      </c>
      <c r="Q543" s="1">
        <f t="shared" si="139"/>
        <v>1</v>
      </c>
      <c r="S543" s="1" t="s">
        <v>441</v>
      </c>
      <c r="T543" s="1">
        <f t="shared" si="140"/>
        <v>1.4291548761875762E-2</v>
      </c>
      <c r="U543" s="1">
        <f t="shared" si="141"/>
        <v>4.7150472231669883E-2</v>
      </c>
      <c r="V543" s="1">
        <f t="shared" si="142"/>
        <v>3.1574382095289864E-2</v>
      </c>
      <c r="W543" s="1">
        <f t="shared" si="143"/>
        <v>4.0360367639778717E-2</v>
      </c>
      <c r="Y543" s="1" t="s">
        <v>441</v>
      </c>
      <c r="Z543" s="1">
        <f t="shared" si="144"/>
        <v>4.2874646285627283E-3</v>
      </c>
      <c r="AA543" s="1">
        <f t="shared" si="145"/>
        <v>9.4300944463339767E-3</v>
      </c>
      <c r="AB543" s="1">
        <f t="shared" si="146"/>
        <v>9.4723146285869593E-3</v>
      </c>
      <c r="AC543" s="1">
        <f t="shared" si="147"/>
        <v>8.0720735279557441E-3</v>
      </c>
      <c r="AK543" s="17" t="s">
        <v>1132</v>
      </c>
      <c r="AL543" s="17">
        <f t="shared" si="148"/>
        <v>2.6976693463290301E-2</v>
      </c>
      <c r="AM543" s="17">
        <f t="shared" si="149"/>
        <v>1.326588239762024E-2</v>
      </c>
      <c r="AO543" s="17" t="s">
        <v>1844</v>
      </c>
      <c r="AP543" s="17">
        <f t="shared" si="150"/>
        <v>0.50501934416536287</v>
      </c>
      <c r="AR543" s="1" t="s">
        <v>441</v>
      </c>
      <c r="AS543" s="17">
        <f t="shared" si="151"/>
        <v>0.50501934416536287</v>
      </c>
      <c r="AT543" s="17">
        <f t="shared" si="152"/>
        <v>529</v>
      </c>
    </row>
    <row r="544" spans="6:46" x14ac:dyDescent="0.3">
      <c r="F544" s="1">
        <v>542</v>
      </c>
      <c r="G544" s="1" t="s">
        <v>442</v>
      </c>
      <c r="H544" s="1">
        <v>4</v>
      </c>
      <c r="I544" s="1">
        <v>45</v>
      </c>
      <c r="J544" s="1">
        <v>4</v>
      </c>
      <c r="K544" s="1">
        <v>3</v>
      </c>
      <c r="M544" s="1" t="s">
        <v>442</v>
      </c>
      <c r="N544" s="1">
        <f t="shared" si="136"/>
        <v>0.5714285714285714</v>
      </c>
      <c r="O544" s="1">
        <f t="shared" si="137"/>
        <v>0.42857142857142855</v>
      </c>
      <c r="P544" s="1">
        <f t="shared" si="138"/>
        <v>0.25</v>
      </c>
      <c r="Q544" s="1">
        <f t="shared" si="139"/>
        <v>1</v>
      </c>
      <c r="S544" s="1" t="s">
        <v>442</v>
      </c>
      <c r="T544" s="1">
        <f t="shared" si="140"/>
        <v>5.7166195047503046E-2</v>
      </c>
      <c r="U544" s="1">
        <f t="shared" si="141"/>
        <v>3.26426346219253E-2</v>
      </c>
      <c r="V544" s="1">
        <f t="shared" si="142"/>
        <v>1.5787191047644932E-2</v>
      </c>
      <c r="W544" s="1">
        <f t="shared" si="143"/>
        <v>4.0360367639778717E-2</v>
      </c>
      <c r="Y544" s="1" t="s">
        <v>442</v>
      </c>
      <c r="Z544" s="1">
        <f t="shared" si="144"/>
        <v>1.7149858514250913E-2</v>
      </c>
      <c r="AA544" s="1">
        <f t="shared" si="145"/>
        <v>6.5285269243850605E-3</v>
      </c>
      <c r="AB544" s="1">
        <f t="shared" si="146"/>
        <v>4.7361573142934797E-3</v>
      </c>
      <c r="AC544" s="1">
        <f t="shared" si="147"/>
        <v>8.0720735279557441E-3</v>
      </c>
      <c r="AK544" s="17" t="s">
        <v>1133</v>
      </c>
      <c r="AL544" s="17">
        <f t="shared" si="148"/>
        <v>1.5559893016170685E-2</v>
      </c>
      <c r="AM544" s="17">
        <f t="shared" si="149"/>
        <v>2.3153657377511697E-2</v>
      </c>
      <c r="AO544" s="17" t="s">
        <v>1845</v>
      </c>
      <c r="AP544" s="17">
        <f t="shared" si="150"/>
        <v>1.5111881415124064</v>
      </c>
      <c r="AR544" s="1" t="s">
        <v>442</v>
      </c>
      <c r="AS544" s="17">
        <f t="shared" si="151"/>
        <v>1.5111881415124064</v>
      </c>
      <c r="AT544" s="17">
        <f t="shared" si="152"/>
        <v>42</v>
      </c>
    </row>
    <row r="545" spans="6:46" x14ac:dyDescent="0.3">
      <c r="F545" s="1">
        <v>543</v>
      </c>
      <c r="G545" s="1" t="s">
        <v>40</v>
      </c>
      <c r="H545" s="1">
        <v>2</v>
      </c>
      <c r="I545" s="1">
        <v>39</v>
      </c>
      <c r="J545" s="1">
        <v>2</v>
      </c>
      <c r="K545" s="1">
        <v>3</v>
      </c>
      <c r="M545" s="1" t="s">
        <v>40</v>
      </c>
      <c r="N545" s="1">
        <f t="shared" si="136"/>
        <v>0.2857142857142857</v>
      </c>
      <c r="O545" s="1">
        <f t="shared" si="137"/>
        <v>0.37142857142857144</v>
      </c>
      <c r="P545" s="1">
        <f t="shared" si="138"/>
        <v>0.5</v>
      </c>
      <c r="Q545" s="1">
        <f t="shared" si="139"/>
        <v>1</v>
      </c>
      <c r="S545" s="1" t="s">
        <v>40</v>
      </c>
      <c r="T545" s="1">
        <f t="shared" si="140"/>
        <v>2.8583097523751523E-2</v>
      </c>
      <c r="U545" s="1">
        <f t="shared" si="141"/>
        <v>2.829028333900193E-2</v>
      </c>
      <c r="V545" s="1">
        <f t="shared" si="142"/>
        <v>3.1574382095289864E-2</v>
      </c>
      <c r="W545" s="1">
        <f t="shared" si="143"/>
        <v>4.0360367639778717E-2</v>
      </c>
      <c r="Y545" s="1" t="s">
        <v>40</v>
      </c>
      <c r="Z545" s="1">
        <f t="shared" si="144"/>
        <v>8.5749292571254566E-3</v>
      </c>
      <c r="AA545" s="1">
        <f t="shared" si="145"/>
        <v>5.658056667800386E-3</v>
      </c>
      <c r="AB545" s="1">
        <f t="shared" si="146"/>
        <v>9.4723146285869593E-3</v>
      </c>
      <c r="AC545" s="1">
        <f t="shared" si="147"/>
        <v>8.0720735279557441E-3</v>
      </c>
      <c r="AK545" s="17" t="s">
        <v>1134</v>
      </c>
      <c r="AL545" s="17">
        <f t="shared" si="148"/>
        <v>2.4156648486516132E-2</v>
      </c>
      <c r="AM545" s="17">
        <f t="shared" si="149"/>
        <v>1.4081769337755392E-2</v>
      </c>
      <c r="AO545" s="17" t="s">
        <v>1846</v>
      </c>
      <c r="AP545" s="17">
        <f t="shared" si="150"/>
        <v>0.59701732621418291</v>
      </c>
      <c r="AR545" s="1" t="s">
        <v>40</v>
      </c>
      <c r="AS545" s="17">
        <f t="shared" si="151"/>
        <v>0.59701732621418291</v>
      </c>
      <c r="AT545" s="17">
        <f t="shared" si="152"/>
        <v>437</v>
      </c>
    </row>
    <row r="546" spans="6:46" x14ac:dyDescent="0.3">
      <c r="F546" s="1">
        <v>544</v>
      </c>
      <c r="G546" s="1" t="s">
        <v>443</v>
      </c>
      <c r="H546" s="1">
        <v>1</v>
      </c>
      <c r="I546" s="1">
        <v>47</v>
      </c>
      <c r="J546" s="1">
        <v>1</v>
      </c>
      <c r="K546" s="1">
        <v>2</v>
      </c>
      <c r="M546" s="1" t="s">
        <v>443</v>
      </c>
      <c r="N546" s="1">
        <f t="shared" si="136"/>
        <v>0.14285714285714285</v>
      </c>
      <c r="O546" s="1">
        <f t="shared" si="137"/>
        <v>0.44761904761904764</v>
      </c>
      <c r="P546" s="1">
        <f t="shared" si="138"/>
        <v>1</v>
      </c>
      <c r="Q546" s="1">
        <f t="shared" si="139"/>
        <v>0.66666666666666663</v>
      </c>
      <c r="S546" s="1" t="s">
        <v>443</v>
      </c>
      <c r="T546" s="1">
        <f t="shared" si="140"/>
        <v>1.4291548761875762E-2</v>
      </c>
      <c r="U546" s="1">
        <f t="shared" si="141"/>
        <v>3.4093418382899761E-2</v>
      </c>
      <c r="V546" s="1">
        <f t="shared" si="142"/>
        <v>6.3148764190579729E-2</v>
      </c>
      <c r="W546" s="1">
        <f t="shared" si="143"/>
        <v>2.6906911759852478E-2</v>
      </c>
      <c r="Y546" s="1" t="s">
        <v>443</v>
      </c>
      <c r="Z546" s="1">
        <f t="shared" si="144"/>
        <v>4.2874646285627283E-3</v>
      </c>
      <c r="AA546" s="1">
        <f t="shared" si="145"/>
        <v>6.8186836765799525E-3</v>
      </c>
      <c r="AB546" s="1">
        <f t="shared" si="146"/>
        <v>1.8944629257173919E-2</v>
      </c>
      <c r="AC546" s="1">
        <f t="shared" si="147"/>
        <v>5.3813823519704958E-3</v>
      </c>
      <c r="AK546" s="17" t="s">
        <v>1135</v>
      </c>
      <c r="AL546" s="17">
        <f t="shared" si="148"/>
        <v>3.1136866442525314E-2</v>
      </c>
      <c r="AM546" s="17">
        <f t="shared" si="149"/>
        <v>6.2271186316482973E-3</v>
      </c>
      <c r="AO546" s="17" t="s">
        <v>1847</v>
      </c>
      <c r="AP546" s="17">
        <f t="shared" si="150"/>
        <v>0.20621894000335775</v>
      </c>
      <c r="AR546" s="1" t="s">
        <v>443</v>
      </c>
      <c r="AS546" s="17">
        <f t="shared" si="151"/>
        <v>0.20621894000335775</v>
      </c>
      <c r="AT546" s="17">
        <f t="shared" si="152"/>
        <v>681</v>
      </c>
    </row>
    <row r="547" spans="6:46" x14ac:dyDescent="0.3">
      <c r="F547" s="1">
        <v>545</v>
      </c>
      <c r="G547" s="1" t="s">
        <v>444</v>
      </c>
      <c r="H547" s="1">
        <v>4</v>
      </c>
      <c r="I547" s="1">
        <v>40</v>
      </c>
      <c r="J547" s="1">
        <v>2</v>
      </c>
      <c r="K547" s="1">
        <v>3</v>
      </c>
      <c r="M547" s="1" t="s">
        <v>444</v>
      </c>
      <c r="N547" s="1">
        <f t="shared" si="136"/>
        <v>0.5714285714285714</v>
      </c>
      <c r="O547" s="1">
        <f t="shared" si="137"/>
        <v>0.38095238095238093</v>
      </c>
      <c r="P547" s="1">
        <f t="shared" si="138"/>
        <v>0.5</v>
      </c>
      <c r="Q547" s="1">
        <f t="shared" si="139"/>
        <v>1</v>
      </c>
      <c r="S547" s="1" t="s">
        <v>444</v>
      </c>
      <c r="T547" s="1">
        <f t="shared" si="140"/>
        <v>5.7166195047503046E-2</v>
      </c>
      <c r="U547" s="1">
        <f t="shared" si="141"/>
        <v>2.9015675219489157E-2</v>
      </c>
      <c r="V547" s="1">
        <f t="shared" si="142"/>
        <v>3.1574382095289864E-2</v>
      </c>
      <c r="W547" s="1">
        <f t="shared" si="143"/>
        <v>4.0360367639778717E-2</v>
      </c>
      <c r="Y547" s="1" t="s">
        <v>444</v>
      </c>
      <c r="Z547" s="1">
        <f t="shared" si="144"/>
        <v>1.7149858514250913E-2</v>
      </c>
      <c r="AA547" s="1">
        <f t="shared" si="145"/>
        <v>5.8031350438978316E-3</v>
      </c>
      <c r="AB547" s="1">
        <f t="shared" si="146"/>
        <v>9.4723146285869593E-3</v>
      </c>
      <c r="AC547" s="1">
        <f t="shared" si="147"/>
        <v>8.0720735279557441E-3</v>
      </c>
      <c r="AK547" s="17" t="s">
        <v>1136</v>
      </c>
      <c r="AL547" s="17">
        <f t="shared" si="148"/>
        <v>1.693129545337943E-2</v>
      </c>
      <c r="AM547" s="17">
        <f t="shared" si="149"/>
        <v>2.048465605540532E-2</v>
      </c>
      <c r="AO547" s="17" t="s">
        <v>1848</v>
      </c>
      <c r="AP547" s="17">
        <f t="shared" si="150"/>
        <v>1.2303540432981075</v>
      </c>
      <c r="AR547" s="1" t="s">
        <v>444</v>
      </c>
      <c r="AS547" s="17">
        <f t="shared" si="151"/>
        <v>1.2303540432981075</v>
      </c>
      <c r="AT547" s="17">
        <f t="shared" si="152"/>
        <v>80</v>
      </c>
    </row>
    <row r="548" spans="6:46" x14ac:dyDescent="0.3">
      <c r="F548" s="1">
        <v>546</v>
      </c>
      <c r="G548" s="1" t="s">
        <v>44</v>
      </c>
      <c r="H548" s="1">
        <v>2</v>
      </c>
      <c r="I548" s="1">
        <v>75</v>
      </c>
      <c r="J548" s="1">
        <v>2</v>
      </c>
      <c r="K548" s="1">
        <v>3</v>
      </c>
      <c r="M548" s="1" t="s">
        <v>44</v>
      </c>
      <c r="N548" s="1">
        <f t="shared" si="136"/>
        <v>0.2857142857142857</v>
      </c>
      <c r="O548" s="1">
        <f t="shared" si="137"/>
        <v>0.7142857142857143</v>
      </c>
      <c r="P548" s="1">
        <f t="shared" si="138"/>
        <v>0.5</v>
      </c>
      <c r="Q548" s="1">
        <f t="shared" si="139"/>
        <v>1</v>
      </c>
      <c r="S548" s="1" t="s">
        <v>44</v>
      </c>
      <c r="T548" s="1">
        <f t="shared" si="140"/>
        <v>2.8583097523751523E-2</v>
      </c>
      <c r="U548" s="1">
        <f t="shared" si="141"/>
        <v>5.4404391036542175E-2</v>
      </c>
      <c r="V548" s="1">
        <f t="shared" si="142"/>
        <v>3.1574382095289864E-2</v>
      </c>
      <c r="W548" s="1">
        <f t="shared" si="143"/>
        <v>4.0360367639778717E-2</v>
      </c>
      <c r="Y548" s="1" t="s">
        <v>44</v>
      </c>
      <c r="Z548" s="1">
        <f t="shared" si="144"/>
        <v>8.5749292571254566E-3</v>
      </c>
      <c r="AA548" s="1">
        <f t="shared" si="145"/>
        <v>1.0880878207308436E-2</v>
      </c>
      <c r="AB548" s="1">
        <f t="shared" si="146"/>
        <v>9.4723146285869593E-3</v>
      </c>
      <c r="AC548" s="1">
        <f t="shared" si="147"/>
        <v>8.0720735279557441E-3</v>
      </c>
      <c r="AK548" s="17" t="s">
        <v>1137</v>
      </c>
      <c r="AL548" s="17">
        <f t="shared" si="148"/>
        <v>2.2600944520343336E-2</v>
      </c>
      <c r="AM548" s="17">
        <f t="shared" si="149"/>
        <v>1.5853596450447739E-2</v>
      </c>
      <c r="AO548" s="17" t="s">
        <v>1849</v>
      </c>
      <c r="AP548" s="17">
        <f t="shared" si="150"/>
        <v>0.71731084909658194</v>
      </c>
      <c r="AR548" s="1" t="s">
        <v>44</v>
      </c>
      <c r="AS548" s="17">
        <f t="shared" si="151"/>
        <v>0.71731084909658194</v>
      </c>
      <c r="AT548" s="17">
        <f t="shared" si="152"/>
        <v>332</v>
      </c>
    </row>
    <row r="549" spans="6:46" x14ac:dyDescent="0.3">
      <c r="F549" s="1">
        <v>547</v>
      </c>
      <c r="G549" s="1" t="s">
        <v>445</v>
      </c>
      <c r="H549" s="1">
        <v>1</v>
      </c>
      <c r="I549" s="1">
        <v>57</v>
      </c>
      <c r="J549" s="1">
        <v>2</v>
      </c>
      <c r="K549" s="1">
        <v>3</v>
      </c>
      <c r="M549" s="1" t="s">
        <v>445</v>
      </c>
      <c r="N549" s="1">
        <f t="shared" si="136"/>
        <v>0.14285714285714285</v>
      </c>
      <c r="O549" s="1">
        <f t="shared" si="137"/>
        <v>0.54285714285714282</v>
      </c>
      <c r="P549" s="1">
        <f t="shared" si="138"/>
        <v>0.5</v>
      </c>
      <c r="Q549" s="1">
        <f t="shared" si="139"/>
        <v>1</v>
      </c>
      <c r="S549" s="1" t="s">
        <v>445</v>
      </c>
      <c r="T549" s="1">
        <f t="shared" si="140"/>
        <v>1.4291548761875762E-2</v>
      </c>
      <c r="U549" s="1">
        <f t="shared" si="141"/>
        <v>4.1347337187772046E-2</v>
      </c>
      <c r="V549" s="1">
        <f t="shared" si="142"/>
        <v>3.1574382095289864E-2</v>
      </c>
      <c r="W549" s="1">
        <f t="shared" si="143"/>
        <v>4.0360367639778717E-2</v>
      </c>
      <c r="Y549" s="1" t="s">
        <v>445</v>
      </c>
      <c r="Z549" s="1">
        <f t="shared" si="144"/>
        <v>4.2874646285627283E-3</v>
      </c>
      <c r="AA549" s="1">
        <f t="shared" si="145"/>
        <v>8.2694674375544102E-3</v>
      </c>
      <c r="AB549" s="1">
        <f t="shared" si="146"/>
        <v>9.4723146285869593E-3</v>
      </c>
      <c r="AC549" s="1">
        <f t="shared" si="147"/>
        <v>8.0720735279557441E-3</v>
      </c>
      <c r="AK549" s="17" t="s">
        <v>1138</v>
      </c>
      <c r="AL549" s="17">
        <f t="shared" si="148"/>
        <v>2.7249946711891463E-2</v>
      </c>
      <c r="AM549" s="17">
        <f t="shared" si="149"/>
        <v>1.2761263613599621E-2</v>
      </c>
      <c r="AO549" s="17" t="s">
        <v>1850</v>
      </c>
      <c r="AP549" s="17">
        <f t="shared" si="150"/>
        <v>0.48106543127022111</v>
      </c>
      <c r="AR549" s="1" t="s">
        <v>445</v>
      </c>
      <c r="AS549" s="17">
        <f t="shared" si="151"/>
        <v>0.48106543127022111</v>
      </c>
      <c r="AT549" s="17">
        <f t="shared" si="152"/>
        <v>552</v>
      </c>
    </row>
    <row r="550" spans="6:46" x14ac:dyDescent="0.3">
      <c r="F550" s="1">
        <v>548</v>
      </c>
      <c r="G550" s="1" t="s">
        <v>446</v>
      </c>
      <c r="H550" s="1">
        <v>0</v>
      </c>
      <c r="I550" s="1">
        <v>29</v>
      </c>
      <c r="J550" s="1">
        <v>3</v>
      </c>
      <c r="K550" s="1">
        <v>1</v>
      </c>
      <c r="M550" s="1" t="s">
        <v>446</v>
      </c>
      <c r="N550" s="1">
        <f t="shared" si="136"/>
        <v>0</v>
      </c>
      <c r="O550" s="1">
        <f t="shared" si="137"/>
        <v>0.27619047619047621</v>
      </c>
      <c r="P550" s="1">
        <f t="shared" si="138"/>
        <v>0.33333333333333331</v>
      </c>
      <c r="Q550" s="1">
        <f t="shared" si="139"/>
        <v>0.33333333333333331</v>
      </c>
      <c r="S550" s="1" t="s">
        <v>446</v>
      </c>
      <c r="T550" s="1">
        <f t="shared" si="140"/>
        <v>0</v>
      </c>
      <c r="U550" s="1">
        <f t="shared" si="141"/>
        <v>2.1036364534129642E-2</v>
      </c>
      <c r="V550" s="1">
        <f t="shared" si="142"/>
        <v>2.1049588063526574E-2</v>
      </c>
      <c r="W550" s="1">
        <f t="shared" si="143"/>
        <v>1.3453455879926239E-2</v>
      </c>
      <c r="Y550" s="1" t="s">
        <v>446</v>
      </c>
      <c r="Z550" s="1">
        <f t="shared" si="144"/>
        <v>0</v>
      </c>
      <c r="AA550" s="1">
        <f t="shared" si="145"/>
        <v>4.2072729068259283E-3</v>
      </c>
      <c r="AB550" s="1">
        <f t="shared" si="146"/>
        <v>6.314876419057972E-3</v>
      </c>
      <c r="AC550" s="1">
        <f t="shared" si="147"/>
        <v>2.6906911759852479E-3</v>
      </c>
      <c r="AK550" s="17" t="s">
        <v>1139</v>
      </c>
      <c r="AL550" s="17">
        <f t="shared" si="148"/>
        <v>3.2521480823987349E-2</v>
      </c>
      <c r="AM550" s="17">
        <f t="shared" si="149"/>
        <v>1.2670516792034976E-2</v>
      </c>
      <c r="AO550" s="17" t="s">
        <v>1851</v>
      </c>
      <c r="AP550" s="17">
        <f t="shared" si="150"/>
        <v>0.40227506341801134</v>
      </c>
      <c r="AR550" s="1" t="s">
        <v>446</v>
      </c>
      <c r="AS550" s="17">
        <f t="shared" si="151"/>
        <v>0.40227506341801134</v>
      </c>
      <c r="AT550" s="17">
        <f t="shared" si="152"/>
        <v>597</v>
      </c>
    </row>
    <row r="551" spans="6:46" x14ac:dyDescent="0.3">
      <c r="F551" s="1">
        <v>549</v>
      </c>
      <c r="G551" s="1" t="s">
        <v>56</v>
      </c>
      <c r="H551" s="1">
        <v>2</v>
      </c>
      <c r="I551" s="1">
        <v>24</v>
      </c>
      <c r="J551" s="1">
        <v>2</v>
      </c>
      <c r="K551" s="1">
        <v>3</v>
      </c>
      <c r="M551" s="1" t="s">
        <v>56</v>
      </c>
      <c r="N551" s="1">
        <f t="shared" si="136"/>
        <v>0.2857142857142857</v>
      </c>
      <c r="O551" s="1">
        <f t="shared" si="137"/>
        <v>0.22857142857142856</v>
      </c>
      <c r="P551" s="1">
        <f t="shared" si="138"/>
        <v>0.5</v>
      </c>
      <c r="Q551" s="1">
        <f t="shared" si="139"/>
        <v>1</v>
      </c>
      <c r="S551" s="1" t="s">
        <v>56</v>
      </c>
      <c r="T551" s="1">
        <f t="shared" si="140"/>
        <v>2.8583097523751523E-2</v>
      </c>
      <c r="U551" s="1">
        <f t="shared" si="141"/>
        <v>1.7409405131693496E-2</v>
      </c>
      <c r="V551" s="1">
        <f t="shared" si="142"/>
        <v>3.1574382095289864E-2</v>
      </c>
      <c r="W551" s="1">
        <f t="shared" si="143"/>
        <v>4.0360367639778717E-2</v>
      </c>
      <c r="Y551" s="1" t="s">
        <v>56</v>
      </c>
      <c r="Z551" s="1">
        <f t="shared" si="144"/>
        <v>8.5749292571254566E-3</v>
      </c>
      <c r="AA551" s="1">
        <f t="shared" si="145"/>
        <v>3.4818810263386995E-3</v>
      </c>
      <c r="AB551" s="1">
        <f t="shared" si="146"/>
        <v>9.4723146285869593E-3</v>
      </c>
      <c r="AC551" s="1">
        <f t="shared" si="147"/>
        <v>8.0720735279557441E-3</v>
      </c>
      <c r="AK551" s="17" t="s">
        <v>1140</v>
      </c>
      <c r="AL551" s="17">
        <f t="shared" si="148"/>
        <v>2.5098882888318269E-2</v>
      </c>
      <c r="AM551" s="17">
        <f t="shared" si="149"/>
        <v>1.3867141852111863E-2</v>
      </c>
      <c r="AO551" s="17" t="s">
        <v>1852</v>
      </c>
      <c r="AP551" s="17">
        <f t="shared" si="150"/>
        <v>0.56636750267757419</v>
      </c>
      <c r="AR551" s="1" t="s">
        <v>56</v>
      </c>
      <c r="AS551" s="17">
        <f t="shared" si="151"/>
        <v>0.56636750267757419</v>
      </c>
      <c r="AT551" s="17">
        <f t="shared" si="152"/>
        <v>501</v>
      </c>
    </row>
    <row r="552" spans="6:46" x14ac:dyDescent="0.3">
      <c r="F552" s="1">
        <v>550</v>
      </c>
      <c r="G552" s="1" t="s">
        <v>59</v>
      </c>
      <c r="H552" s="1">
        <v>4</v>
      </c>
      <c r="I552" s="1">
        <v>47</v>
      </c>
      <c r="J552" s="1">
        <v>2</v>
      </c>
      <c r="K552" s="1">
        <v>3</v>
      </c>
      <c r="M552" s="1" t="s">
        <v>59</v>
      </c>
      <c r="N552" s="1">
        <f t="shared" si="136"/>
        <v>0.5714285714285714</v>
      </c>
      <c r="O552" s="1">
        <f t="shared" si="137"/>
        <v>0.44761904761904764</v>
      </c>
      <c r="P552" s="1">
        <f t="shared" si="138"/>
        <v>0.5</v>
      </c>
      <c r="Q552" s="1">
        <f t="shared" si="139"/>
        <v>1</v>
      </c>
      <c r="S552" s="1" t="s">
        <v>59</v>
      </c>
      <c r="T552" s="1">
        <f t="shared" si="140"/>
        <v>5.7166195047503046E-2</v>
      </c>
      <c r="U552" s="1">
        <f t="shared" si="141"/>
        <v>3.4093418382899761E-2</v>
      </c>
      <c r="V552" s="1">
        <f t="shared" si="142"/>
        <v>3.1574382095289864E-2</v>
      </c>
      <c r="W552" s="1">
        <f t="shared" si="143"/>
        <v>4.0360367639778717E-2</v>
      </c>
      <c r="Y552" s="1" t="s">
        <v>59</v>
      </c>
      <c r="Z552" s="1">
        <f t="shared" si="144"/>
        <v>1.7149858514250913E-2</v>
      </c>
      <c r="AA552" s="1">
        <f t="shared" si="145"/>
        <v>6.8186836765799525E-3</v>
      </c>
      <c r="AB552" s="1">
        <f t="shared" si="146"/>
        <v>9.4723146285869593E-3</v>
      </c>
      <c r="AC552" s="1">
        <f t="shared" si="147"/>
        <v>8.0720735279557441E-3</v>
      </c>
      <c r="AK552" s="17" t="s">
        <v>1141</v>
      </c>
      <c r="AL552" s="17">
        <f t="shared" si="148"/>
        <v>1.6387393499665958E-2</v>
      </c>
      <c r="AM552" s="17">
        <f t="shared" si="149"/>
        <v>2.0638713671321342E-2</v>
      </c>
      <c r="AO552" s="17" t="s">
        <v>1853</v>
      </c>
      <c r="AP552" s="17">
        <f t="shared" si="150"/>
        <v>1.2800649715287433</v>
      </c>
      <c r="AR552" s="1" t="s">
        <v>59</v>
      </c>
      <c r="AS552" s="17">
        <f t="shared" si="151"/>
        <v>1.2800649715287433</v>
      </c>
      <c r="AT552" s="17">
        <f t="shared" si="152"/>
        <v>70</v>
      </c>
    </row>
    <row r="553" spans="6:46" x14ac:dyDescent="0.3">
      <c r="F553" s="1">
        <v>551</v>
      </c>
      <c r="G553" s="1" t="s">
        <v>447</v>
      </c>
      <c r="H553" s="1">
        <v>0</v>
      </c>
      <c r="I553" s="1">
        <v>81</v>
      </c>
      <c r="J553" s="1">
        <v>1</v>
      </c>
      <c r="K553" s="1">
        <v>2</v>
      </c>
      <c r="M553" s="1" t="s">
        <v>447</v>
      </c>
      <c r="N553" s="1">
        <f t="shared" si="136"/>
        <v>0</v>
      </c>
      <c r="O553" s="1">
        <f t="shared" si="137"/>
        <v>0.77142857142857146</v>
      </c>
      <c r="P553" s="1">
        <f t="shared" si="138"/>
        <v>1</v>
      </c>
      <c r="Q553" s="1">
        <f t="shared" si="139"/>
        <v>0.66666666666666663</v>
      </c>
      <c r="S553" s="1" t="s">
        <v>447</v>
      </c>
      <c r="T553" s="1">
        <f t="shared" si="140"/>
        <v>0</v>
      </c>
      <c r="U553" s="1">
        <f t="shared" si="141"/>
        <v>5.8756742319465545E-2</v>
      </c>
      <c r="V553" s="1">
        <f t="shared" si="142"/>
        <v>6.3148764190579729E-2</v>
      </c>
      <c r="W553" s="1">
        <f t="shared" si="143"/>
        <v>2.6906911759852478E-2</v>
      </c>
      <c r="Y553" s="1" t="s">
        <v>447</v>
      </c>
      <c r="Z553" s="1">
        <f t="shared" si="144"/>
        <v>0</v>
      </c>
      <c r="AA553" s="1">
        <f t="shared" si="145"/>
        <v>1.175134846389311E-2</v>
      </c>
      <c r="AB553" s="1">
        <f t="shared" si="146"/>
        <v>1.8944629257173919E-2</v>
      </c>
      <c r="AC553" s="1">
        <f t="shared" si="147"/>
        <v>5.3813823519704958E-3</v>
      </c>
      <c r="AK553" s="17" t="s">
        <v>1142</v>
      </c>
      <c r="AL553" s="17">
        <f t="shared" si="148"/>
        <v>3.3908611801819394E-2</v>
      </c>
      <c r="AM553" s="17">
        <f t="shared" si="149"/>
        <v>8.9725684881346128E-3</v>
      </c>
      <c r="AO553" s="17" t="s">
        <v>1854</v>
      </c>
      <c r="AP553" s="17">
        <f t="shared" si="150"/>
        <v>0.27358288461004621</v>
      </c>
      <c r="AR553" s="1" t="s">
        <v>447</v>
      </c>
      <c r="AS553" s="17">
        <f t="shared" si="151"/>
        <v>0.27358288461004621</v>
      </c>
      <c r="AT553" s="17">
        <f t="shared" si="152"/>
        <v>654</v>
      </c>
    </row>
    <row r="554" spans="6:46" x14ac:dyDescent="0.3">
      <c r="F554" s="1">
        <v>552</v>
      </c>
      <c r="G554" s="1" t="s">
        <v>448</v>
      </c>
      <c r="H554" s="1">
        <v>1</v>
      </c>
      <c r="I554" s="1">
        <v>40</v>
      </c>
      <c r="J554" s="1">
        <v>1</v>
      </c>
      <c r="K554" s="1">
        <v>2</v>
      </c>
      <c r="M554" s="1" t="s">
        <v>448</v>
      </c>
      <c r="N554" s="1">
        <f t="shared" si="136"/>
        <v>0.14285714285714285</v>
      </c>
      <c r="O554" s="1">
        <f t="shared" si="137"/>
        <v>0.38095238095238093</v>
      </c>
      <c r="P554" s="1">
        <f t="shared" si="138"/>
        <v>1</v>
      </c>
      <c r="Q554" s="1">
        <f t="shared" si="139"/>
        <v>0.66666666666666663</v>
      </c>
      <c r="S554" s="1" t="s">
        <v>448</v>
      </c>
      <c r="T554" s="1">
        <f t="shared" si="140"/>
        <v>1.4291548761875762E-2</v>
      </c>
      <c r="U554" s="1">
        <f t="shared" si="141"/>
        <v>2.9015675219489157E-2</v>
      </c>
      <c r="V554" s="1">
        <f t="shared" si="142"/>
        <v>6.3148764190579729E-2</v>
      </c>
      <c r="W554" s="1">
        <f t="shared" si="143"/>
        <v>2.6906911759852478E-2</v>
      </c>
      <c r="Y554" s="1" t="s">
        <v>448</v>
      </c>
      <c r="Z554" s="1">
        <f t="shared" si="144"/>
        <v>4.2874646285627283E-3</v>
      </c>
      <c r="AA554" s="1">
        <f t="shared" si="145"/>
        <v>5.8031350438978316E-3</v>
      </c>
      <c r="AB554" s="1">
        <f t="shared" si="146"/>
        <v>1.8944629257173919E-2</v>
      </c>
      <c r="AC554" s="1">
        <f t="shared" si="147"/>
        <v>5.3813823519704958E-3</v>
      </c>
      <c r="AK554" s="17" t="s">
        <v>1143</v>
      </c>
      <c r="AL554" s="17">
        <f t="shared" si="148"/>
        <v>3.1426526245775112E-2</v>
      </c>
      <c r="AM554" s="17">
        <f t="shared" si="149"/>
        <v>5.6957561529693938E-3</v>
      </c>
      <c r="AO554" s="17" t="s">
        <v>1855</v>
      </c>
      <c r="AP554" s="17">
        <f t="shared" si="150"/>
        <v>0.18693615505754491</v>
      </c>
      <c r="AR554" s="1" t="s">
        <v>448</v>
      </c>
      <c r="AS554" s="17">
        <f t="shared" si="151"/>
        <v>0.18693615505754491</v>
      </c>
      <c r="AT554" s="17">
        <f t="shared" si="152"/>
        <v>690</v>
      </c>
    </row>
    <row r="555" spans="6:46" x14ac:dyDescent="0.3">
      <c r="F555" s="1">
        <v>553</v>
      </c>
      <c r="G555" s="1" t="s">
        <v>70</v>
      </c>
      <c r="H555" s="1">
        <v>2</v>
      </c>
      <c r="I555" s="1">
        <v>28</v>
      </c>
      <c r="J555" s="1">
        <v>2</v>
      </c>
      <c r="K555" s="1">
        <v>3</v>
      </c>
      <c r="M555" s="1" t="s">
        <v>70</v>
      </c>
      <c r="N555" s="1">
        <f t="shared" si="136"/>
        <v>0.2857142857142857</v>
      </c>
      <c r="O555" s="1">
        <f t="shared" si="137"/>
        <v>0.26666666666666666</v>
      </c>
      <c r="P555" s="1">
        <f t="shared" si="138"/>
        <v>0.5</v>
      </c>
      <c r="Q555" s="1">
        <f t="shared" si="139"/>
        <v>1</v>
      </c>
      <c r="S555" s="1" t="s">
        <v>70</v>
      </c>
      <c r="T555" s="1">
        <f t="shared" si="140"/>
        <v>2.8583097523751523E-2</v>
      </c>
      <c r="U555" s="1">
        <f t="shared" si="141"/>
        <v>2.0310972653642411E-2</v>
      </c>
      <c r="V555" s="1">
        <f t="shared" si="142"/>
        <v>3.1574382095289864E-2</v>
      </c>
      <c r="W555" s="1">
        <f t="shared" si="143"/>
        <v>4.0360367639778717E-2</v>
      </c>
      <c r="Y555" s="1" t="s">
        <v>70</v>
      </c>
      <c r="Z555" s="1">
        <f t="shared" si="144"/>
        <v>8.5749292571254566E-3</v>
      </c>
      <c r="AA555" s="1">
        <f t="shared" si="145"/>
        <v>4.0621945307284827E-3</v>
      </c>
      <c r="AB555" s="1">
        <f t="shared" si="146"/>
        <v>9.4723146285869593E-3</v>
      </c>
      <c r="AC555" s="1">
        <f t="shared" si="147"/>
        <v>8.0720735279557441E-3</v>
      </c>
      <c r="AK555" s="17" t="s">
        <v>1144</v>
      </c>
      <c r="AL555" s="17">
        <f t="shared" si="148"/>
        <v>2.4832473771014402E-2</v>
      </c>
      <c r="AM555" s="17">
        <f t="shared" si="149"/>
        <v>1.3891405640659505E-2</v>
      </c>
      <c r="AO555" s="17" t="s">
        <v>1856</v>
      </c>
      <c r="AP555" s="17">
        <f t="shared" si="150"/>
        <v>0.57329623049843059</v>
      </c>
      <c r="AR555" s="1" t="s">
        <v>70</v>
      </c>
      <c r="AS555" s="17">
        <f t="shared" si="151"/>
        <v>0.57329623049843059</v>
      </c>
      <c r="AT555" s="17">
        <f t="shared" si="152"/>
        <v>484</v>
      </c>
    </row>
    <row r="556" spans="6:46" x14ac:dyDescent="0.3">
      <c r="F556" s="1">
        <v>554</v>
      </c>
      <c r="G556" s="1" t="s">
        <v>226</v>
      </c>
      <c r="H556" s="1">
        <v>4</v>
      </c>
      <c r="I556" s="1">
        <v>38</v>
      </c>
      <c r="J556" s="1">
        <v>2</v>
      </c>
      <c r="K556" s="1">
        <v>3</v>
      </c>
      <c r="M556" s="1" t="s">
        <v>226</v>
      </c>
      <c r="N556" s="1">
        <f t="shared" si="136"/>
        <v>0.5714285714285714</v>
      </c>
      <c r="O556" s="1">
        <f t="shared" si="137"/>
        <v>0.3619047619047619</v>
      </c>
      <c r="P556" s="1">
        <f t="shared" si="138"/>
        <v>0.5</v>
      </c>
      <c r="Q556" s="1">
        <f t="shared" si="139"/>
        <v>1</v>
      </c>
      <c r="S556" s="1" t="s">
        <v>226</v>
      </c>
      <c r="T556" s="1">
        <f t="shared" si="140"/>
        <v>5.7166195047503046E-2</v>
      </c>
      <c r="U556" s="1">
        <f t="shared" si="141"/>
        <v>2.75648914585147E-2</v>
      </c>
      <c r="V556" s="1">
        <f t="shared" si="142"/>
        <v>3.1574382095289864E-2</v>
      </c>
      <c r="W556" s="1">
        <f t="shared" si="143"/>
        <v>4.0360367639778717E-2</v>
      </c>
      <c r="Y556" s="1" t="s">
        <v>226</v>
      </c>
      <c r="Z556" s="1">
        <f t="shared" si="144"/>
        <v>1.7149858514250913E-2</v>
      </c>
      <c r="AA556" s="1">
        <f t="shared" si="145"/>
        <v>5.5129782917029404E-3</v>
      </c>
      <c r="AB556" s="1">
        <f t="shared" si="146"/>
        <v>9.4723146285869593E-3</v>
      </c>
      <c r="AC556" s="1">
        <f t="shared" si="147"/>
        <v>8.0720735279557441E-3</v>
      </c>
      <c r="AK556" s="17" t="s">
        <v>1145</v>
      </c>
      <c r="AL556" s="17">
        <f t="shared" si="148"/>
        <v>1.7094600545942865E-2</v>
      </c>
      <c r="AM556" s="17">
        <f t="shared" si="149"/>
        <v>2.0449691628821716E-2</v>
      </c>
      <c r="AO556" s="17" t="s">
        <v>1857</v>
      </c>
      <c r="AP556" s="17">
        <f t="shared" si="150"/>
        <v>1.2167158210339413</v>
      </c>
      <c r="AR556" s="1" t="s">
        <v>226</v>
      </c>
      <c r="AS556" s="17">
        <f t="shared" si="151"/>
        <v>1.2167158210339413</v>
      </c>
      <c r="AT556" s="17">
        <f t="shared" si="152"/>
        <v>82</v>
      </c>
    </row>
    <row r="557" spans="6:46" x14ac:dyDescent="0.3">
      <c r="F557" s="1">
        <v>555</v>
      </c>
      <c r="G557" s="1" t="s">
        <v>449</v>
      </c>
      <c r="H557" s="1">
        <v>0</v>
      </c>
      <c r="I557" s="1">
        <v>81</v>
      </c>
      <c r="J557" s="1">
        <v>1</v>
      </c>
      <c r="K557" s="1">
        <v>2</v>
      </c>
      <c r="M557" s="1" t="s">
        <v>449</v>
      </c>
      <c r="N557" s="1">
        <f t="shared" si="136"/>
        <v>0</v>
      </c>
      <c r="O557" s="1">
        <f t="shared" si="137"/>
        <v>0.77142857142857146</v>
      </c>
      <c r="P557" s="1">
        <f t="shared" si="138"/>
        <v>1</v>
      </c>
      <c r="Q557" s="1">
        <f t="shared" si="139"/>
        <v>0.66666666666666663</v>
      </c>
      <c r="S557" s="1" t="s">
        <v>449</v>
      </c>
      <c r="T557" s="1">
        <f t="shared" si="140"/>
        <v>0</v>
      </c>
      <c r="U557" s="1">
        <f t="shared" si="141"/>
        <v>5.8756742319465545E-2</v>
      </c>
      <c r="V557" s="1">
        <f t="shared" si="142"/>
        <v>6.3148764190579729E-2</v>
      </c>
      <c r="W557" s="1">
        <f t="shared" si="143"/>
        <v>2.6906911759852478E-2</v>
      </c>
      <c r="Y557" s="1" t="s">
        <v>449</v>
      </c>
      <c r="Z557" s="1">
        <f t="shared" si="144"/>
        <v>0</v>
      </c>
      <c r="AA557" s="1">
        <f t="shared" si="145"/>
        <v>1.175134846389311E-2</v>
      </c>
      <c r="AB557" s="1">
        <f t="shared" si="146"/>
        <v>1.8944629257173919E-2</v>
      </c>
      <c r="AC557" s="1">
        <f t="shared" si="147"/>
        <v>5.3813823519704958E-3</v>
      </c>
      <c r="AK557" s="17" t="s">
        <v>1146</v>
      </c>
      <c r="AL557" s="17">
        <f t="shared" si="148"/>
        <v>3.3908611801819394E-2</v>
      </c>
      <c r="AM557" s="17">
        <f t="shared" si="149"/>
        <v>8.9725684881346128E-3</v>
      </c>
      <c r="AO557" s="17" t="s">
        <v>1858</v>
      </c>
      <c r="AP557" s="17">
        <f t="shared" si="150"/>
        <v>0.27358288461004621</v>
      </c>
      <c r="AR557" s="1" t="s">
        <v>449</v>
      </c>
      <c r="AS557" s="17">
        <f t="shared" si="151"/>
        <v>0.27358288461004621</v>
      </c>
      <c r="AT557" s="17">
        <f t="shared" si="152"/>
        <v>654</v>
      </c>
    </row>
    <row r="558" spans="6:46" x14ac:dyDescent="0.3">
      <c r="F558" s="1">
        <v>556</v>
      </c>
      <c r="G558" s="1" t="s">
        <v>450</v>
      </c>
      <c r="H558" s="1">
        <v>2</v>
      </c>
      <c r="I558" s="1">
        <v>62</v>
      </c>
      <c r="J558" s="1">
        <v>3</v>
      </c>
      <c r="K558" s="1">
        <v>3</v>
      </c>
      <c r="M558" s="1" t="s">
        <v>450</v>
      </c>
      <c r="N558" s="1">
        <f t="shared" si="136"/>
        <v>0.2857142857142857</v>
      </c>
      <c r="O558" s="1">
        <f t="shared" si="137"/>
        <v>0.59047619047619049</v>
      </c>
      <c r="P558" s="1">
        <f t="shared" si="138"/>
        <v>0.33333333333333331</v>
      </c>
      <c r="Q558" s="1">
        <f t="shared" si="139"/>
        <v>1</v>
      </c>
      <c r="S558" s="1" t="s">
        <v>450</v>
      </c>
      <c r="T558" s="1">
        <f t="shared" si="140"/>
        <v>2.8583097523751523E-2</v>
      </c>
      <c r="U558" s="1">
        <f t="shared" si="141"/>
        <v>4.4974296590208199E-2</v>
      </c>
      <c r="V558" s="1">
        <f t="shared" si="142"/>
        <v>2.1049588063526574E-2</v>
      </c>
      <c r="W558" s="1">
        <f t="shared" si="143"/>
        <v>4.0360367639778717E-2</v>
      </c>
      <c r="Y558" s="1" t="s">
        <v>450</v>
      </c>
      <c r="Z558" s="1">
        <f t="shared" si="144"/>
        <v>8.5749292571254566E-3</v>
      </c>
      <c r="AA558" s="1">
        <f t="shared" si="145"/>
        <v>8.9948593180416408E-3</v>
      </c>
      <c r="AB558" s="1">
        <f t="shared" si="146"/>
        <v>6.314876419057972E-3</v>
      </c>
      <c r="AC558" s="1">
        <f t="shared" si="147"/>
        <v>8.0720735279557441E-3</v>
      </c>
      <c r="AK558" s="17" t="s">
        <v>1147</v>
      </c>
      <c r="AL558" s="17">
        <f t="shared" si="148"/>
        <v>2.2469012265891024E-2</v>
      </c>
      <c r="AM558" s="17">
        <f t="shared" si="149"/>
        <v>1.7195223780818281E-2</v>
      </c>
      <c r="AO558" s="17" t="s">
        <v>1859</v>
      </c>
      <c r="AP558" s="17">
        <f t="shared" si="150"/>
        <v>0.78248136886523778</v>
      </c>
      <c r="AR558" s="1" t="s">
        <v>450</v>
      </c>
      <c r="AS558" s="17">
        <f t="shared" si="151"/>
        <v>0.78248136886523778</v>
      </c>
      <c r="AT558" s="17">
        <f t="shared" si="152"/>
        <v>314</v>
      </c>
    </row>
    <row r="559" spans="6:46" x14ac:dyDescent="0.3">
      <c r="F559" s="1">
        <v>557</v>
      </c>
      <c r="G559" s="1" t="s">
        <v>77</v>
      </c>
      <c r="H559" s="1">
        <v>3</v>
      </c>
      <c r="I559" s="1">
        <v>46</v>
      </c>
      <c r="J559" s="1">
        <v>3</v>
      </c>
      <c r="K559" s="1">
        <v>3</v>
      </c>
      <c r="M559" s="1" t="s">
        <v>77</v>
      </c>
      <c r="N559" s="1">
        <f t="shared" si="136"/>
        <v>0.42857142857142855</v>
      </c>
      <c r="O559" s="1">
        <f t="shared" si="137"/>
        <v>0.43809523809523809</v>
      </c>
      <c r="P559" s="1">
        <f t="shared" si="138"/>
        <v>0.33333333333333331</v>
      </c>
      <c r="Q559" s="1">
        <f t="shared" si="139"/>
        <v>1</v>
      </c>
      <c r="S559" s="1" t="s">
        <v>77</v>
      </c>
      <c r="T559" s="1">
        <f t="shared" si="140"/>
        <v>4.2874646285627281E-2</v>
      </c>
      <c r="U559" s="1">
        <f t="shared" si="141"/>
        <v>3.336802650241253E-2</v>
      </c>
      <c r="V559" s="1">
        <f t="shared" si="142"/>
        <v>2.1049588063526574E-2</v>
      </c>
      <c r="W559" s="1">
        <f t="shared" si="143"/>
        <v>4.0360367639778717E-2</v>
      </c>
      <c r="Y559" s="1" t="s">
        <v>77</v>
      </c>
      <c r="Z559" s="1">
        <f t="shared" si="144"/>
        <v>1.2862393885688184E-2</v>
      </c>
      <c r="AA559" s="1">
        <f t="shared" si="145"/>
        <v>6.6736053004825061E-3</v>
      </c>
      <c r="AB559" s="1">
        <f t="shared" si="146"/>
        <v>6.314876419057972E-3</v>
      </c>
      <c r="AC559" s="1">
        <f t="shared" si="147"/>
        <v>8.0720735279557441E-3</v>
      </c>
      <c r="AK559" s="17" t="s">
        <v>1148</v>
      </c>
      <c r="AL559" s="17">
        <f t="shared" si="148"/>
        <v>1.9333009067360466E-2</v>
      </c>
      <c r="AM559" s="17">
        <f t="shared" si="149"/>
        <v>1.913203085723425E-2</v>
      </c>
      <c r="AO559" s="17" t="s">
        <v>1860</v>
      </c>
      <c r="AP559" s="17">
        <f t="shared" si="150"/>
        <v>1.0087364318366181</v>
      </c>
      <c r="AR559" s="1" t="s">
        <v>77</v>
      </c>
      <c r="AS559" s="17">
        <f t="shared" si="151"/>
        <v>1.0087364318366181</v>
      </c>
      <c r="AT559" s="17">
        <f t="shared" si="152"/>
        <v>134</v>
      </c>
    </row>
    <row r="560" spans="6:46" x14ac:dyDescent="0.3">
      <c r="F560" s="1">
        <v>558</v>
      </c>
      <c r="G560" s="1" t="s">
        <v>451</v>
      </c>
      <c r="H560" s="1">
        <v>1</v>
      </c>
      <c r="I560" s="1">
        <v>60</v>
      </c>
      <c r="J560" s="1">
        <v>2</v>
      </c>
      <c r="K560" s="1">
        <v>2</v>
      </c>
      <c r="M560" s="1" t="s">
        <v>451</v>
      </c>
      <c r="N560" s="1">
        <f t="shared" si="136"/>
        <v>0.14285714285714285</v>
      </c>
      <c r="O560" s="1">
        <f t="shared" si="137"/>
        <v>0.5714285714285714</v>
      </c>
      <c r="P560" s="1">
        <f t="shared" si="138"/>
        <v>0.5</v>
      </c>
      <c r="Q560" s="1">
        <f t="shared" si="139"/>
        <v>0.66666666666666663</v>
      </c>
      <c r="S560" s="1" t="s">
        <v>451</v>
      </c>
      <c r="T560" s="1">
        <f t="shared" si="140"/>
        <v>1.4291548761875762E-2</v>
      </c>
      <c r="U560" s="1">
        <f t="shared" si="141"/>
        <v>4.3523512829233738E-2</v>
      </c>
      <c r="V560" s="1">
        <f t="shared" si="142"/>
        <v>3.1574382095289864E-2</v>
      </c>
      <c r="W560" s="1">
        <f t="shared" si="143"/>
        <v>2.6906911759852478E-2</v>
      </c>
      <c r="Y560" s="1" t="s">
        <v>451</v>
      </c>
      <c r="Z560" s="1">
        <f t="shared" si="144"/>
        <v>4.2874646285627283E-3</v>
      </c>
      <c r="AA560" s="1">
        <f t="shared" si="145"/>
        <v>8.7047025658467479E-3</v>
      </c>
      <c r="AB560" s="1">
        <f t="shared" si="146"/>
        <v>9.4723146285869593E-3</v>
      </c>
      <c r="AC560" s="1">
        <f t="shared" si="147"/>
        <v>5.3813823519704958E-3</v>
      </c>
      <c r="AK560" s="17" t="s">
        <v>1149</v>
      </c>
      <c r="AL560" s="17">
        <f t="shared" si="148"/>
        <v>2.7275026978567044E-2</v>
      </c>
      <c r="AM560" s="17">
        <f t="shared" si="149"/>
        <v>1.2072275925169693E-2</v>
      </c>
      <c r="AO560" s="17" t="s">
        <v>1861</v>
      </c>
      <c r="AP560" s="17">
        <f t="shared" si="150"/>
        <v>0.45468507094297822</v>
      </c>
      <c r="AR560" s="1" t="s">
        <v>451</v>
      </c>
      <c r="AS560" s="17">
        <f t="shared" si="151"/>
        <v>0.45468507094297822</v>
      </c>
      <c r="AT560" s="17">
        <f t="shared" si="152"/>
        <v>567</v>
      </c>
    </row>
    <row r="561" spans="6:46" x14ac:dyDescent="0.3">
      <c r="F561" s="1">
        <v>559</v>
      </c>
      <c r="G561" s="1" t="s">
        <v>452</v>
      </c>
      <c r="H561" s="1">
        <v>2</v>
      </c>
      <c r="I561" s="1">
        <v>68</v>
      </c>
      <c r="J561" s="1">
        <v>5</v>
      </c>
      <c r="K561" s="1">
        <v>3</v>
      </c>
      <c r="M561" s="1" t="s">
        <v>452</v>
      </c>
      <c r="N561" s="1">
        <f t="shared" si="136"/>
        <v>0.2857142857142857</v>
      </c>
      <c r="O561" s="1">
        <f t="shared" si="137"/>
        <v>0.64761904761904765</v>
      </c>
      <c r="P561" s="1">
        <f t="shared" si="138"/>
        <v>0.2</v>
      </c>
      <c r="Q561" s="1">
        <f t="shared" si="139"/>
        <v>1</v>
      </c>
      <c r="S561" s="1" t="s">
        <v>452</v>
      </c>
      <c r="T561" s="1">
        <f t="shared" si="140"/>
        <v>2.8583097523751523E-2</v>
      </c>
      <c r="U561" s="1">
        <f t="shared" si="141"/>
        <v>4.9326647873131568E-2</v>
      </c>
      <c r="V561" s="1">
        <f t="shared" si="142"/>
        <v>1.2629752838115946E-2</v>
      </c>
      <c r="W561" s="1">
        <f t="shared" si="143"/>
        <v>4.0360367639778717E-2</v>
      </c>
      <c r="Y561" s="1" t="s">
        <v>452</v>
      </c>
      <c r="Z561" s="1">
        <f t="shared" si="144"/>
        <v>8.5749292571254566E-3</v>
      </c>
      <c r="AA561" s="1">
        <f t="shared" si="145"/>
        <v>9.8653295746263144E-3</v>
      </c>
      <c r="AB561" s="1">
        <f t="shared" si="146"/>
        <v>3.7889258514347836E-3</v>
      </c>
      <c r="AC561" s="1">
        <f t="shared" si="147"/>
        <v>8.0720735279557441E-3</v>
      </c>
      <c r="AK561" s="17" t="s">
        <v>1150</v>
      </c>
      <c r="AL561" s="17">
        <f t="shared" si="148"/>
        <v>2.2099166795003174E-2</v>
      </c>
      <c r="AM561" s="17">
        <f t="shared" si="149"/>
        <v>1.9409302955339911E-2</v>
      </c>
      <c r="AO561" s="17" t="s">
        <v>1862</v>
      </c>
      <c r="AP561" s="17">
        <f t="shared" si="150"/>
        <v>0.89769141808596709</v>
      </c>
      <c r="AR561" s="1" t="s">
        <v>452</v>
      </c>
      <c r="AS561" s="17">
        <f t="shared" si="151"/>
        <v>0.89769141808596709</v>
      </c>
      <c r="AT561" s="17">
        <f t="shared" si="152"/>
        <v>180</v>
      </c>
    </row>
    <row r="562" spans="6:46" x14ac:dyDescent="0.3">
      <c r="F562" s="1">
        <v>560</v>
      </c>
      <c r="G562" s="1" t="s">
        <v>453</v>
      </c>
      <c r="H562" s="1">
        <v>1</v>
      </c>
      <c r="I562" s="1">
        <v>76</v>
      </c>
      <c r="J562" s="1">
        <v>1</v>
      </c>
      <c r="K562" s="1">
        <v>2</v>
      </c>
      <c r="M562" s="1" t="s">
        <v>453</v>
      </c>
      <c r="N562" s="1">
        <f t="shared" si="136"/>
        <v>0.14285714285714285</v>
      </c>
      <c r="O562" s="1">
        <f t="shared" si="137"/>
        <v>0.72380952380952379</v>
      </c>
      <c r="P562" s="1">
        <f t="shared" si="138"/>
        <v>1</v>
      </c>
      <c r="Q562" s="1">
        <f t="shared" si="139"/>
        <v>0.66666666666666663</v>
      </c>
      <c r="S562" s="1" t="s">
        <v>453</v>
      </c>
      <c r="T562" s="1">
        <f t="shared" si="140"/>
        <v>1.4291548761875762E-2</v>
      </c>
      <c r="U562" s="1">
        <f t="shared" si="141"/>
        <v>5.5129782917029399E-2</v>
      </c>
      <c r="V562" s="1">
        <f t="shared" si="142"/>
        <v>6.3148764190579729E-2</v>
      </c>
      <c r="W562" s="1">
        <f t="shared" si="143"/>
        <v>2.6906911759852478E-2</v>
      </c>
      <c r="Y562" s="1" t="s">
        <v>453</v>
      </c>
      <c r="Z562" s="1">
        <f t="shared" si="144"/>
        <v>4.2874646285627283E-3</v>
      </c>
      <c r="AA562" s="1">
        <f t="shared" si="145"/>
        <v>1.1025956583405881E-2</v>
      </c>
      <c r="AB562" s="1">
        <f t="shared" si="146"/>
        <v>1.8944629257173919E-2</v>
      </c>
      <c r="AC562" s="1">
        <f t="shared" si="147"/>
        <v>5.3813823519704958E-3</v>
      </c>
      <c r="AK562" s="17" t="s">
        <v>1151</v>
      </c>
      <c r="AL562" s="17">
        <f t="shared" si="148"/>
        <v>3.0272116145425389E-2</v>
      </c>
      <c r="AM562" s="17">
        <f t="shared" si="149"/>
        <v>9.3272379524265998E-3</v>
      </c>
      <c r="AO562" s="17" t="s">
        <v>1863</v>
      </c>
      <c r="AP562" s="17">
        <f t="shared" si="150"/>
        <v>0.31744041734230216</v>
      </c>
      <c r="AR562" s="1" t="s">
        <v>453</v>
      </c>
      <c r="AS562" s="17">
        <f t="shared" si="151"/>
        <v>0.31744041734230216</v>
      </c>
      <c r="AT562" s="17">
        <f t="shared" si="152"/>
        <v>642</v>
      </c>
    </row>
    <row r="563" spans="6:46" x14ac:dyDescent="0.3">
      <c r="F563" s="1">
        <v>561</v>
      </c>
      <c r="G563" s="1" t="s">
        <v>83</v>
      </c>
      <c r="H563" s="1">
        <v>3</v>
      </c>
      <c r="I563" s="1">
        <v>41</v>
      </c>
      <c r="J563" s="1">
        <v>2</v>
      </c>
      <c r="K563" s="1">
        <v>3</v>
      </c>
      <c r="M563" s="1" t="s">
        <v>83</v>
      </c>
      <c r="N563" s="1">
        <f t="shared" si="136"/>
        <v>0.42857142857142855</v>
      </c>
      <c r="O563" s="1">
        <f t="shared" si="137"/>
        <v>0.39047619047619048</v>
      </c>
      <c r="P563" s="1">
        <f t="shared" si="138"/>
        <v>0.5</v>
      </c>
      <c r="Q563" s="1">
        <f t="shared" si="139"/>
        <v>1</v>
      </c>
      <c r="S563" s="1" t="s">
        <v>83</v>
      </c>
      <c r="T563" s="1">
        <f t="shared" si="140"/>
        <v>4.2874646285627281E-2</v>
      </c>
      <c r="U563" s="1">
        <f t="shared" si="141"/>
        <v>2.9741067099976388E-2</v>
      </c>
      <c r="V563" s="1">
        <f t="shared" si="142"/>
        <v>3.1574382095289864E-2</v>
      </c>
      <c r="W563" s="1">
        <f t="shared" si="143"/>
        <v>4.0360367639778717E-2</v>
      </c>
      <c r="Y563" s="1" t="s">
        <v>83</v>
      </c>
      <c r="Z563" s="1">
        <f t="shared" si="144"/>
        <v>1.2862393885688184E-2</v>
      </c>
      <c r="AA563" s="1">
        <f t="shared" si="145"/>
        <v>5.9482134199952781E-3</v>
      </c>
      <c r="AB563" s="1">
        <f t="shared" si="146"/>
        <v>9.4723146285869593E-3</v>
      </c>
      <c r="AC563" s="1">
        <f t="shared" si="147"/>
        <v>8.0720735279557441E-3</v>
      </c>
      <c r="AK563" s="17" t="s">
        <v>1152</v>
      </c>
      <c r="AL563" s="17">
        <f t="shared" si="148"/>
        <v>2.0313298069876161E-2</v>
      </c>
      <c r="AM563" s="17">
        <f t="shared" si="149"/>
        <v>1.7079913036161156E-2</v>
      </c>
      <c r="AO563" s="17" t="s">
        <v>1864</v>
      </c>
      <c r="AP563" s="17">
        <f t="shared" si="150"/>
        <v>0.85790413455881043</v>
      </c>
      <c r="AR563" s="1" t="s">
        <v>83</v>
      </c>
      <c r="AS563" s="17">
        <f t="shared" si="151"/>
        <v>0.85790413455881043</v>
      </c>
      <c r="AT563" s="17">
        <f t="shared" si="152"/>
        <v>239</v>
      </c>
    </row>
    <row r="564" spans="6:46" x14ac:dyDescent="0.3">
      <c r="F564" s="1">
        <v>562</v>
      </c>
      <c r="G564" s="1" t="s">
        <v>85</v>
      </c>
      <c r="H564" s="1">
        <v>3</v>
      </c>
      <c r="I564" s="1">
        <v>29</v>
      </c>
      <c r="J564" s="1">
        <v>3</v>
      </c>
      <c r="K564" s="1">
        <v>3</v>
      </c>
      <c r="M564" s="1" t="s">
        <v>85</v>
      </c>
      <c r="N564" s="1">
        <f t="shared" si="136"/>
        <v>0.42857142857142855</v>
      </c>
      <c r="O564" s="1">
        <f t="shared" si="137"/>
        <v>0.27619047619047621</v>
      </c>
      <c r="P564" s="1">
        <f t="shared" si="138"/>
        <v>0.33333333333333331</v>
      </c>
      <c r="Q564" s="1">
        <f t="shared" si="139"/>
        <v>1</v>
      </c>
      <c r="S564" s="1" t="s">
        <v>85</v>
      </c>
      <c r="T564" s="1">
        <f t="shared" si="140"/>
        <v>4.2874646285627281E-2</v>
      </c>
      <c r="U564" s="1">
        <f t="shared" si="141"/>
        <v>2.1036364534129642E-2</v>
      </c>
      <c r="V564" s="1">
        <f t="shared" si="142"/>
        <v>2.1049588063526574E-2</v>
      </c>
      <c r="W564" s="1">
        <f t="shared" si="143"/>
        <v>4.0360367639778717E-2</v>
      </c>
      <c r="Y564" s="1" t="s">
        <v>85</v>
      </c>
      <c r="Z564" s="1">
        <f t="shared" si="144"/>
        <v>1.2862393885688184E-2</v>
      </c>
      <c r="AA564" s="1">
        <f t="shared" si="145"/>
        <v>4.2072729068259283E-3</v>
      </c>
      <c r="AB564" s="1">
        <f t="shared" si="146"/>
        <v>6.314876419057972E-3</v>
      </c>
      <c r="AC564" s="1">
        <f t="shared" si="147"/>
        <v>8.0720735279557441E-3</v>
      </c>
      <c r="AK564" s="17" t="s">
        <v>1153</v>
      </c>
      <c r="AL564" s="17">
        <f t="shared" si="148"/>
        <v>2.0544337222408806E-2</v>
      </c>
      <c r="AM564" s="17">
        <f t="shared" si="149"/>
        <v>1.88399163550672E-2</v>
      </c>
      <c r="AO564" s="17" t="s">
        <v>1865</v>
      </c>
      <c r="AP564" s="17">
        <f t="shared" si="150"/>
        <v>0.93587686678623017</v>
      </c>
      <c r="AR564" s="1" t="s">
        <v>85</v>
      </c>
      <c r="AS564" s="17">
        <f t="shared" si="151"/>
        <v>0.93587686678623017</v>
      </c>
      <c r="AT564" s="17">
        <f t="shared" si="152"/>
        <v>165</v>
      </c>
    </row>
    <row r="565" spans="6:46" x14ac:dyDescent="0.3">
      <c r="F565" s="1">
        <v>563</v>
      </c>
      <c r="G565" s="1" t="s">
        <v>454</v>
      </c>
      <c r="H565" s="1">
        <v>6</v>
      </c>
      <c r="I565" s="1">
        <v>43</v>
      </c>
      <c r="J565" s="1">
        <v>2</v>
      </c>
      <c r="K565" s="1">
        <v>3</v>
      </c>
      <c r="M565" s="1" t="s">
        <v>454</v>
      </c>
      <c r="N565" s="1">
        <f t="shared" si="136"/>
        <v>0.8571428571428571</v>
      </c>
      <c r="O565" s="1">
        <f t="shared" si="137"/>
        <v>0.40952380952380951</v>
      </c>
      <c r="P565" s="1">
        <f t="shared" si="138"/>
        <v>0.5</v>
      </c>
      <c r="Q565" s="1">
        <f t="shared" si="139"/>
        <v>1</v>
      </c>
      <c r="S565" s="1" t="s">
        <v>454</v>
      </c>
      <c r="T565" s="1">
        <f t="shared" si="140"/>
        <v>8.5749292571254562E-2</v>
      </c>
      <c r="U565" s="1">
        <f t="shared" si="141"/>
        <v>3.1191850860950845E-2</v>
      </c>
      <c r="V565" s="1">
        <f t="shared" si="142"/>
        <v>3.1574382095289864E-2</v>
      </c>
      <c r="W565" s="1">
        <f t="shared" si="143"/>
        <v>4.0360367639778717E-2</v>
      </c>
      <c r="Y565" s="1" t="s">
        <v>454</v>
      </c>
      <c r="Z565" s="1">
        <f t="shared" si="144"/>
        <v>2.5724787771376368E-2</v>
      </c>
      <c r="AA565" s="1">
        <f t="shared" si="145"/>
        <v>6.2383701721901693E-3</v>
      </c>
      <c r="AB565" s="1">
        <f t="shared" si="146"/>
        <v>9.4723146285869593E-3</v>
      </c>
      <c r="AC565" s="1">
        <f t="shared" si="147"/>
        <v>8.0720735279557441E-3</v>
      </c>
      <c r="AK565" s="17" t="s">
        <v>1154</v>
      </c>
      <c r="AL565" s="17">
        <f t="shared" si="148"/>
        <v>1.147130136840613E-2</v>
      </c>
      <c r="AM565" s="17">
        <f t="shared" si="149"/>
        <v>2.8102148984579092E-2</v>
      </c>
      <c r="AO565" s="17" t="s">
        <v>1866</v>
      </c>
      <c r="AP565" s="17">
        <f t="shared" si="150"/>
        <v>2.4778807819457076</v>
      </c>
      <c r="AR565" s="1" t="s">
        <v>454</v>
      </c>
      <c r="AS565" s="17">
        <f t="shared" si="151"/>
        <v>2.4778807819457076</v>
      </c>
      <c r="AT565" s="17">
        <f t="shared" si="152"/>
        <v>9</v>
      </c>
    </row>
    <row r="566" spans="6:46" x14ac:dyDescent="0.3">
      <c r="F566" s="1">
        <v>564</v>
      </c>
      <c r="G566" s="1" t="s">
        <v>455</v>
      </c>
      <c r="H566" s="1">
        <v>2</v>
      </c>
      <c r="I566" s="1">
        <v>30</v>
      </c>
      <c r="J566" s="1">
        <v>2</v>
      </c>
      <c r="K566" s="1">
        <v>3</v>
      </c>
      <c r="M566" s="1" t="s">
        <v>455</v>
      </c>
      <c r="N566" s="1">
        <f t="shared" si="136"/>
        <v>0.2857142857142857</v>
      </c>
      <c r="O566" s="1">
        <f t="shared" si="137"/>
        <v>0.2857142857142857</v>
      </c>
      <c r="P566" s="1">
        <f t="shared" si="138"/>
        <v>0.5</v>
      </c>
      <c r="Q566" s="1">
        <f t="shared" si="139"/>
        <v>1</v>
      </c>
      <c r="S566" s="1" t="s">
        <v>455</v>
      </c>
      <c r="T566" s="1">
        <f t="shared" si="140"/>
        <v>2.8583097523751523E-2</v>
      </c>
      <c r="U566" s="1">
        <f t="shared" si="141"/>
        <v>2.1761756414616869E-2</v>
      </c>
      <c r="V566" s="1">
        <f t="shared" si="142"/>
        <v>3.1574382095289864E-2</v>
      </c>
      <c r="W566" s="1">
        <f t="shared" si="143"/>
        <v>4.0360367639778717E-2</v>
      </c>
      <c r="Y566" s="1" t="s">
        <v>455</v>
      </c>
      <c r="Z566" s="1">
        <f t="shared" si="144"/>
        <v>8.5749292571254566E-3</v>
      </c>
      <c r="AA566" s="1">
        <f t="shared" si="145"/>
        <v>4.3523512829233739E-3</v>
      </c>
      <c r="AB566" s="1">
        <f t="shared" si="146"/>
        <v>9.4723146285869593E-3</v>
      </c>
      <c r="AC566" s="1">
        <f t="shared" si="147"/>
        <v>8.0720735279557441E-3</v>
      </c>
      <c r="AK566" s="17" t="s">
        <v>1155</v>
      </c>
      <c r="AL566" s="17">
        <f t="shared" si="148"/>
        <v>2.470330427460975E-2</v>
      </c>
      <c r="AM566" s="17">
        <f t="shared" si="149"/>
        <v>1.3912601742997488E-2</v>
      </c>
      <c r="AO566" s="17" t="s">
        <v>1867</v>
      </c>
      <c r="AP566" s="17">
        <f t="shared" si="150"/>
        <v>0.57710048901267619</v>
      </c>
      <c r="AR566" s="1" t="s">
        <v>455</v>
      </c>
      <c r="AS566" s="17">
        <f t="shared" si="151"/>
        <v>0.57710048901267619</v>
      </c>
      <c r="AT566" s="17">
        <f t="shared" si="152"/>
        <v>477</v>
      </c>
    </row>
    <row r="567" spans="6:46" x14ac:dyDescent="0.3">
      <c r="F567" s="1">
        <v>565</v>
      </c>
      <c r="G567" s="1" t="s">
        <v>456</v>
      </c>
      <c r="H567" s="1">
        <v>3</v>
      </c>
      <c r="I567" s="1">
        <v>56</v>
      </c>
      <c r="J567" s="1">
        <v>1</v>
      </c>
      <c r="K567" s="1">
        <v>2</v>
      </c>
      <c r="M567" s="1" t="s">
        <v>456</v>
      </c>
      <c r="N567" s="1">
        <f t="shared" si="136"/>
        <v>0.42857142857142855</v>
      </c>
      <c r="O567" s="1">
        <f t="shared" si="137"/>
        <v>0.53333333333333333</v>
      </c>
      <c r="P567" s="1">
        <f t="shared" si="138"/>
        <v>1</v>
      </c>
      <c r="Q567" s="1">
        <f t="shared" si="139"/>
        <v>0.66666666666666663</v>
      </c>
      <c r="S567" s="1" t="s">
        <v>456</v>
      </c>
      <c r="T567" s="1">
        <f t="shared" si="140"/>
        <v>4.2874646285627281E-2</v>
      </c>
      <c r="U567" s="1">
        <f t="shared" si="141"/>
        <v>4.0621945307284822E-2</v>
      </c>
      <c r="V567" s="1">
        <f t="shared" si="142"/>
        <v>6.3148764190579729E-2</v>
      </c>
      <c r="W567" s="1">
        <f t="shared" si="143"/>
        <v>2.6906911759852478E-2</v>
      </c>
      <c r="Y567" s="1" t="s">
        <v>456</v>
      </c>
      <c r="Z567" s="1">
        <f t="shared" si="144"/>
        <v>1.2862393885688184E-2</v>
      </c>
      <c r="AA567" s="1">
        <f t="shared" si="145"/>
        <v>8.1243890614569655E-3</v>
      </c>
      <c r="AB567" s="1">
        <f t="shared" si="146"/>
        <v>1.8944629257173919E-2</v>
      </c>
      <c r="AC567" s="1">
        <f t="shared" si="147"/>
        <v>5.3813823519704958E-3</v>
      </c>
      <c r="AK567" s="17" t="s">
        <v>1156</v>
      </c>
      <c r="AL567" s="17">
        <f t="shared" si="148"/>
        <v>2.4116144468547745E-2</v>
      </c>
      <c r="AM567" s="17">
        <f t="shared" si="149"/>
        <v>1.4036102642083834E-2</v>
      </c>
      <c r="AO567" s="17" t="s">
        <v>1868</v>
      </c>
      <c r="AP567" s="17">
        <f t="shared" si="150"/>
        <v>0.59605710771566467</v>
      </c>
      <c r="AR567" s="1" t="s">
        <v>456</v>
      </c>
      <c r="AS567" s="17">
        <f t="shared" si="151"/>
        <v>0.59605710771566467</v>
      </c>
      <c r="AT567" s="17">
        <f t="shared" si="152"/>
        <v>440</v>
      </c>
    </row>
    <row r="568" spans="6:46" x14ac:dyDescent="0.3">
      <c r="F568" s="1">
        <v>566</v>
      </c>
      <c r="G568" s="1" t="s">
        <v>457</v>
      </c>
      <c r="H568" s="1">
        <v>3</v>
      </c>
      <c r="I568" s="1">
        <v>66</v>
      </c>
      <c r="J568" s="1">
        <v>4</v>
      </c>
      <c r="K568" s="1">
        <v>3</v>
      </c>
      <c r="M568" s="1" t="s">
        <v>457</v>
      </c>
      <c r="N568" s="1">
        <f t="shared" si="136"/>
        <v>0.42857142857142855</v>
      </c>
      <c r="O568" s="1">
        <f t="shared" si="137"/>
        <v>0.62857142857142856</v>
      </c>
      <c r="P568" s="1">
        <f t="shared" si="138"/>
        <v>0.25</v>
      </c>
      <c r="Q568" s="1">
        <f t="shared" si="139"/>
        <v>1</v>
      </c>
      <c r="S568" s="1" t="s">
        <v>457</v>
      </c>
      <c r="T568" s="1">
        <f t="shared" si="140"/>
        <v>4.2874646285627281E-2</v>
      </c>
      <c r="U568" s="1">
        <f t="shared" si="141"/>
        <v>4.7875864112157107E-2</v>
      </c>
      <c r="V568" s="1">
        <f t="shared" si="142"/>
        <v>1.5787191047644932E-2</v>
      </c>
      <c r="W568" s="1">
        <f t="shared" si="143"/>
        <v>4.0360367639778717E-2</v>
      </c>
      <c r="Y568" s="1" t="s">
        <v>457</v>
      </c>
      <c r="Z568" s="1">
        <f t="shared" si="144"/>
        <v>1.2862393885688184E-2</v>
      </c>
      <c r="AA568" s="1">
        <f t="shared" si="145"/>
        <v>9.5751728224314214E-3</v>
      </c>
      <c r="AB568" s="1">
        <f t="shared" si="146"/>
        <v>4.7361573142934797E-3</v>
      </c>
      <c r="AC568" s="1">
        <f t="shared" si="147"/>
        <v>8.0720735279557441E-3</v>
      </c>
      <c r="AK568" s="17" t="s">
        <v>1157</v>
      </c>
      <c r="AL568" s="17">
        <f t="shared" si="148"/>
        <v>1.8083929322995445E-2</v>
      </c>
      <c r="AM568" s="17">
        <f t="shared" si="149"/>
        <v>2.0905251560527662E-2</v>
      </c>
      <c r="AO568" s="17" t="s">
        <v>1869</v>
      </c>
      <c r="AP568" s="17">
        <f t="shared" si="150"/>
        <v>1.1769179292889589</v>
      </c>
      <c r="AR568" s="1" t="s">
        <v>457</v>
      </c>
      <c r="AS568" s="17">
        <f t="shared" si="151"/>
        <v>1.1769179292889589</v>
      </c>
      <c r="AT568" s="17">
        <f t="shared" si="152"/>
        <v>92</v>
      </c>
    </row>
    <row r="569" spans="6:46" x14ac:dyDescent="0.3">
      <c r="F569" s="1">
        <v>567</v>
      </c>
      <c r="G569" s="1" t="s">
        <v>458</v>
      </c>
      <c r="H569" s="1">
        <v>0</v>
      </c>
      <c r="I569" s="1">
        <v>68</v>
      </c>
      <c r="J569" s="1">
        <v>2</v>
      </c>
      <c r="K569" s="1">
        <v>2</v>
      </c>
      <c r="M569" s="1" t="s">
        <v>458</v>
      </c>
      <c r="N569" s="1">
        <f t="shared" si="136"/>
        <v>0</v>
      </c>
      <c r="O569" s="1">
        <f t="shared" si="137"/>
        <v>0.64761904761904765</v>
      </c>
      <c r="P569" s="1">
        <f t="shared" si="138"/>
        <v>0.5</v>
      </c>
      <c r="Q569" s="1">
        <f t="shared" si="139"/>
        <v>0.66666666666666663</v>
      </c>
      <c r="S569" s="1" t="s">
        <v>458</v>
      </c>
      <c r="T569" s="1">
        <f t="shared" si="140"/>
        <v>0</v>
      </c>
      <c r="U569" s="1">
        <f t="shared" si="141"/>
        <v>4.9326647873131568E-2</v>
      </c>
      <c r="V569" s="1">
        <f t="shared" si="142"/>
        <v>3.1574382095289864E-2</v>
      </c>
      <c r="W569" s="1">
        <f t="shared" si="143"/>
        <v>2.6906911759852478E-2</v>
      </c>
      <c r="Y569" s="1" t="s">
        <v>458</v>
      </c>
      <c r="Z569" s="1">
        <f t="shared" si="144"/>
        <v>0</v>
      </c>
      <c r="AA569" s="1">
        <f t="shared" si="145"/>
        <v>9.8653295746263144E-3</v>
      </c>
      <c r="AB569" s="1">
        <f t="shared" si="146"/>
        <v>9.4723146285869593E-3</v>
      </c>
      <c r="AC569" s="1">
        <f t="shared" si="147"/>
        <v>5.3813823519704958E-3</v>
      </c>
      <c r="AK569" s="17" t="s">
        <v>1158</v>
      </c>
      <c r="AL569" s="17">
        <f t="shared" si="148"/>
        <v>3.1130216359967561E-2</v>
      </c>
      <c r="AM569" s="17">
        <f t="shared" si="149"/>
        <v>1.1895443292878814E-2</v>
      </c>
      <c r="AO569" s="17" t="s">
        <v>1870</v>
      </c>
      <c r="AP569" s="17">
        <f t="shared" si="150"/>
        <v>0.39401431954251404</v>
      </c>
      <c r="AR569" s="1" t="s">
        <v>458</v>
      </c>
      <c r="AS569" s="17">
        <f t="shared" si="151"/>
        <v>0.39401431954251404</v>
      </c>
      <c r="AT569" s="17">
        <f t="shared" si="152"/>
        <v>603</v>
      </c>
    </row>
    <row r="570" spans="6:46" x14ac:dyDescent="0.3">
      <c r="F570" s="1">
        <v>568</v>
      </c>
      <c r="G570" s="1" t="s">
        <v>459</v>
      </c>
      <c r="H570" s="1">
        <v>1</v>
      </c>
      <c r="I570" s="1">
        <v>66</v>
      </c>
      <c r="J570" s="1">
        <v>2</v>
      </c>
      <c r="K570" s="1">
        <v>2</v>
      </c>
      <c r="M570" s="1" t="s">
        <v>459</v>
      </c>
      <c r="N570" s="1">
        <f t="shared" si="136"/>
        <v>0.14285714285714285</v>
      </c>
      <c r="O570" s="1">
        <f t="shared" si="137"/>
        <v>0.62857142857142856</v>
      </c>
      <c r="P570" s="1">
        <f t="shared" si="138"/>
        <v>0.5</v>
      </c>
      <c r="Q570" s="1">
        <f t="shared" si="139"/>
        <v>0.66666666666666663</v>
      </c>
      <c r="S570" s="1" t="s">
        <v>459</v>
      </c>
      <c r="T570" s="1">
        <f t="shared" si="140"/>
        <v>1.4291548761875762E-2</v>
      </c>
      <c r="U570" s="1">
        <f t="shared" si="141"/>
        <v>4.7875864112157107E-2</v>
      </c>
      <c r="V570" s="1">
        <f t="shared" si="142"/>
        <v>3.1574382095289864E-2</v>
      </c>
      <c r="W570" s="1">
        <f t="shared" si="143"/>
        <v>2.6906911759852478E-2</v>
      </c>
      <c r="Y570" s="1" t="s">
        <v>459</v>
      </c>
      <c r="Z570" s="1">
        <f t="shared" si="144"/>
        <v>4.2874646285627283E-3</v>
      </c>
      <c r="AA570" s="1">
        <f t="shared" si="145"/>
        <v>9.5751728224314214E-3</v>
      </c>
      <c r="AB570" s="1">
        <f t="shared" si="146"/>
        <v>9.4723146285869593E-3</v>
      </c>
      <c r="AC570" s="1">
        <f t="shared" si="147"/>
        <v>5.3813823519704958E-3</v>
      </c>
      <c r="AK570" s="17" t="s">
        <v>1159</v>
      </c>
      <c r="AL570" s="17">
        <f t="shared" si="148"/>
        <v>2.7079864071578717E-2</v>
      </c>
      <c r="AM570" s="17">
        <f t="shared" si="149"/>
        <v>1.2493811737707557E-2</v>
      </c>
      <c r="AO570" s="17" t="s">
        <v>1871</v>
      </c>
      <c r="AP570" s="17">
        <f t="shared" si="150"/>
        <v>0.47386288304040508</v>
      </c>
      <c r="AR570" s="1" t="s">
        <v>459</v>
      </c>
      <c r="AS570" s="17">
        <f t="shared" si="151"/>
        <v>0.47386288304040508</v>
      </c>
      <c r="AT570" s="17">
        <f t="shared" si="152"/>
        <v>556</v>
      </c>
    </row>
    <row r="571" spans="6:46" x14ac:dyDescent="0.3">
      <c r="F571" s="1">
        <v>569</v>
      </c>
      <c r="G571" s="1" t="s">
        <v>460</v>
      </c>
      <c r="H571" s="1">
        <v>2</v>
      </c>
      <c r="I571" s="1">
        <v>41</v>
      </c>
      <c r="J571" s="1">
        <v>3</v>
      </c>
      <c r="K571" s="1">
        <v>3</v>
      </c>
      <c r="M571" s="1" t="s">
        <v>460</v>
      </c>
      <c r="N571" s="1">
        <f t="shared" si="136"/>
        <v>0.2857142857142857</v>
      </c>
      <c r="O571" s="1">
        <f t="shared" si="137"/>
        <v>0.39047619047619048</v>
      </c>
      <c r="P571" s="1">
        <f t="shared" si="138"/>
        <v>0.33333333333333331</v>
      </c>
      <c r="Q571" s="1">
        <f t="shared" si="139"/>
        <v>1</v>
      </c>
      <c r="S571" s="1" t="s">
        <v>460</v>
      </c>
      <c r="T571" s="1">
        <f t="shared" si="140"/>
        <v>2.8583097523751523E-2</v>
      </c>
      <c r="U571" s="1">
        <f t="shared" si="141"/>
        <v>2.9741067099976388E-2</v>
      </c>
      <c r="V571" s="1">
        <f t="shared" si="142"/>
        <v>2.1049588063526574E-2</v>
      </c>
      <c r="W571" s="1">
        <f t="shared" si="143"/>
        <v>4.0360367639778717E-2</v>
      </c>
      <c r="Y571" s="1" t="s">
        <v>460</v>
      </c>
      <c r="Z571" s="1">
        <f t="shared" si="144"/>
        <v>8.5749292571254566E-3</v>
      </c>
      <c r="AA571" s="1">
        <f t="shared" si="145"/>
        <v>5.9482134199952781E-3</v>
      </c>
      <c r="AB571" s="1">
        <f t="shared" si="146"/>
        <v>6.314876419057972E-3</v>
      </c>
      <c r="AC571" s="1">
        <f t="shared" si="147"/>
        <v>8.0720735279557441E-3</v>
      </c>
      <c r="AK571" s="17" t="s">
        <v>1160</v>
      </c>
      <c r="AL571" s="17">
        <f t="shared" si="148"/>
        <v>2.3497888697158305E-2</v>
      </c>
      <c r="AM571" s="17">
        <f t="shared" si="149"/>
        <v>1.6419426815388546E-2</v>
      </c>
      <c r="AO571" s="17" t="s">
        <v>1872</v>
      </c>
      <c r="AP571" s="17">
        <f t="shared" si="150"/>
        <v>0.71518121886414454</v>
      </c>
      <c r="AR571" s="1" t="s">
        <v>460</v>
      </c>
      <c r="AS571" s="17">
        <f t="shared" si="151"/>
        <v>0.71518121886414454</v>
      </c>
      <c r="AT571" s="17">
        <f t="shared" si="152"/>
        <v>334</v>
      </c>
    </row>
    <row r="572" spans="6:46" x14ac:dyDescent="0.3">
      <c r="F572" s="1">
        <v>570</v>
      </c>
      <c r="G572" s="1" t="s">
        <v>460</v>
      </c>
      <c r="H572" s="1">
        <v>1</v>
      </c>
      <c r="I572" s="1">
        <v>80</v>
      </c>
      <c r="J572" s="1">
        <v>2</v>
      </c>
      <c r="K572" s="1">
        <v>3</v>
      </c>
      <c r="M572" s="1" t="s">
        <v>460</v>
      </c>
      <c r="N572" s="1">
        <f t="shared" si="136"/>
        <v>0.14285714285714285</v>
      </c>
      <c r="O572" s="1">
        <f t="shared" si="137"/>
        <v>0.76190476190476186</v>
      </c>
      <c r="P572" s="1">
        <f t="shared" si="138"/>
        <v>0.5</v>
      </c>
      <c r="Q572" s="1">
        <f t="shared" si="139"/>
        <v>1</v>
      </c>
      <c r="S572" s="1" t="s">
        <v>460</v>
      </c>
      <c r="T572" s="1">
        <f t="shared" si="140"/>
        <v>1.4291548761875762E-2</v>
      </c>
      <c r="U572" s="1">
        <f t="shared" si="141"/>
        <v>5.8031350438978314E-2</v>
      </c>
      <c r="V572" s="1">
        <f t="shared" si="142"/>
        <v>3.1574382095289864E-2</v>
      </c>
      <c r="W572" s="1">
        <f t="shared" si="143"/>
        <v>4.0360367639778717E-2</v>
      </c>
      <c r="Y572" s="1" t="s">
        <v>460</v>
      </c>
      <c r="Z572" s="1">
        <f t="shared" si="144"/>
        <v>4.2874646285627283E-3</v>
      </c>
      <c r="AA572" s="1">
        <f t="shared" si="145"/>
        <v>1.1606270087795663E-2</v>
      </c>
      <c r="AB572" s="1">
        <f t="shared" si="146"/>
        <v>9.4723146285869593E-3</v>
      </c>
      <c r="AC572" s="1">
        <f t="shared" si="147"/>
        <v>8.0720735279557441E-3</v>
      </c>
      <c r="AK572" s="17" t="s">
        <v>1161</v>
      </c>
      <c r="AL572" s="17">
        <f t="shared" si="148"/>
        <v>2.6593616684865082E-2</v>
      </c>
      <c r="AM572" s="17">
        <f t="shared" si="149"/>
        <v>1.4417730564560586E-2</v>
      </c>
      <c r="AO572" s="17" t="s">
        <v>1873</v>
      </c>
      <c r="AP572" s="17">
        <f t="shared" si="150"/>
        <v>0.55656777865358131</v>
      </c>
      <c r="AR572" s="1" t="s">
        <v>460</v>
      </c>
      <c r="AS572" s="17">
        <f t="shared" si="151"/>
        <v>0.55656777865358131</v>
      </c>
      <c r="AT572" s="17">
        <f t="shared" si="152"/>
        <v>506</v>
      </c>
    </row>
    <row r="573" spans="6:46" x14ac:dyDescent="0.3">
      <c r="F573" s="1">
        <v>571</v>
      </c>
      <c r="G573" s="1" t="s">
        <v>461</v>
      </c>
      <c r="H573" s="1">
        <v>2</v>
      </c>
      <c r="I573" s="1">
        <v>60</v>
      </c>
      <c r="J573" s="1">
        <v>2</v>
      </c>
      <c r="K573" s="1">
        <v>3</v>
      </c>
      <c r="M573" s="1" t="s">
        <v>461</v>
      </c>
      <c r="N573" s="1">
        <f t="shared" si="136"/>
        <v>0.2857142857142857</v>
      </c>
      <c r="O573" s="1">
        <f t="shared" si="137"/>
        <v>0.5714285714285714</v>
      </c>
      <c r="P573" s="1">
        <f t="shared" si="138"/>
        <v>0.5</v>
      </c>
      <c r="Q573" s="1">
        <f t="shared" si="139"/>
        <v>1</v>
      </c>
      <c r="S573" s="1" t="s">
        <v>461</v>
      </c>
      <c r="T573" s="1">
        <f t="shared" si="140"/>
        <v>2.8583097523751523E-2</v>
      </c>
      <c r="U573" s="1">
        <f t="shared" si="141"/>
        <v>4.3523512829233738E-2</v>
      </c>
      <c r="V573" s="1">
        <f t="shared" si="142"/>
        <v>3.1574382095289864E-2</v>
      </c>
      <c r="W573" s="1">
        <f t="shared" si="143"/>
        <v>4.0360367639778717E-2</v>
      </c>
      <c r="Y573" s="1" t="s">
        <v>461</v>
      </c>
      <c r="Z573" s="1">
        <f t="shared" si="144"/>
        <v>8.5749292571254566E-3</v>
      </c>
      <c r="AA573" s="1">
        <f t="shared" si="145"/>
        <v>8.7047025658467479E-3</v>
      </c>
      <c r="AB573" s="1">
        <f t="shared" si="146"/>
        <v>9.4723146285869593E-3</v>
      </c>
      <c r="AC573" s="1">
        <f t="shared" si="147"/>
        <v>8.0720735279557441E-3</v>
      </c>
      <c r="AK573" s="17" t="s">
        <v>1162</v>
      </c>
      <c r="AL573" s="17">
        <f t="shared" si="148"/>
        <v>2.3118853676687635E-2</v>
      </c>
      <c r="AM573" s="17">
        <f t="shared" si="149"/>
        <v>1.4919998721532653E-2</v>
      </c>
      <c r="AO573" s="17" t="s">
        <v>1874</v>
      </c>
      <c r="AP573" s="17">
        <f t="shared" si="150"/>
        <v>0.66028066107035555</v>
      </c>
      <c r="AR573" s="1" t="s">
        <v>461</v>
      </c>
      <c r="AS573" s="17">
        <f t="shared" si="151"/>
        <v>0.66028066107035555</v>
      </c>
      <c r="AT573" s="17">
        <f t="shared" si="152"/>
        <v>376</v>
      </c>
    </row>
    <row r="574" spans="6:46" x14ac:dyDescent="0.3">
      <c r="F574" s="1">
        <v>572</v>
      </c>
      <c r="G574" s="1" t="s">
        <v>461</v>
      </c>
      <c r="H574" s="1">
        <v>2</v>
      </c>
      <c r="I574" s="1">
        <v>48</v>
      </c>
      <c r="J574" s="1">
        <v>3</v>
      </c>
      <c r="K574" s="1">
        <v>3</v>
      </c>
      <c r="M574" s="1" t="s">
        <v>461</v>
      </c>
      <c r="N574" s="1">
        <f t="shared" si="136"/>
        <v>0.2857142857142857</v>
      </c>
      <c r="O574" s="1">
        <f t="shared" si="137"/>
        <v>0.45714285714285713</v>
      </c>
      <c r="P574" s="1">
        <f t="shared" si="138"/>
        <v>0.33333333333333331</v>
      </c>
      <c r="Q574" s="1">
        <f t="shared" si="139"/>
        <v>1</v>
      </c>
      <c r="S574" s="1" t="s">
        <v>461</v>
      </c>
      <c r="T574" s="1">
        <f t="shared" si="140"/>
        <v>2.8583097523751523E-2</v>
      </c>
      <c r="U574" s="1">
        <f t="shared" si="141"/>
        <v>3.4818810263386991E-2</v>
      </c>
      <c r="V574" s="1">
        <f t="shared" si="142"/>
        <v>2.1049588063526574E-2</v>
      </c>
      <c r="W574" s="1">
        <f t="shared" si="143"/>
        <v>4.0360367639778717E-2</v>
      </c>
      <c r="Y574" s="1" t="s">
        <v>461</v>
      </c>
      <c r="Z574" s="1">
        <f t="shared" si="144"/>
        <v>8.5749292571254566E-3</v>
      </c>
      <c r="AA574" s="1">
        <f t="shared" si="145"/>
        <v>6.963762052677399E-3</v>
      </c>
      <c r="AB574" s="1">
        <f t="shared" si="146"/>
        <v>6.314876419057972E-3</v>
      </c>
      <c r="AC574" s="1">
        <f t="shared" si="147"/>
        <v>8.0720735279557441E-3</v>
      </c>
      <c r="AK574" s="17" t="s">
        <v>1163</v>
      </c>
      <c r="AL574" s="17">
        <f t="shared" si="148"/>
        <v>2.3115435135429789E-2</v>
      </c>
      <c r="AM574" s="17">
        <f t="shared" si="149"/>
        <v>1.6620096676535551E-2</v>
      </c>
      <c r="AO574" s="17" t="s">
        <v>1875</v>
      </c>
      <c r="AP574" s="17">
        <f t="shared" si="150"/>
        <v>0.73562437148948856</v>
      </c>
      <c r="AR574" s="1" t="s">
        <v>461</v>
      </c>
      <c r="AS574" s="17">
        <f t="shared" si="151"/>
        <v>0.73562437148948856</v>
      </c>
      <c r="AT574" s="17">
        <f t="shared" si="152"/>
        <v>325</v>
      </c>
    </row>
    <row r="575" spans="6:46" x14ac:dyDescent="0.3">
      <c r="F575" s="1">
        <v>573</v>
      </c>
      <c r="G575" s="1" t="s">
        <v>258</v>
      </c>
      <c r="H575" s="1">
        <v>2</v>
      </c>
      <c r="I575" s="1">
        <v>28</v>
      </c>
      <c r="J575" s="1">
        <v>2</v>
      </c>
      <c r="K575" s="1">
        <v>3</v>
      </c>
      <c r="M575" s="1" t="s">
        <v>258</v>
      </c>
      <c r="N575" s="1">
        <f t="shared" si="136"/>
        <v>0.2857142857142857</v>
      </c>
      <c r="O575" s="1">
        <f t="shared" si="137"/>
        <v>0.26666666666666666</v>
      </c>
      <c r="P575" s="1">
        <f t="shared" si="138"/>
        <v>0.5</v>
      </c>
      <c r="Q575" s="1">
        <f t="shared" si="139"/>
        <v>1</v>
      </c>
      <c r="S575" s="1" t="s">
        <v>258</v>
      </c>
      <c r="T575" s="1">
        <f t="shared" si="140"/>
        <v>2.8583097523751523E-2</v>
      </c>
      <c r="U575" s="1">
        <f t="shared" si="141"/>
        <v>2.0310972653642411E-2</v>
      </c>
      <c r="V575" s="1">
        <f t="shared" si="142"/>
        <v>3.1574382095289864E-2</v>
      </c>
      <c r="W575" s="1">
        <f t="shared" si="143"/>
        <v>4.0360367639778717E-2</v>
      </c>
      <c r="Y575" s="1" t="s">
        <v>258</v>
      </c>
      <c r="Z575" s="1">
        <f t="shared" si="144"/>
        <v>8.5749292571254566E-3</v>
      </c>
      <c r="AA575" s="1">
        <f t="shared" si="145"/>
        <v>4.0621945307284827E-3</v>
      </c>
      <c r="AB575" s="1">
        <f t="shared" si="146"/>
        <v>9.4723146285869593E-3</v>
      </c>
      <c r="AC575" s="1">
        <f t="shared" si="147"/>
        <v>8.0720735279557441E-3</v>
      </c>
      <c r="AK575" s="17" t="s">
        <v>1164</v>
      </c>
      <c r="AL575" s="17">
        <f t="shared" si="148"/>
        <v>2.4832473771014402E-2</v>
      </c>
      <c r="AM575" s="17">
        <f t="shared" si="149"/>
        <v>1.3891405640659505E-2</v>
      </c>
      <c r="AO575" s="17" t="s">
        <v>1876</v>
      </c>
      <c r="AP575" s="17">
        <f t="shared" si="150"/>
        <v>0.57329623049843059</v>
      </c>
      <c r="AR575" s="1" t="s">
        <v>258</v>
      </c>
      <c r="AS575" s="17">
        <f t="shared" si="151"/>
        <v>0.57329623049843059</v>
      </c>
      <c r="AT575" s="17">
        <f t="shared" si="152"/>
        <v>484</v>
      </c>
    </row>
    <row r="576" spans="6:46" x14ac:dyDescent="0.3">
      <c r="F576" s="1">
        <v>574</v>
      </c>
      <c r="G576" s="1" t="s">
        <v>462</v>
      </c>
      <c r="H576" s="1">
        <v>2</v>
      </c>
      <c r="I576" s="1">
        <v>59</v>
      </c>
      <c r="J576" s="1">
        <v>2</v>
      </c>
      <c r="K576" s="1">
        <v>3</v>
      </c>
      <c r="M576" s="1" t="s">
        <v>462</v>
      </c>
      <c r="N576" s="1">
        <f t="shared" si="136"/>
        <v>0.2857142857142857</v>
      </c>
      <c r="O576" s="1">
        <f t="shared" si="137"/>
        <v>0.56190476190476191</v>
      </c>
      <c r="P576" s="1">
        <f t="shared" si="138"/>
        <v>0.5</v>
      </c>
      <c r="Q576" s="1">
        <f t="shared" si="139"/>
        <v>1</v>
      </c>
      <c r="S576" s="1" t="s">
        <v>462</v>
      </c>
      <c r="T576" s="1">
        <f t="shared" si="140"/>
        <v>2.8583097523751523E-2</v>
      </c>
      <c r="U576" s="1">
        <f t="shared" si="141"/>
        <v>4.2798120948746507E-2</v>
      </c>
      <c r="V576" s="1">
        <f t="shared" si="142"/>
        <v>3.1574382095289864E-2</v>
      </c>
      <c r="W576" s="1">
        <f t="shared" si="143"/>
        <v>4.0360367639778717E-2</v>
      </c>
      <c r="Y576" s="1" t="s">
        <v>462</v>
      </c>
      <c r="Z576" s="1">
        <f t="shared" si="144"/>
        <v>8.5749292571254566E-3</v>
      </c>
      <c r="AA576" s="1">
        <f t="shared" si="145"/>
        <v>8.5596241897493014E-3</v>
      </c>
      <c r="AB576" s="1">
        <f t="shared" si="146"/>
        <v>9.4723146285869593E-3</v>
      </c>
      <c r="AC576" s="1">
        <f t="shared" si="147"/>
        <v>8.0720735279557441E-3</v>
      </c>
      <c r="AK576" s="17" t="s">
        <v>1165</v>
      </c>
      <c r="AL576" s="17">
        <f t="shared" si="148"/>
        <v>2.3160240482954855E-2</v>
      </c>
      <c r="AM576" s="17">
        <f t="shared" si="149"/>
        <v>1.486700311796919E-2</v>
      </c>
      <c r="AO576" s="17" t="s">
        <v>1877</v>
      </c>
      <c r="AP576" s="17">
        <f t="shared" si="150"/>
        <v>0.65678620637109586</v>
      </c>
      <c r="AR576" s="1" t="s">
        <v>462</v>
      </c>
      <c r="AS576" s="17">
        <f t="shared" si="151"/>
        <v>0.65678620637109586</v>
      </c>
      <c r="AT576" s="17">
        <f t="shared" si="152"/>
        <v>380</v>
      </c>
    </row>
    <row r="577" spans="6:46" x14ac:dyDescent="0.3">
      <c r="F577" s="1">
        <v>575</v>
      </c>
      <c r="G577" s="1" t="s">
        <v>463</v>
      </c>
      <c r="H577" s="1">
        <v>0</v>
      </c>
      <c r="I577" s="1">
        <v>23</v>
      </c>
      <c r="J577" s="1">
        <v>1</v>
      </c>
      <c r="K577" s="1">
        <v>1</v>
      </c>
      <c r="M577" s="1" t="s">
        <v>463</v>
      </c>
      <c r="N577" s="1">
        <f t="shared" si="136"/>
        <v>0</v>
      </c>
      <c r="O577" s="1">
        <f t="shared" si="137"/>
        <v>0.21904761904761905</v>
      </c>
      <c r="P577" s="1">
        <f t="shared" si="138"/>
        <v>1</v>
      </c>
      <c r="Q577" s="1">
        <f t="shared" si="139"/>
        <v>0.33333333333333331</v>
      </c>
      <c r="S577" s="1" t="s">
        <v>463</v>
      </c>
      <c r="T577" s="1">
        <f t="shared" si="140"/>
        <v>0</v>
      </c>
      <c r="U577" s="1">
        <f t="shared" si="141"/>
        <v>1.6684013251206265E-2</v>
      </c>
      <c r="V577" s="1">
        <f t="shared" si="142"/>
        <v>6.3148764190579729E-2</v>
      </c>
      <c r="W577" s="1">
        <f t="shared" si="143"/>
        <v>1.3453455879926239E-2</v>
      </c>
      <c r="Y577" s="1" t="s">
        <v>463</v>
      </c>
      <c r="Z577" s="1">
        <f t="shared" si="144"/>
        <v>0</v>
      </c>
      <c r="AA577" s="1">
        <f t="shared" si="145"/>
        <v>3.336802650241253E-3</v>
      </c>
      <c r="AB577" s="1">
        <f t="shared" si="146"/>
        <v>1.8944629257173919E-2</v>
      </c>
      <c r="AC577" s="1">
        <f t="shared" si="147"/>
        <v>2.6906911759852479E-3</v>
      </c>
      <c r="AK577" s="17" t="s">
        <v>1166</v>
      </c>
      <c r="AL577" s="17">
        <f t="shared" si="148"/>
        <v>3.6068197728992925E-2</v>
      </c>
      <c r="AM577" s="17">
        <f t="shared" si="149"/>
        <v>1.4507837609744516E-4</v>
      </c>
      <c r="AO577" s="17" t="s">
        <v>1878</v>
      </c>
      <c r="AP577" s="17">
        <f t="shared" si="150"/>
        <v>4.1674134311375233E-3</v>
      </c>
      <c r="AR577" s="1" t="s">
        <v>463</v>
      </c>
      <c r="AS577" s="17">
        <f t="shared" si="151"/>
        <v>4.1674134311375233E-3</v>
      </c>
      <c r="AT577" s="17">
        <f t="shared" si="152"/>
        <v>710</v>
      </c>
    </row>
    <row r="578" spans="6:46" x14ac:dyDescent="0.3">
      <c r="F578" s="1">
        <v>576</v>
      </c>
      <c r="G578" s="1" t="s">
        <v>464</v>
      </c>
      <c r="H578" s="1">
        <v>3</v>
      </c>
      <c r="I578" s="1">
        <v>48</v>
      </c>
      <c r="J578" s="1">
        <v>2</v>
      </c>
      <c r="K578" s="1">
        <v>3</v>
      </c>
      <c r="M578" s="1" t="s">
        <v>464</v>
      </c>
      <c r="N578" s="1">
        <f t="shared" si="136"/>
        <v>0.42857142857142855</v>
      </c>
      <c r="O578" s="1">
        <f t="shared" si="137"/>
        <v>0.45714285714285713</v>
      </c>
      <c r="P578" s="1">
        <f t="shared" si="138"/>
        <v>0.5</v>
      </c>
      <c r="Q578" s="1">
        <f t="shared" si="139"/>
        <v>1</v>
      </c>
      <c r="S578" s="1" t="s">
        <v>464</v>
      </c>
      <c r="T578" s="1">
        <f t="shared" si="140"/>
        <v>4.2874646285627281E-2</v>
      </c>
      <c r="U578" s="1">
        <f t="shared" si="141"/>
        <v>3.4818810263386991E-2</v>
      </c>
      <c r="V578" s="1">
        <f t="shared" si="142"/>
        <v>3.1574382095289864E-2</v>
      </c>
      <c r="W578" s="1">
        <f t="shared" si="143"/>
        <v>4.0360367639778717E-2</v>
      </c>
      <c r="Y578" s="1" t="s">
        <v>464</v>
      </c>
      <c r="Z578" s="1">
        <f t="shared" si="144"/>
        <v>1.2862393885688184E-2</v>
      </c>
      <c r="AA578" s="1">
        <f t="shared" si="145"/>
        <v>6.963762052677399E-3</v>
      </c>
      <c r="AB578" s="1">
        <f t="shared" si="146"/>
        <v>9.4723146285869593E-3</v>
      </c>
      <c r="AC578" s="1">
        <f t="shared" si="147"/>
        <v>8.0720735279557441E-3</v>
      </c>
      <c r="AK578" s="17" t="s">
        <v>1167</v>
      </c>
      <c r="AL578" s="17">
        <f t="shared" si="148"/>
        <v>1.9869641334253032E-2</v>
      </c>
      <c r="AM578" s="17">
        <f t="shared" si="149"/>
        <v>1.727291133290261E-2</v>
      </c>
      <c r="AO578" s="17" t="s">
        <v>1879</v>
      </c>
      <c r="AP578" s="17">
        <f t="shared" si="150"/>
        <v>0.88658459352849661</v>
      </c>
      <c r="AR578" s="1" t="s">
        <v>464</v>
      </c>
      <c r="AS578" s="17">
        <f t="shared" si="151"/>
        <v>0.88658459352849661</v>
      </c>
      <c r="AT578" s="17">
        <f t="shared" si="152"/>
        <v>191</v>
      </c>
    </row>
    <row r="579" spans="6:46" x14ac:dyDescent="0.3">
      <c r="F579" s="1">
        <v>577</v>
      </c>
      <c r="G579" s="1" t="s">
        <v>464</v>
      </c>
      <c r="H579" s="1">
        <v>7</v>
      </c>
      <c r="I579" s="1">
        <v>56</v>
      </c>
      <c r="J579" s="1">
        <v>2</v>
      </c>
      <c r="K579" s="1">
        <v>3</v>
      </c>
      <c r="M579" s="1" t="s">
        <v>464</v>
      </c>
      <c r="N579" s="1">
        <f t="shared" si="136"/>
        <v>1</v>
      </c>
      <c r="O579" s="1">
        <f t="shared" si="137"/>
        <v>0.53333333333333333</v>
      </c>
      <c r="P579" s="1">
        <f t="shared" si="138"/>
        <v>0.5</v>
      </c>
      <c r="Q579" s="1">
        <f t="shared" si="139"/>
        <v>1</v>
      </c>
      <c r="S579" s="1" t="s">
        <v>464</v>
      </c>
      <c r="T579" s="1">
        <f t="shared" si="140"/>
        <v>0.10004084133313033</v>
      </c>
      <c r="U579" s="1">
        <f t="shared" si="141"/>
        <v>4.0621945307284822E-2</v>
      </c>
      <c r="V579" s="1">
        <f t="shared" si="142"/>
        <v>3.1574382095289864E-2</v>
      </c>
      <c r="W579" s="1">
        <f t="shared" si="143"/>
        <v>4.0360367639778717E-2</v>
      </c>
      <c r="Y579" s="1" t="s">
        <v>464</v>
      </c>
      <c r="Z579" s="1">
        <f t="shared" si="144"/>
        <v>3.0012252399939099E-2</v>
      </c>
      <c r="AA579" s="1">
        <f t="shared" si="145"/>
        <v>8.1243890614569655E-3</v>
      </c>
      <c r="AB579" s="1">
        <f t="shared" si="146"/>
        <v>9.4723146285869593E-3</v>
      </c>
      <c r="AC579" s="1">
        <f t="shared" si="147"/>
        <v>8.0720735279557441E-3</v>
      </c>
      <c r="AK579" s="17" t="s">
        <v>1168</v>
      </c>
      <c r="AL579" s="17">
        <f t="shared" si="148"/>
        <v>9.1014570390703375E-3</v>
      </c>
      <c r="AM579" s="17">
        <f t="shared" si="149"/>
        <v>3.2307127641786594E-2</v>
      </c>
      <c r="AO579" s="17" t="s">
        <v>1880</v>
      </c>
      <c r="AP579" s="17">
        <f t="shared" si="150"/>
        <v>3.5819725826453062</v>
      </c>
      <c r="AR579" s="1" t="s">
        <v>464</v>
      </c>
      <c r="AS579" s="17">
        <f t="shared" si="151"/>
        <v>3.5819725826453062</v>
      </c>
      <c r="AT579" s="17">
        <f t="shared" si="152"/>
        <v>2</v>
      </c>
    </row>
    <row r="580" spans="6:46" x14ac:dyDescent="0.3">
      <c r="F580" s="1">
        <v>578</v>
      </c>
      <c r="G580" s="1" t="s">
        <v>465</v>
      </c>
      <c r="H580" s="1">
        <v>4</v>
      </c>
      <c r="I580" s="1">
        <v>38</v>
      </c>
      <c r="J580" s="1">
        <v>2</v>
      </c>
      <c r="K580" s="1">
        <v>3</v>
      </c>
      <c r="M580" s="1" t="s">
        <v>465</v>
      </c>
      <c r="N580" s="1">
        <f t="shared" ref="N580:N643" si="153">H580/MAX($H$3:$H$712)</f>
        <v>0.5714285714285714</v>
      </c>
      <c r="O580" s="1">
        <f t="shared" ref="O580:O643" si="154">I580/MAX($I$3:$I$712)</f>
        <v>0.3619047619047619</v>
      </c>
      <c r="P580" s="1">
        <f t="shared" ref="P580:P643" si="155">MIN($J$3:$J$712)/J580</f>
        <v>0.5</v>
      </c>
      <c r="Q580" s="1">
        <f t="shared" ref="Q580:Q643" si="156">K580/MAX($K$3:$K$712)</f>
        <v>1</v>
      </c>
      <c r="S580" s="1" t="s">
        <v>465</v>
      </c>
      <c r="T580" s="1">
        <f t="shared" ref="T580:T643" si="157">N580/SQRT(SUMSQ($N$3:$N$712))</f>
        <v>5.7166195047503046E-2</v>
      </c>
      <c r="U580" s="1">
        <f t="shared" ref="U580:U643" si="158">O580/SQRT(SUMSQ($O$3:$O$712))</f>
        <v>2.75648914585147E-2</v>
      </c>
      <c r="V580" s="1">
        <f t="shared" ref="V580:V643" si="159">P580/SQRT(SUMSQ($P$3:$P$712))</f>
        <v>3.1574382095289864E-2</v>
      </c>
      <c r="W580" s="1">
        <f t="shared" ref="W580:W643" si="160">Q580/SQRT(SUMSQ($Q$3:$Q$712))</f>
        <v>4.0360367639778717E-2</v>
      </c>
      <c r="Y580" s="1" t="s">
        <v>465</v>
      </c>
      <c r="Z580" s="1">
        <f t="shared" ref="Z580:Z643" si="161">T580*$D$3</f>
        <v>1.7149858514250913E-2</v>
      </c>
      <c r="AA580" s="1">
        <f t="shared" ref="AA580:AA643" si="162">U580*$D$4</f>
        <v>5.5129782917029404E-3</v>
      </c>
      <c r="AB580" s="1">
        <f t="shared" ref="AB580:AB643" si="163">V580*$D$5</f>
        <v>9.4723146285869593E-3</v>
      </c>
      <c r="AC580" s="1">
        <f t="shared" ref="AC580:AC643" si="164">W580*$D$6</f>
        <v>8.0720735279557441E-3</v>
      </c>
      <c r="AK580" s="17" t="s">
        <v>1169</v>
      </c>
      <c r="AL580" s="17">
        <f t="shared" ref="AL580:AL643" si="165">SQRT( ($AF$3-Z580)^2 + ($AG$3-AA580)^2 + ($AH$3-AB580)^2 + ($AI$3-AC580)^2 )</f>
        <v>1.7094600545942865E-2</v>
      </c>
      <c r="AM580" s="17">
        <f t="shared" ref="AM580:AM643" si="166">SQRT( (Z580-$AF$4)^2 + (AA580-$AG$4)^2 + (AB580-$AH$4)^2 + (AC580-$AI$4)^2 )</f>
        <v>2.0449691628821716E-2</v>
      </c>
      <c r="AO580" s="17" t="s">
        <v>1881</v>
      </c>
      <c r="AP580" s="17">
        <f t="shared" ref="AP580:AP643" si="167">AM580/AL580+AM580</f>
        <v>1.2167158210339413</v>
      </c>
      <c r="AR580" s="1" t="s">
        <v>465</v>
      </c>
      <c r="AS580" s="17">
        <f t="shared" ref="AS580:AS643" si="168">AP580</f>
        <v>1.2167158210339413</v>
      </c>
      <c r="AT580" s="17">
        <f t="shared" ref="AT580:AT643" si="169">RANK(AS580,$AS$3:$AS$712,0)</f>
        <v>82</v>
      </c>
    </row>
    <row r="581" spans="6:46" x14ac:dyDescent="0.3">
      <c r="F581" s="1">
        <v>579</v>
      </c>
      <c r="G581" s="1" t="s">
        <v>466</v>
      </c>
      <c r="H581" s="1">
        <v>2</v>
      </c>
      <c r="I581" s="1">
        <v>36</v>
      </c>
      <c r="J581" s="1">
        <v>2</v>
      </c>
      <c r="K581" s="1">
        <v>3</v>
      </c>
      <c r="M581" s="1" t="s">
        <v>466</v>
      </c>
      <c r="N581" s="1">
        <f t="shared" si="153"/>
        <v>0.2857142857142857</v>
      </c>
      <c r="O581" s="1">
        <f t="shared" si="154"/>
        <v>0.34285714285714286</v>
      </c>
      <c r="P581" s="1">
        <f t="shared" si="155"/>
        <v>0.5</v>
      </c>
      <c r="Q581" s="1">
        <f t="shared" si="156"/>
        <v>1</v>
      </c>
      <c r="S581" s="1" t="s">
        <v>466</v>
      </c>
      <c r="T581" s="1">
        <f t="shared" si="157"/>
        <v>2.8583097523751523E-2</v>
      </c>
      <c r="U581" s="1">
        <f t="shared" si="158"/>
        <v>2.6114107697540242E-2</v>
      </c>
      <c r="V581" s="1">
        <f t="shared" si="159"/>
        <v>3.1574382095289864E-2</v>
      </c>
      <c r="W581" s="1">
        <f t="shared" si="160"/>
        <v>4.0360367639778717E-2</v>
      </c>
      <c r="Y581" s="1" t="s">
        <v>466</v>
      </c>
      <c r="Z581" s="1">
        <f t="shared" si="161"/>
        <v>8.5749292571254566E-3</v>
      </c>
      <c r="AA581" s="1">
        <f t="shared" si="162"/>
        <v>5.2228215395080484E-3</v>
      </c>
      <c r="AB581" s="1">
        <f t="shared" si="163"/>
        <v>9.4723146285869593E-3</v>
      </c>
      <c r="AC581" s="1">
        <f t="shared" si="164"/>
        <v>8.0720735279557441E-3</v>
      </c>
      <c r="AK581" s="17" t="s">
        <v>1170</v>
      </c>
      <c r="AL581" s="17">
        <f t="shared" si="165"/>
        <v>2.4332447449066569E-2</v>
      </c>
      <c r="AM581" s="17">
        <f t="shared" si="166"/>
        <v>1.4012094358343375E-2</v>
      </c>
      <c r="AO581" s="17" t="s">
        <v>1882</v>
      </c>
      <c r="AP581" s="17">
        <f t="shared" si="167"/>
        <v>0.58987255342946332</v>
      </c>
      <c r="AR581" s="1" t="s">
        <v>466</v>
      </c>
      <c r="AS581" s="17">
        <f t="shared" si="168"/>
        <v>0.58987255342946332</v>
      </c>
      <c r="AT581" s="17">
        <f t="shared" si="169"/>
        <v>453</v>
      </c>
    </row>
    <row r="582" spans="6:46" x14ac:dyDescent="0.3">
      <c r="F582" s="1">
        <v>580</v>
      </c>
      <c r="G582" s="1" t="s">
        <v>467</v>
      </c>
      <c r="H582" s="1">
        <v>2</v>
      </c>
      <c r="I582" s="1">
        <v>63</v>
      </c>
      <c r="J582" s="1">
        <v>2</v>
      </c>
      <c r="K582" s="1">
        <v>3</v>
      </c>
      <c r="M582" s="1" t="s">
        <v>467</v>
      </c>
      <c r="N582" s="1">
        <f t="shared" si="153"/>
        <v>0.2857142857142857</v>
      </c>
      <c r="O582" s="1">
        <f t="shared" si="154"/>
        <v>0.6</v>
      </c>
      <c r="P582" s="1">
        <f t="shared" si="155"/>
        <v>0.5</v>
      </c>
      <c r="Q582" s="1">
        <f t="shared" si="156"/>
        <v>1</v>
      </c>
      <c r="S582" s="1" t="s">
        <v>467</v>
      </c>
      <c r="T582" s="1">
        <f t="shared" si="157"/>
        <v>2.8583097523751523E-2</v>
      </c>
      <c r="U582" s="1">
        <f t="shared" si="158"/>
        <v>4.5699688470695422E-2</v>
      </c>
      <c r="V582" s="1">
        <f t="shared" si="159"/>
        <v>3.1574382095289864E-2</v>
      </c>
      <c r="W582" s="1">
        <f t="shared" si="160"/>
        <v>4.0360367639778717E-2</v>
      </c>
      <c r="Y582" s="1" t="s">
        <v>467</v>
      </c>
      <c r="Z582" s="1">
        <f t="shared" si="161"/>
        <v>8.5749292571254566E-3</v>
      </c>
      <c r="AA582" s="1">
        <f t="shared" si="162"/>
        <v>9.1399376941390855E-3</v>
      </c>
      <c r="AB582" s="1">
        <f t="shared" si="163"/>
        <v>9.4723146285869593E-3</v>
      </c>
      <c r="AC582" s="1">
        <f t="shared" si="164"/>
        <v>8.0720735279557441E-3</v>
      </c>
      <c r="AK582" s="17" t="s">
        <v>1171</v>
      </c>
      <c r="AL582" s="17">
        <f t="shared" si="165"/>
        <v>2.2999737747070152E-2</v>
      </c>
      <c r="AM582" s="17">
        <f t="shared" si="166"/>
        <v>1.5086241251403879E-2</v>
      </c>
      <c r="AO582" s="17" t="s">
        <v>1883</v>
      </c>
      <c r="AP582" s="17">
        <f t="shared" si="167"/>
        <v>0.67101725304416482</v>
      </c>
      <c r="AR582" s="1" t="s">
        <v>467</v>
      </c>
      <c r="AS582" s="17">
        <f t="shared" si="168"/>
        <v>0.67101725304416482</v>
      </c>
      <c r="AT582" s="17">
        <f t="shared" si="169"/>
        <v>367</v>
      </c>
    </row>
    <row r="583" spans="6:46" x14ac:dyDescent="0.3">
      <c r="F583" s="1">
        <v>581</v>
      </c>
      <c r="G583" s="1" t="s">
        <v>468</v>
      </c>
      <c r="H583" s="1">
        <v>3</v>
      </c>
      <c r="I583" s="1">
        <v>42</v>
      </c>
      <c r="J583" s="1">
        <v>2</v>
      </c>
      <c r="K583" s="1">
        <v>3</v>
      </c>
      <c r="M583" s="1" t="s">
        <v>468</v>
      </c>
      <c r="N583" s="1">
        <f t="shared" si="153"/>
        <v>0.42857142857142855</v>
      </c>
      <c r="O583" s="1">
        <f t="shared" si="154"/>
        <v>0.4</v>
      </c>
      <c r="P583" s="1">
        <f t="shared" si="155"/>
        <v>0.5</v>
      </c>
      <c r="Q583" s="1">
        <f t="shared" si="156"/>
        <v>1</v>
      </c>
      <c r="S583" s="1" t="s">
        <v>468</v>
      </c>
      <c r="T583" s="1">
        <f t="shared" si="157"/>
        <v>4.2874646285627281E-2</v>
      </c>
      <c r="U583" s="1">
        <f t="shared" si="158"/>
        <v>3.0466458980463618E-2</v>
      </c>
      <c r="V583" s="1">
        <f t="shared" si="159"/>
        <v>3.1574382095289864E-2</v>
      </c>
      <c r="W583" s="1">
        <f t="shared" si="160"/>
        <v>4.0360367639778717E-2</v>
      </c>
      <c r="Y583" s="1" t="s">
        <v>468</v>
      </c>
      <c r="Z583" s="1">
        <f t="shared" si="161"/>
        <v>1.2862393885688184E-2</v>
      </c>
      <c r="AA583" s="1">
        <f t="shared" si="162"/>
        <v>6.0932917960927237E-3</v>
      </c>
      <c r="AB583" s="1">
        <f t="shared" si="163"/>
        <v>9.4723146285869593E-3</v>
      </c>
      <c r="AC583" s="1">
        <f t="shared" si="164"/>
        <v>8.0720735279557441E-3</v>
      </c>
      <c r="AK583" s="17" t="s">
        <v>1172</v>
      </c>
      <c r="AL583" s="17">
        <f t="shared" si="165"/>
        <v>2.0247395291835158E-2</v>
      </c>
      <c r="AM583" s="17">
        <f t="shared" si="166"/>
        <v>1.7103926186582411E-2</v>
      </c>
      <c r="AO583" s="17" t="s">
        <v>1884</v>
      </c>
      <c r="AP583" s="17">
        <f t="shared" si="167"/>
        <v>0.86185091413518222</v>
      </c>
      <c r="AR583" s="1" t="s">
        <v>468</v>
      </c>
      <c r="AS583" s="17">
        <f t="shared" si="168"/>
        <v>0.86185091413518222</v>
      </c>
      <c r="AT583" s="17">
        <f t="shared" si="169"/>
        <v>232</v>
      </c>
    </row>
    <row r="584" spans="6:46" x14ac:dyDescent="0.3">
      <c r="F584" s="1">
        <v>582</v>
      </c>
      <c r="G584" s="1" t="s">
        <v>469</v>
      </c>
      <c r="H584" s="1">
        <v>3</v>
      </c>
      <c r="I584" s="1">
        <v>48</v>
      </c>
      <c r="J584" s="1">
        <v>2</v>
      </c>
      <c r="K584" s="1">
        <v>3</v>
      </c>
      <c r="M584" s="1" t="s">
        <v>469</v>
      </c>
      <c r="N584" s="1">
        <f t="shared" si="153"/>
        <v>0.42857142857142855</v>
      </c>
      <c r="O584" s="1">
        <f t="shared" si="154"/>
        <v>0.45714285714285713</v>
      </c>
      <c r="P584" s="1">
        <f t="shared" si="155"/>
        <v>0.5</v>
      </c>
      <c r="Q584" s="1">
        <f t="shared" si="156"/>
        <v>1</v>
      </c>
      <c r="S584" s="1" t="s">
        <v>469</v>
      </c>
      <c r="T584" s="1">
        <f t="shared" si="157"/>
        <v>4.2874646285627281E-2</v>
      </c>
      <c r="U584" s="1">
        <f t="shared" si="158"/>
        <v>3.4818810263386991E-2</v>
      </c>
      <c r="V584" s="1">
        <f t="shared" si="159"/>
        <v>3.1574382095289864E-2</v>
      </c>
      <c r="W584" s="1">
        <f t="shared" si="160"/>
        <v>4.0360367639778717E-2</v>
      </c>
      <c r="Y584" s="1" t="s">
        <v>469</v>
      </c>
      <c r="Z584" s="1">
        <f t="shared" si="161"/>
        <v>1.2862393885688184E-2</v>
      </c>
      <c r="AA584" s="1">
        <f t="shared" si="162"/>
        <v>6.963762052677399E-3</v>
      </c>
      <c r="AB584" s="1">
        <f t="shared" si="163"/>
        <v>9.4723146285869593E-3</v>
      </c>
      <c r="AC584" s="1">
        <f t="shared" si="164"/>
        <v>8.0720735279557441E-3</v>
      </c>
      <c r="AK584" s="17" t="s">
        <v>1173</v>
      </c>
      <c r="AL584" s="17">
        <f t="shared" si="165"/>
        <v>1.9869641334253032E-2</v>
      </c>
      <c r="AM584" s="17">
        <f t="shared" si="166"/>
        <v>1.727291133290261E-2</v>
      </c>
      <c r="AO584" s="17" t="s">
        <v>1885</v>
      </c>
      <c r="AP584" s="17">
        <f t="shared" si="167"/>
        <v>0.88658459352849661</v>
      </c>
      <c r="AR584" s="1" t="s">
        <v>469</v>
      </c>
      <c r="AS584" s="17">
        <f t="shared" si="168"/>
        <v>0.88658459352849661</v>
      </c>
      <c r="AT584" s="17">
        <f t="shared" si="169"/>
        <v>191</v>
      </c>
    </row>
    <row r="585" spans="6:46" x14ac:dyDescent="0.3">
      <c r="F585" s="1">
        <v>583</v>
      </c>
      <c r="G585" s="1" t="s">
        <v>393</v>
      </c>
      <c r="H585" s="1">
        <v>2</v>
      </c>
      <c r="I585" s="1">
        <v>44</v>
      </c>
      <c r="J585" s="1">
        <v>2</v>
      </c>
      <c r="K585" s="1">
        <v>3</v>
      </c>
      <c r="M585" s="1" t="s">
        <v>393</v>
      </c>
      <c r="N585" s="1">
        <f t="shared" si="153"/>
        <v>0.2857142857142857</v>
      </c>
      <c r="O585" s="1">
        <f t="shared" si="154"/>
        <v>0.41904761904761906</v>
      </c>
      <c r="P585" s="1">
        <f t="shared" si="155"/>
        <v>0.5</v>
      </c>
      <c r="Q585" s="1">
        <f t="shared" si="156"/>
        <v>1</v>
      </c>
      <c r="S585" s="1" t="s">
        <v>393</v>
      </c>
      <c r="T585" s="1">
        <f t="shared" si="157"/>
        <v>2.8583097523751523E-2</v>
      </c>
      <c r="U585" s="1">
        <f t="shared" si="158"/>
        <v>3.1917242741438076E-2</v>
      </c>
      <c r="V585" s="1">
        <f t="shared" si="159"/>
        <v>3.1574382095289864E-2</v>
      </c>
      <c r="W585" s="1">
        <f t="shared" si="160"/>
        <v>4.0360367639778717E-2</v>
      </c>
      <c r="Y585" s="1" t="s">
        <v>393</v>
      </c>
      <c r="Z585" s="1">
        <f t="shared" si="161"/>
        <v>8.5749292571254566E-3</v>
      </c>
      <c r="AA585" s="1">
        <f t="shared" si="162"/>
        <v>6.3834485482876157E-3</v>
      </c>
      <c r="AB585" s="1">
        <f t="shared" si="163"/>
        <v>9.4723146285869593E-3</v>
      </c>
      <c r="AC585" s="1">
        <f t="shared" si="164"/>
        <v>8.0720735279557441E-3</v>
      </c>
      <c r="AK585" s="17" t="s">
        <v>1174</v>
      </c>
      <c r="AL585" s="17">
        <f t="shared" si="165"/>
        <v>2.387840769905044E-2</v>
      </c>
      <c r="AM585" s="17">
        <f t="shared" si="166"/>
        <v>1.4226754234466376E-2</v>
      </c>
      <c r="AO585" s="17" t="s">
        <v>1886</v>
      </c>
      <c r="AP585" s="17">
        <f t="shared" si="167"/>
        <v>0.61002670931405589</v>
      </c>
      <c r="AR585" s="1" t="s">
        <v>393</v>
      </c>
      <c r="AS585" s="17">
        <f t="shared" si="168"/>
        <v>0.61002670931405589</v>
      </c>
      <c r="AT585" s="17">
        <f t="shared" si="169"/>
        <v>421</v>
      </c>
    </row>
    <row r="586" spans="6:46" x14ac:dyDescent="0.3">
      <c r="F586" s="1">
        <v>584</v>
      </c>
      <c r="G586" s="1" t="s">
        <v>125</v>
      </c>
      <c r="H586" s="1">
        <v>3</v>
      </c>
      <c r="I586" s="1">
        <v>47</v>
      </c>
      <c r="J586" s="1">
        <v>2</v>
      </c>
      <c r="K586" s="1">
        <v>3</v>
      </c>
      <c r="M586" s="1" t="s">
        <v>125</v>
      </c>
      <c r="N586" s="1">
        <f t="shared" si="153"/>
        <v>0.42857142857142855</v>
      </c>
      <c r="O586" s="1">
        <f t="shared" si="154"/>
        <v>0.44761904761904764</v>
      </c>
      <c r="P586" s="1">
        <f t="shared" si="155"/>
        <v>0.5</v>
      </c>
      <c r="Q586" s="1">
        <f t="shared" si="156"/>
        <v>1</v>
      </c>
      <c r="S586" s="1" t="s">
        <v>125</v>
      </c>
      <c r="T586" s="1">
        <f t="shared" si="157"/>
        <v>4.2874646285627281E-2</v>
      </c>
      <c r="U586" s="1">
        <f t="shared" si="158"/>
        <v>3.4093418382899761E-2</v>
      </c>
      <c r="V586" s="1">
        <f t="shared" si="159"/>
        <v>3.1574382095289864E-2</v>
      </c>
      <c r="W586" s="1">
        <f t="shared" si="160"/>
        <v>4.0360367639778717E-2</v>
      </c>
      <c r="Y586" s="1" t="s">
        <v>125</v>
      </c>
      <c r="Z586" s="1">
        <f t="shared" si="161"/>
        <v>1.2862393885688184E-2</v>
      </c>
      <c r="AA586" s="1">
        <f t="shared" si="162"/>
        <v>6.8186836765799525E-3</v>
      </c>
      <c r="AB586" s="1">
        <f t="shared" si="163"/>
        <v>9.4723146285869593E-3</v>
      </c>
      <c r="AC586" s="1">
        <f t="shared" si="164"/>
        <v>8.0720735279557441E-3</v>
      </c>
      <c r="AK586" s="17" t="s">
        <v>1175</v>
      </c>
      <c r="AL586" s="17">
        <f t="shared" si="165"/>
        <v>1.9930457503557965E-2</v>
      </c>
      <c r="AM586" s="17">
        <f t="shared" si="166"/>
        <v>1.7241810560917049E-2</v>
      </c>
      <c r="AO586" s="17" t="s">
        <v>1887</v>
      </c>
      <c r="AP586" s="17">
        <f t="shared" si="167"/>
        <v>0.88234039436608347</v>
      </c>
      <c r="AR586" s="1" t="s">
        <v>125</v>
      </c>
      <c r="AS586" s="17">
        <f t="shared" si="168"/>
        <v>0.88234039436608347</v>
      </c>
      <c r="AT586" s="17">
        <f t="shared" si="169"/>
        <v>199</v>
      </c>
    </row>
    <row r="587" spans="6:46" x14ac:dyDescent="0.3">
      <c r="F587" s="1">
        <v>585</v>
      </c>
      <c r="G587" s="1" t="s">
        <v>470</v>
      </c>
      <c r="H587" s="1">
        <v>2</v>
      </c>
      <c r="I587" s="1">
        <v>35</v>
      </c>
      <c r="J587" s="1">
        <v>5</v>
      </c>
      <c r="K587" s="1">
        <v>3</v>
      </c>
      <c r="M587" s="1" t="s">
        <v>470</v>
      </c>
      <c r="N587" s="1">
        <f t="shared" si="153"/>
        <v>0.2857142857142857</v>
      </c>
      <c r="O587" s="1">
        <f t="shared" si="154"/>
        <v>0.33333333333333331</v>
      </c>
      <c r="P587" s="1">
        <f t="shared" si="155"/>
        <v>0.2</v>
      </c>
      <c r="Q587" s="1">
        <f t="shared" si="156"/>
        <v>1</v>
      </c>
      <c r="S587" s="1" t="s">
        <v>470</v>
      </c>
      <c r="T587" s="1">
        <f t="shared" si="157"/>
        <v>2.8583097523751523E-2</v>
      </c>
      <c r="U587" s="1">
        <f t="shared" si="158"/>
        <v>2.5388715817053011E-2</v>
      </c>
      <c r="V587" s="1">
        <f t="shared" si="159"/>
        <v>1.2629752838115946E-2</v>
      </c>
      <c r="W587" s="1">
        <f t="shared" si="160"/>
        <v>4.0360367639778717E-2</v>
      </c>
      <c r="Y587" s="1" t="s">
        <v>470</v>
      </c>
      <c r="Z587" s="1">
        <f t="shared" si="161"/>
        <v>8.5749292571254566E-3</v>
      </c>
      <c r="AA587" s="1">
        <f t="shared" si="162"/>
        <v>5.0777431634106028E-3</v>
      </c>
      <c r="AB587" s="1">
        <f t="shared" si="163"/>
        <v>3.7889258514347836E-3</v>
      </c>
      <c r="AC587" s="1">
        <f t="shared" si="164"/>
        <v>8.0720735279557441E-3</v>
      </c>
      <c r="AK587" s="17" t="s">
        <v>1176</v>
      </c>
      <c r="AL587" s="17">
        <f t="shared" si="165"/>
        <v>2.3721145125471198E-2</v>
      </c>
      <c r="AM587" s="17">
        <f t="shared" si="166"/>
        <v>1.8323239363065954E-2</v>
      </c>
      <c r="AO587" s="17" t="s">
        <v>1888</v>
      </c>
      <c r="AP587" s="17">
        <f t="shared" si="167"/>
        <v>0.79076652851064155</v>
      </c>
      <c r="AR587" s="1" t="s">
        <v>470</v>
      </c>
      <c r="AS587" s="17">
        <f t="shared" si="168"/>
        <v>0.79076652851064155</v>
      </c>
      <c r="AT587" s="17">
        <f t="shared" si="169"/>
        <v>311</v>
      </c>
    </row>
    <row r="588" spans="6:46" x14ac:dyDescent="0.3">
      <c r="F588" s="1">
        <v>586</v>
      </c>
      <c r="G588" s="1" t="s">
        <v>394</v>
      </c>
      <c r="H588" s="1">
        <v>3</v>
      </c>
      <c r="I588" s="1">
        <v>56</v>
      </c>
      <c r="J588" s="1">
        <v>2</v>
      </c>
      <c r="K588" s="1">
        <v>3</v>
      </c>
      <c r="M588" s="1" t="s">
        <v>394</v>
      </c>
      <c r="N588" s="1">
        <f t="shared" si="153"/>
        <v>0.42857142857142855</v>
      </c>
      <c r="O588" s="1">
        <f t="shared" si="154"/>
        <v>0.53333333333333333</v>
      </c>
      <c r="P588" s="1">
        <f t="shared" si="155"/>
        <v>0.5</v>
      </c>
      <c r="Q588" s="1">
        <f t="shared" si="156"/>
        <v>1</v>
      </c>
      <c r="S588" s="1" t="s">
        <v>394</v>
      </c>
      <c r="T588" s="1">
        <f t="shared" si="157"/>
        <v>4.2874646285627281E-2</v>
      </c>
      <c r="U588" s="1">
        <f t="shared" si="158"/>
        <v>4.0621945307284822E-2</v>
      </c>
      <c r="V588" s="1">
        <f t="shared" si="159"/>
        <v>3.1574382095289864E-2</v>
      </c>
      <c r="W588" s="1">
        <f t="shared" si="160"/>
        <v>4.0360367639778717E-2</v>
      </c>
      <c r="Y588" s="1" t="s">
        <v>394</v>
      </c>
      <c r="Z588" s="1">
        <f t="shared" si="161"/>
        <v>1.2862393885688184E-2</v>
      </c>
      <c r="AA588" s="1">
        <f t="shared" si="162"/>
        <v>8.1243890614569655E-3</v>
      </c>
      <c r="AB588" s="1">
        <f t="shared" si="163"/>
        <v>9.4723146285869593E-3</v>
      </c>
      <c r="AC588" s="1">
        <f t="shared" si="164"/>
        <v>8.0720735279557441E-3</v>
      </c>
      <c r="AK588" s="17" t="s">
        <v>1177</v>
      </c>
      <c r="AL588" s="17">
        <f t="shared" si="165"/>
        <v>1.9415307550818443E-2</v>
      </c>
      <c r="AM588" s="17">
        <f t="shared" si="166"/>
        <v>1.7562926260040777E-2</v>
      </c>
      <c r="AO588" s="17" t="s">
        <v>1889</v>
      </c>
      <c r="AP588" s="17">
        <f t="shared" si="167"/>
        <v>0.92215463638726047</v>
      </c>
      <c r="AR588" s="1" t="s">
        <v>394</v>
      </c>
      <c r="AS588" s="17">
        <f t="shared" si="168"/>
        <v>0.92215463638726047</v>
      </c>
      <c r="AT588" s="17">
        <f t="shared" si="169"/>
        <v>170</v>
      </c>
    </row>
    <row r="589" spans="6:46" x14ac:dyDescent="0.3">
      <c r="F589" s="1">
        <v>587</v>
      </c>
      <c r="G589" s="1" t="s">
        <v>471</v>
      </c>
      <c r="H589" s="1">
        <v>3</v>
      </c>
      <c r="I589" s="1">
        <v>48</v>
      </c>
      <c r="J589" s="1">
        <v>2</v>
      </c>
      <c r="K589" s="1">
        <v>3</v>
      </c>
      <c r="M589" s="1" t="s">
        <v>471</v>
      </c>
      <c r="N589" s="1">
        <f t="shared" si="153"/>
        <v>0.42857142857142855</v>
      </c>
      <c r="O589" s="1">
        <f t="shared" si="154"/>
        <v>0.45714285714285713</v>
      </c>
      <c r="P589" s="1">
        <f t="shared" si="155"/>
        <v>0.5</v>
      </c>
      <c r="Q589" s="1">
        <f t="shared" si="156"/>
        <v>1</v>
      </c>
      <c r="S589" s="1" t="s">
        <v>471</v>
      </c>
      <c r="T589" s="1">
        <f t="shared" si="157"/>
        <v>4.2874646285627281E-2</v>
      </c>
      <c r="U589" s="1">
        <f t="shared" si="158"/>
        <v>3.4818810263386991E-2</v>
      </c>
      <c r="V589" s="1">
        <f t="shared" si="159"/>
        <v>3.1574382095289864E-2</v>
      </c>
      <c r="W589" s="1">
        <f t="shared" si="160"/>
        <v>4.0360367639778717E-2</v>
      </c>
      <c r="Y589" s="1" t="s">
        <v>471</v>
      </c>
      <c r="Z589" s="1">
        <f t="shared" si="161"/>
        <v>1.2862393885688184E-2</v>
      </c>
      <c r="AA589" s="1">
        <f t="shared" si="162"/>
        <v>6.963762052677399E-3</v>
      </c>
      <c r="AB589" s="1">
        <f t="shared" si="163"/>
        <v>9.4723146285869593E-3</v>
      </c>
      <c r="AC589" s="1">
        <f t="shared" si="164"/>
        <v>8.0720735279557441E-3</v>
      </c>
      <c r="AK589" s="17" t="s">
        <v>1178</v>
      </c>
      <c r="AL589" s="17">
        <f t="shared" si="165"/>
        <v>1.9869641334253032E-2</v>
      </c>
      <c r="AM589" s="17">
        <f t="shared" si="166"/>
        <v>1.727291133290261E-2</v>
      </c>
      <c r="AO589" s="17" t="s">
        <v>1890</v>
      </c>
      <c r="AP589" s="17">
        <f t="shared" si="167"/>
        <v>0.88658459352849661</v>
      </c>
      <c r="AR589" s="1" t="s">
        <v>471</v>
      </c>
      <c r="AS589" s="17">
        <f t="shared" si="168"/>
        <v>0.88658459352849661</v>
      </c>
      <c r="AT589" s="17">
        <f t="shared" si="169"/>
        <v>191</v>
      </c>
    </row>
    <row r="590" spans="6:46" x14ac:dyDescent="0.3">
      <c r="F590" s="1">
        <v>588</v>
      </c>
      <c r="G590" s="1" t="s">
        <v>472</v>
      </c>
      <c r="H590" s="1">
        <v>3</v>
      </c>
      <c r="I590" s="1">
        <v>48</v>
      </c>
      <c r="J590" s="1">
        <v>2</v>
      </c>
      <c r="K590" s="1">
        <v>3</v>
      </c>
      <c r="M590" s="1" t="s">
        <v>472</v>
      </c>
      <c r="N590" s="1">
        <f t="shared" si="153"/>
        <v>0.42857142857142855</v>
      </c>
      <c r="O590" s="1">
        <f t="shared" si="154"/>
        <v>0.45714285714285713</v>
      </c>
      <c r="P590" s="1">
        <f t="shared" si="155"/>
        <v>0.5</v>
      </c>
      <c r="Q590" s="1">
        <f t="shared" si="156"/>
        <v>1</v>
      </c>
      <c r="S590" s="1" t="s">
        <v>472</v>
      </c>
      <c r="T590" s="1">
        <f t="shared" si="157"/>
        <v>4.2874646285627281E-2</v>
      </c>
      <c r="U590" s="1">
        <f t="shared" si="158"/>
        <v>3.4818810263386991E-2</v>
      </c>
      <c r="V590" s="1">
        <f t="shared" si="159"/>
        <v>3.1574382095289864E-2</v>
      </c>
      <c r="W590" s="1">
        <f t="shared" si="160"/>
        <v>4.0360367639778717E-2</v>
      </c>
      <c r="Y590" s="1" t="s">
        <v>472</v>
      </c>
      <c r="Z590" s="1">
        <f t="shared" si="161"/>
        <v>1.2862393885688184E-2</v>
      </c>
      <c r="AA590" s="1">
        <f t="shared" si="162"/>
        <v>6.963762052677399E-3</v>
      </c>
      <c r="AB590" s="1">
        <f t="shared" si="163"/>
        <v>9.4723146285869593E-3</v>
      </c>
      <c r="AC590" s="1">
        <f t="shared" si="164"/>
        <v>8.0720735279557441E-3</v>
      </c>
      <c r="AK590" s="17" t="s">
        <v>1179</v>
      </c>
      <c r="AL590" s="17">
        <f t="shared" si="165"/>
        <v>1.9869641334253032E-2</v>
      </c>
      <c r="AM590" s="17">
        <f t="shared" si="166"/>
        <v>1.727291133290261E-2</v>
      </c>
      <c r="AO590" s="17" t="s">
        <v>1891</v>
      </c>
      <c r="AP590" s="17">
        <f t="shared" si="167"/>
        <v>0.88658459352849661</v>
      </c>
      <c r="AR590" s="1" t="s">
        <v>472</v>
      </c>
      <c r="AS590" s="17">
        <f t="shared" si="168"/>
        <v>0.88658459352849661</v>
      </c>
      <c r="AT590" s="17">
        <f t="shared" si="169"/>
        <v>191</v>
      </c>
    </row>
    <row r="591" spans="6:46" x14ac:dyDescent="0.3">
      <c r="F591" s="1">
        <v>589</v>
      </c>
      <c r="G591" s="1" t="s">
        <v>473</v>
      </c>
      <c r="H591" s="1">
        <v>2</v>
      </c>
      <c r="I591" s="1">
        <v>31</v>
      </c>
      <c r="J591" s="1">
        <v>2</v>
      </c>
      <c r="K591" s="1">
        <v>3</v>
      </c>
      <c r="M591" s="1" t="s">
        <v>473</v>
      </c>
      <c r="N591" s="1">
        <f t="shared" si="153"/>
        <v>0.2857142857142857</v>
      </c>
      <c r="O591" s="1">
        <f t="shared" si="154"/>
        <v>0.29523809523809524</v>
      </c>
      <c r="P591" s="1">
        <f t="shared" si="155"/>
        <v>0.5</v>
      </c>
      <c r="Q591" s="1">
        <f t="shared" si="156"/>
        <v>1</v>
      </c>
      <c r="S591" s="1" t="s">
        <v>473</v>
      </c>
      <c r="T591" s="1">
        <f t="shared" si="157"/>
        <v>2.8583097523751523E-2</v>
      </c>
      <c r="U591" s="1">
        <f t="shared" si="158"/>
        <v>2.2487148295104099E-2</v>
      </c>
      <c r="V591" s="1">
        <f t="shared" si="159"/>
        <v>3.1574382095289864E-2</v>
      </c>
      <c r="W591" s="1">
        <f t="shared" si="160"/>
        <v>4.0360367639778717E-2</v>
      </c>
      <c r="Y591" s="1" t="s">
        <v>473</v>
      </c>
      <c r="Z591" s="1">
        <f t="shared" si="161"/>
        <v>8.5749292571254566E-3</v>
      </c>
      <c r="AA591" s="1">
        <f t="shared" si="162"/>
        <v>4.4974296590208204E-3</v>
      </c>
      <c r="AB591" s="1">
        <f t="shared" si="163"/>
        <v>9.4723146285869593E-3</v>
      </c>
      <c r="AC591" s="1">
        <f t="shared" si="164"/>
        <v>8.0720735279557441E-3</v>
      </c>
      <c r="AK591" s="17" t="s">
        <v>1180</v>
      </c>
      <c r="AL591" s="17">
        <f t="shared" si="165"/>
        <v>2.4639746945484292E-2</v>
      </c>
      <c r="AM591" s="17">
        <f t="shared" si="166"/>
        <v>1.3925455064659288E-2</v>
      </c>
      <c r="AO591" s="17" t="s">
        <v>1892</v>
      </c>
      <c r="AP591" s="17">
        <f t="shared" si="167"/>
        <v>0.57908771486665755</v>
      </c>
      <c r="AR591" s="1" t="s">
        <v>473</v>
      </c>
      <c r="AS591" s="17">
        <f t="shared" si="168"/>
        <v>0.57908771486665755</v>
      </c>
      <c r="AT591" s="17">
        <f t="shared" si="169"/>
        <v>470</v>
      </c>
    </row>
    <row r="592" spans="6:46" x14ac:dyDescent="0.3">
      <c r="F592" s="1">
        <v>590</v>
      </c>
      <c r="G592" s="1" t="s">
        <v>130</v>
      </c>
      <c r="H592" s="1">
        <v>0</v>
      </c>
      <c r="I592" s="1">
        <v>31</v>
      </c>
      <c r="J592" s="1">
        <v>1</v>
      </c>
      <c r="K592" s="1">
        <v>1</v>
      </c>
      <c r="M592" s="1" t="s">
        <v>130</v>
      </c>
      <c r="N592" s="1">
        <f t="shared" si="153"/>
        <v>0</v>
      </c>
      <c r="O592" s="1">
        <f t="shared" si="154"/>
        <v>0.29523809523809524</v>
      </c>
      <c r="P592" s="1">
        <f t="shared" si="155"/>
        <v>1</v>
      </c>
      <c r="Q592" s="1">
        <f t="shared" si="156"/>
        <v>0.33333333333333331</v>
      </c>
      <c r="S592" s="1" t="s">
        <v>130</v>
      </c>
      <c r="T592" s="1">
        <f t="shared" si="157"/>
        <v>0</v>
      </c>
      <c r="U592" s="1">
        <f t="shared" si="158"/>
        <v>2.2487148295104099E-2</v>
      </c>
      <c r="V592" s="1">
        <f t="shared" si="159"/>
        <v>6.3148764190579729E-2</v>
      </c>
      <c r="W592" s="1">
        <f t="shared" si="160"/>
        <v>1.3453455879926239E-2</v>
      </c>
      <c r="Y592" s="1" t="s">
        <v>130</v>
      </c>
      <c r="Z592" s="1">
        <f t="shared" si="161"/>
        <v>0</v>
      </c>
      <c r="AA592" s="1">
        <f t="shared" si="162"/>
        <v>4.4974296590208204E-3</v>
      </c>
      <c r="AB592" s="1">
        <f t="shared" si="163"/>
        <v>1.8944629257173919E-2</v>
      </c>
      <c r="AC592" s="1">
        <f t="shared" si="164"/>
        <v>2.6906911759852479E-3</v>
      </c>
      <c r="AK592" s="17" t="s">
        <v>1181</v>
      </c>
      <c r="AL592" s="17">
        <f t="shared" si="165"/>
        <v>3.5702203207565668E-2</v>
      </c>
      <c r="AM592" s="17">
        <f t="shared" si="166"/>
        <v>1.3057053848770125E-3</v>
      </c>
      <c r="AO592" s="17" t="s">
        <v>1893</v>
      </c>
      <c r="AP592" s="17">
        <f t="shared" si="167"/>
        <v>3.7877828883415607E-2</v>
      </c>
      <c r="AR592" s="1" t="s">
        <v>130</v>
      </c>
      <c r="AS592" s="17">
        <f t="shared" si="168"/>
        <v>3.7877828883415607E-2</v>
      </c>
      <c r="AT592" s="17">
        <f t="shared" si="169"/>
        <v>708</v>
      </c>
    </row>
    <row r="593" spans="6:46" x14ac:dyDescent="0.3">
      <c r="F593" s="1">
        <v>591</v>
      </c>
      <c r="G593" s="1" t="s">
        <v>132</v>
      </c>
      <c r="H593" s="1">
        <v>0</v>
      </c>
      <c r="I593" s="1">
        <v>94</v>
      </c>
      <c r="J593" s="1">
        <v>1</v>
      </c>
      <c r="K593" s="1">
        <v>2</v>
      </c>
      <c r="M593" s="1" t="s">
        <v>132</v>
      </c>
      <c r="N593" s="1">
        <f t="shared" si="153"/>
        <v>0</v>
      </c>
      <c r="O593" s="1">
        <f t="shared" si="154"/>
        <v>0.89523809523809528</v>
      </c>
      <c r="P593" s="1">
        <f t="shared" si="155"/>
        <v>1</v>
      </c>
      <c r="Q593" s="1">
        <f t="shared" si="156"/>
        <v>0.66666666666666663</v>
      </c>
      <c r="S593" s="1" t="s">
        <v>132</v>
      </c>
      <c r="T593" s="1">
        <f t="shared" si="157"/>
        <v>0</v>
      </c>
      <c r="U593" s="1">
        <f t="shared" si="158"/>
        <v>6.8186836765799522E-2</v>
      </c>
      <c r="V593" s="1">
        <f t="shared" si="159"/>
        <v>6.3148764190579729E-2</v>
      </c>
      <c r="W593" s="1">
        <f t="shared" si="160"/>
        <v>2.6906911759852478E-2</v>
      </c>
      <c r="Y593" s="1" t="s">
        <v>132</v>
      </c>
      <c r="Z593" s="1">
        <f t="shared" si="161"/>
        <v>0</v>
      </c>
      <c r="AA593" s="1">
        <f t="shared" si="162"/>
        <v>1.3637367353159905E-2</v>
      </c>
      <c r="AB593" s="1">
        <f t="shared" si="163"/>
        <v>1.8944629257173919E-2</v>
      </c>
      <c r="AC593" s="1">
        <f t="shared" si="164"/>
        <v>5.3813823519704958E-3</v>
      </c>
      <c r="AK593" s="17" t="s">
        <v>1182</v>
      </c>
      <c r="AL593" s="17">
        <f t="shared" si="165"/>
        <v>3.3767102848859386E-2</v>
      </c>
      <c r="AM593" s="17">
        <f t="shared" si="166"/>
        <v>1.0786624974417241E-2</v>
      </c>
      <c r="AO593" s="17" t="s">
        <v>1894</v>
      </c>
      <c r="AP593" s="17">
        <f t="shared" si="167"/>
        <v>0.33022845043092369</v>
      </c>
      <c r="AR593" s="1" t="s">
        <v>132</v>
      </c>
      <c r="AS593" s="17">
        <f t="shared" si="168"/>
        <v>0.33022845043092369</v>
      </c>
      <c r="AT593" s="17">
        <f t="shared" si="169"/>
        <v>639</v>
      </c>
    </row>
    <row r="594" spans="6:46" x14ac:dyDescent="0.3">
      <c r="F594" s="1">
        <v>592</v>
      </c>
      <c r="G594" s="1" t="s">
        <v>132</v>
      </c>
      <c r="H594" s="1">
        <v>0</v>
      </c>
      <c r="I594" s="1">
        <v>63</v>
      </c>
      <c r="J594" s="1">
        <v>2</v>
      </c>
      <c r="K594" s="1">
        <v>3</v>
      </c>
      <c r="M594" s="1" t="s">
        <v>132</v>
      </c>
      <c r="N594" s="1">
        <f t="shared" si="153"/>
        <v>0</v>
      </c>
      <c r="O594" s="1">
        <f t="shared" si="154"/>
        <v>0.6</v>
      </c>
      <c r="P594" s="1">
        <f t="shared" si="155"/>
        <v>0.5</v>
      </c>
      <c r="Q594" s="1">
        <f t="shared" si="156"/>
        <v>1</v>
      </c>
      <c r="S594" s="1" t="s">
        <v>132</v>
      </c>
      <c r="T594" s="1">
        <f t="shared" si="157"/>
        <v>0</v>
      </c>
      <c r="U594" s="1">
        <f t="shared" si="158"/>
        <v>4.5699688470695422E-2</v>
      </c>
      <c r="V594" s="1">
        <f t="shared" si="159"/>
        <v>3.1574382095289864E-2</v>
      </c>
      <c r="W594" s="1">
        <f t="shared" si="160"/>
        <v>4.0360367639778717E-2</v>
      </c>
      <c r="Y594" s="1" t="s">
        <v>132</v>
      </c>
      <c r="Z594" s="1">
        <f t="shared" si="161"/>
        <v>0</v>
      </c>
      <c r="AA594" s="1">
        <f t="shared" si="162"/>
        <v>9.1399376941390855E-3</v>
      </c>
      <c r="AB594" s="1">
        <f t="shared" si="163"/>
        <v>9.4723146285869593E-3</v>
      </c>
      <c r="AC594" s="1">
        <f t="shared" si="164"/>
        <v>8.0720735279557441E-3</v>
      </c>
      <c r="AK594" s="17" t="s">
        <v>1183</v>
      </c>
      <c r="AL594" s="17">
        <f t="shared" si="165"/>
        <v>3.1147462288639832E-2</v>
      </c>
      <c r="AM594" s="17">
        <f t="shared" si="166"/>
        <v>1.2412302901994212E-2</v>
      </c>
      <c r="AO594" s="17" t="s">
        <v>1895</v>
      </c>
      <c r="AP594" s="17">
        <f t="shared" si="167"/>
        <v>0.41091356078845942</v>
      </c>
      <c r="AR594" s="1" t="s">
        <v>132</v>
      </c>
      <c r="AS594" s="17">
        <f t="shared" si="168"/>
        <v>0.41091356078845942</v>
      </c>
      <c r="AT594" s="17">
        <f t="shared" si="169"/>
        <v>590</v>
      </c>
    </row>
    <row r="595" spans="6:46" x14ac:dyDescent="0.3">
      <c r="F595" s="1">
        <v>593</v>
      </c>
      <c r="G595" s="1" t="s">
        <v>474</v>
      </c>
      <c r="H595" s="1">
        <v>0</v>
      </c>
      <c r="I595" s="1">
        <v>22</v>
      </c>
      <c r="J595" s="1">
        <v>2</v>
      </c>
      <c r="K595" s="1">
        <v>1</v>
      </c>
      <c r="M595" s="1" t="s">
        <v>474</v>
      </c>
      <c r="N595" s="1">
        <f t="shared" si="153"/>
        <v>0</v>
      </c>
      <c r="O595" s="1">
        <f t="shared" si="154"/>
        <v>0.20952380952380953</v>
      </c>
      <c r="P595" s="1">
        <f t="shared" si="155"/>
        <v>0.5</v>
      </c>
      <c r="Q595" s="1">
        <f t="shared" si="156"/>
        <v>0.33333333333333331</v>
      </c>
      <c r="S595" s="1" t="s">
        <v>474</v>
      </c>
      <c r="T595" s="1">
        <f t="shared" si="157"/>
        <v>0</v>
      </c>
      <c r="U595" s="1">
        <f t="shared" si="158"/>
        <v>1.5958621370719038E-2</v>
      </c>
      <c r="V595" s="1">
        <f t="shared" si="159"/>
        <v>3.1574382095289864E-2</v>
      </c>
      <c r="W595" s="1">
        <f t="shared" si="160"/>
        <v>1.3453455879926239E-2</v>
      </c>
      <c r="Y595" s="1" t="s">
        <v>474</v>
      </c>
      <c r="Z595" s="1">
        <f t="shared" si="161"/>
        <v>0</v>
      </c>
      <c r="AA595" s="1">
        <f t="shared" si="162"/>
        <v>3.1917242741438079E-3</v>
      </c>
      <c r="AB595" s="1">
        <f t="shared" si="163"/>
        <v>9.4723146285869593E-3</v>
      </c>
      <c r="AC595" s="1">
        <f t="shared" si="164"/>
        <v>2.6906911759852479E-3</v>
      </c>
      <c r="AK595" s="17" t="s">
        <v>1184</v>
      </c>
      <c r="AL595" s="17">
        <f t="shared" si="165"/>
        <v>3.3271509223314226E-2</v>
      </c>
      <c r="AM595" s="17">
        <f t="shared" si="166"/>
        <v>9.4723146285869593E-3</v>
      </c>
      <c r="AO595" s="17" t="s">
        <v>1896</v>
      </c>
      <c r="AP595" s="17">
        <f t="shared" si="167"/>
        <v>0.29416978852464509</v>
      </c>
      <c r="AR595" s="1" t="s">
        <v>474</v>
      </c>
      <c r="AS595" s="17">
        <f t="shared" si="168"/>
        <v>0.29416978852464509</v>
      </c>
      <c r="AT595" s="17">
        <f t="shared" si="169"/>
        <v>649</v>
      </c>
    </row>
    <row r="596" spans="6:46" x14ac:dyDescent="0.3">
      <c r="F596" s="1">
        <v>594</v>
      </c>
      <c r="G596" s="1" t="s">
        <v>475</v>
      </c>
      <c r="H596" s="1">
        <v>2</v>
      </c>
      <c r="I596" s="1">
        <v>29</v>
      </c>
      <c r="J596" s="1">
        <v>2</v>
      </c>
      <c r="K596" s="1">
        <v>3</v>
      </c>
      <c r="M596" s="1" t="s">
        <v>475</v>
      </c>
      <c r="N596" s="1">
        <f t="shared" si="153"/>
        <v>0.2857142857142857</v>
      </c>
      <c r="O596" s="1">
        <f t="shared" si="154"/>
        <v>0.27619047619047621</v>
      </c>
      <c r="P596" s="1">
        <f t="shared" si="155"/>
        <v>0.5</v>
      </c>
      <c r="Q596" s="1">
        <f t="shared" si="156"/>
        <v>1</v>
      </c>
      <c r="S596" s="1" t="s">
        <v>475</v>
      </c>
      <c r="T596" s="1">
        <f t="shared" si="157"/>
        <v>2.8583097523751523E-2</v>
      </c>
      <c r="U596" s="1">
        <f t="shared" si="158"/>
        <v>2.1036364534129642E-2</v>
      </c>
      <c r="V596" s="1">
        <f t="shared" si="159"/>
        <v>3.1574382095289864E-2</v>
      </c>
      <c r="W596" s="1">
        <f t="shared" si="160"/>
        <v>4.0360367639778717E-2</v>
      </c>
      <c r="Y596" s="1" t="s">
        <v>475</v>
      </c>
      <c r="Z596" s="1">
        <f t="shared" si="161"/>
        <v>8.5749292571254566E-3</v>
      </c>
      <c r="AA596" s="1">
        <f t="shared" si="162"/>
        <v>4.2072729068259283E-3</v>
      </c>
      <c r="AB596" s="1">
        <f t="shared" si="163"/>
        <v>9.4723146285869593E-3</v>
      </c>
      <c r="AC596" s="1">
        <f t="shared" si="164"/>
        <v>8.0720735279557441E-3</v>
      </c>
      <c r="AK596" s="17" t="s">
        <v>1185</v>
      </c>
      <c r="AL596" s="17">
        <f t="shared" si="165"/>
        <v>2.4767548326405344E-2</v>
      </c>
      <c r="AM596" s="17">
        <f t="shared" si="166"/>
        <v>1.3901250707439625E-2</v>
      </c>
      <c r="AO596" s="17" t="s">
        <v>1897</v>
      </c>
      <c r="AP596" s="17">
        <f t="shared" si="167"/>
        <v>0.57516999334754704</v>
      </c>
      <c r="AR596" s="1" t="s">
        <v>475</v>
      </c>
      <c r="AS596" s="17">
        <f t="shared" si="168"/>
        <v>0.57516999334754704</v>
      </c>
      <c r="AT596" s="17">
        <f t="shared" si="169"/>
        <v>481</v>
      </c>
    </row>
    <row r="597" spans="6:46" x14ac:dyDescent="0.3">
      <c r="F597" s="1">
        <v>595</v>
      </c>
      <c r="G597" s="1" t="s">
        <v>476</v>
      </c>
      <c r="H597" s="1">
        <v>2</v>
      </c>
      <c r="I597" s="1">
        <v>38</v>
      </c>
      <c r="J597" s="1">
        <v>2</v>
      </c>
      <c r="K597" s="1">
        <v>3</v>
      </c>
      <c r="M597" s="1" t="s">
        <v>476</v>
      </c>
      <c r="N597" s="1">
        <f t="shared" si="153"/>
        <v>0.2857142857142857</v>
      </c>
      <c r="O597" s="1">
        <f t="shared" si="154"/>
        <v>0.3619047619047619</v>
      </c>
      <c r="P597" s="1">
        <f t="shared" si="155"/>
        <v>0.5</v>
      </c>
      <c r="Q597" s="1">
        <f t="shared" si="156"/>
        <v>1</v>
      </c>
      <c r="S597" s="1" t="s">
        <v>476</v>
      </c>
      <c r="T597" s="1">
        <f t="shared" si="157"/>
        <v>2.8583097523751523E-2</v>
      </c>
      <c r="U597" s="1">
        <f t="shared" si="158"/>
        <v>2.75648914585147E-2</v>
      </c>
      <c r="V597" s="1">
        <f t="shared" si="159"/>
        <v>3.1574382095289864E-2</v>
      </c>
      <c r="W597" s="1">
        <f t="shared" si="160"/>
        <v>4.0360367639778717E-2</v>
      </c>
      <c r="Y597" s="1" t="s">
        <v>476</v>
      </c>
      <c r="Z597" s="1">
        <f t="shared" si="161"/>
        <v>8.5749292571254566E-3</v>
      </c>
      <c r="AA597" s="1">
        <f t="shared" si="162"/>
        <v>5.5129782917029404E-3</v>
      </c>
      <c r="AB597" s="1">
        <f t="shared" si="163"/>
        <v>9.4723146285869593E-3</v>
      </c>
      <c r="AC597" s="1">
        <f t="shared" si="164"/>
        <v>8.0720735279557441E-3</v>
      </c>
      <c r="AK597" s="17" t="s">
        <v>1186</v>
      </c>
      <c r="AL597" s="17">
        <f t="shared" si="165"/>
        <v>2.4214520744466009E-2</v>
      </c>
      <c r="AM597" s="17">
        <f t="shared" si="166"/>
        <v>1.40570854881011E-2</v>
      </c>
      <c r="AO597" s="17" t="s">
        <v>1898</v>
      </c>
      <c r="AP597" s="17">
        <f t="shared" si="167"/>
        <v>0.59458005500892919</v>
      </c>
      <c r="AR597" s="1" t="s">
        <v>476</v>
      </c>
      <c r="AS597" s="17">
        <f t="shared" si="168"/>
        <v>0.59458005500892919</v>
      </c>
      <c r="AT597" s="17">
        <f t="shared" si="169"/>
        <v>443</v>
      </c>
    </row>
    <row r="598" spans="6:46" x14ac:dyDescent="0.3">
      <c r="F598" s="1">
        <v>596</v>
      </c>
      <c r="G598" s="1" t="s">
        <v>477</v>
      </c>
      <c r="H598" s="1">
        <v>3</v>
      </c>
      <c r="I598" s="1">
        <v>65</v>
      </c>
      <c r="J598" s="1">
        <v>2</v>
      </c>
      <c r="K598" s="1">
        <v>3</v>
      </c>
      <c r="M598" s="1" t="s">
        <v>477</v>
      </c>
      <c r="N598" s="1">
        <f t="shared" si="153"/>
        <v>0.42857142857142855</v>
      </c>
      <c r="O598" s="1">
        <f t="shared" si="154"/>
        <v>0.61904761904761907</v>
      </c>
      <c r="P598" s="1">
        <f t="shared" si="155"/>
        <v>0.5</v>
      </c>
      <c r="Q598" s="1">
        <f t="shared" si="156"/>
        <v>1</v>
      </c>
      <c r="S598" s="1" t="s">
        <v>477</v>
      </c>
      <c r="T598" s="1">
        <f t="shared" si="157"/>
        <v>4.2874646285627281E-2</v>
      </c>
      <c r="U598" s="1">
        <f t="shared" si="158"/>
        <v>4.7150472231669883E-2</v>
      </c>
      <c r="V598" s="1">
        <f t="shared" si="159"/>
        <v>3.1574382095289864E-2</v>
      </c>
      <c r="W598" s="1">
        <f t="shared" si="160"/>
        <v>4.0360367639778717E-2</v>
      </c>
      <c r="Y598" s="1" t="s">
        <v>477</v>
      </c>
      <c r="Z598" s="1">
        <f t="shared" si="161"/>
        <v>1.2862393885688184E-2</v>
      </c>
      <c r="AA598" s="1">
        <f t="shared" si="162"/>
        <v>9.4300944463339767E-3</v>
      </c>
      <c r="AB598" s="1">
        <f t="shared" si="163"/>
        <v>9.4723146285869593E-3</v>
      </c>
      <c r="AC598" s="1">
        <f t="shared" si="164"/>
        <v>8.0720735279557441E-3</v>
      </c>
      <c r="AK598" s="17" t="s">
        <v>1187</v>
      </c>
      <c r="AL598" s="17">
        <f t="shared" si="165"/>
        <v>1.8976167457861428E-2</v>
      </c>
      <c r="AM598" s="17">
        <f t="shared" si="166"/>
        <v>1.7973381966588892E-2</v>
      </c>
      <c r="AO598" s="17" t="s">
        <v>1899</v>
      </c>
      <c r="AP598" s="17">
        <f t="shared" si="167"/>
        <v>0.96512891305581827</v>
      </c>
      <c r="AR598" s="1" t="s">
        <v>477</v>
      </c>
      <c r="AS598" s="17">
        <f t="shared" si="168"/>
        <v>0.96512891305581827</v>
      </c>
      <c r="AT598" s="17">
        <f t="shared" si="169"/>
        <v>151</v>
      </c>
    </row>
    <row r="599" spans="6:46" x14ac:dyDescent="0.3">
      <c r="F599" s="1">
        <v>597</v>
      </c>
      <c r="G599" s="1" t="s">
        <v>478</v>
      </c>
      <c r="H599" s="1">
        <v>2</v>
      </c>
      <c r="I599" s="1">
        <v>25</v>
      </c>
      <c r="J599" s="1">
        <v>2</v>
      </c>
      <c r="K599" s="1">
        <v>3</v>
      </c>
      <c r="M599" s="1" t="s">
        <v>478</v>
      </c>
      <c r="N599" s="1">
        <f t="shared" si="153"/>
        <v>0.2857142857142857</v>
      </c>
      <c r="O599" s="1">
        <f t="shared" si="154"/>
        <v>0.23809523809523808</v>
      </c>
      <c r="P599" s="1">
        <f t="shared" si="155"/>
        <v>0.5</v>
      </c>
      <c r="Q599" s="1">
        <f t="shared" si="156"/>
        <v>1</v>
      </c>
      <c r="S599" s="1" t="s">
        <v>478</v>
      </c>
      <c r="T599" s="1">
        <f t="shared" si="157"/>
        <v>2.8583097523751523E-2</v>
      </c>
      <c r="U599" s="1">
        <f t="shared" si="158"/>
        <v>1.8134797012180723E-2</v>
      </c>
      <c r="V599" s="1">
        <f t="shared" si="159"/>
        <v>3.1574382095289864E-2</v>
      </c>
      <c r="W599" s="1">
        <f t="shared" si="160"/>
        <v>4.0360367639778717E-2</v>
      </c>
      <c r="Y599" s="1" t="s">
        <v>478</v>
      </c>
      <c r="Z599" s="1">
        <f t="shared" si="161"/>
        <v>8.5749292571254566E-3</v>
      </c>
      <c r="AA599" s="1">
        <f t="shared" si="162"/>
        <v>3.6269594024361447E-3</v>
      </c>
      <c r="AB599" s="1">
        <f t="shared" si="163"/>
        <v>9.4723146285869593E-3</v>
      </c>
      <c r="AC599" s="1">
        <f t="shared" si="164"/>
        <v>8.0720735279557441E-3</v>
      </c>
      <c r="AK599" s="17" t="s">
        <v>1188</v>
      </c>
      <c r="AL599" s="17">
        <f t="shared" si="165"/>
        <v>2.5031285162223155E-2</v>
      </c>
      <c r="AM599" s="17">
        <f t="shared" si="166"/>
        <v>1.3870935866863773E-2</v>
      </c>
      <c r="AO599" s="17" t="s">
        <v>1900</v>
      </c>
      <c r="AP599" s="17">
        <f t="shared" si="167"/>
        <v>0.56801491117491476</v>
      </c>
      <c r="AR599" s="1" t="s">
        <v>478</v>
      </c>
      <c r="AS599" s="17">
        <f t="shared" si="168"/>
        <v>0.56801491117491476</v>
      </c>
      <c r="AT599" s="17">
        <f t="shared" si="169"/>
        <v>495</v>
      </c>
    </row>
    <row r="600" spans="6:46" x14ac:dyDescent="0.3">
      <c r="F600" s="1">
        <v>598</v>
      </c>
      <c r="G600" s="1" t="s">
        <v>407</v>
      </c>
      <c r="H600" s="1">
        <v>0</v>
      </c>
      <c r="I600" s="1">
        <v>68</v>
      </c>
      <c r="J600" s="1">
        <v>3</v>
      </c>
      <c r="K600" s="1">
        <v>2</v>
      </c>
      <c r="M600" s="1" t="s">
        <v>407</v>
      </c>
      <c r="N600" s="1">
        <f t="shared" si="153"/>
        <v>0</v>
      </c>
      <c r="O600" s="1">
        <f t="shared" si="154"/>
        <v>0.64761904761904765</v>
      </c>
      <c r="P600" s="1">
        <f t="shared" si="155"/>
        <v>0.33333333333333331</v>
      </c>
      <c r="Q600" s="1">
        <f t="shared" si="156"/>
        <v>0.66666666666666663</v>
      </c>
      <c r="S600" s="1" t="s">
        <v>407</v>
      </c>
      <c r="T600" s="1">
        <f t="shared" si="157"/>
        <v>0</v>
      </c>
      <c r="U600" s="1">
        <f t="shared" si="158"/>
        <v>4.9326647873131568E-2</v>
      </c>
      <c r="V600" s="1">
        <f t="shared" si="159"/>
        <v>2.1049588063526574E-2</v>
      </c>
      <c r="W600" s="1">
        <f t="shared" si="160"/>
        <v>2.6906911759852478E-2</v>
      </c>
      <c r="Y600" s="1" t="s">
        <v>407</v>
      </c>
      <c r="Z600" s="1">
        <f t="shared" si="161"/>
        <v>0</v>
      </c>
      <c r="AA600" s="1">
        <f t="shared" si="162"/>
        <v>9.8653295746263144E-3</v>
      </c>
      <c r="AB600" s="1">
        <f t="shared" si="163"/>
        <v>6.314876419057972E-3</v>
      </c>
      <c r="AC600" s="1">
        <f t="shared" si="164"/>
        <v>5.3813823519704958E-3</v>
      </c>
      <c r="AK600" s="17" t="s">
        <v>1189</v>
      </c>
      <c r="AL600" s="17">
        <f t="shared" si="165"/>
        <v>3.071107111281221E-2</v>
      </c>
      <c r="AM600" s="17">
        <f t="shared" si="166"/>
        <v>1.4535731266883371E-2</v>
      </c>
      <c r="AO600" s="17" t="s">
        <v>1901</v>
      </c>
      <c r="AP600" s="17">
        <f t="shared" si="167"/>
        <v>0.48784163497465977</v>
      </c>
      <c r="AR600" s="1" t="s">
        <v>407</v>
      </c>
      <c r="AS600" s="17">
        <f t="shared" si="168"/>
        <v>0.48784163497465977</v>
      </c>
      <c r="AT600" s="17">
        <f t="shared" si="169"/>
        <v>549</v>
      </c>
    </row>
    <row r="601" spans="6:46" x14ac:dyDescent="0.3">
      <c r="F601" s="1">
        <v>599</v>
      </c>
      <c r="G601" s="1" t="s">
        <v>479</v>
      </c>
      <c r="H601" s="1">
        <v>1</v>
      </c>
      <c r="I601" s="1">
        <v>56</v>
      </c>
      <c r="J601" s="1">
        <v>2</v>
      </c>
      <c r="K601" s="1">
        <v>3</v>
      </c>
      <c r="M601" s="1" t="s">
        <v>479</v>
      </c>
      <c r="N601" s="1">
        <f t="shared" si="153"/>
        <v>0.14285714285714285</v>
      </c>
      <c r="O601" s="1">
        <f t="shared" si="154"/>
        <v>0.53333333333333333</v>
      </c>
      <c r="P601" s="1">
        <f t="shared" si="155"/>
        <v>0.5</v>
      </c>
      <c r="Q601" s="1">
        <f t="shared" si="156"/>
        <v>1</v>
      </c>
      <c r="S601" s="1" t="s">
        <v>479</v>
      </c>
      <c r="T601" s="1">
        <f t="shared" si="157"/>
        <v>1.4291548761875762E-2</v>
      </c>
      <c r="U601" s="1">
        <f t="shared" si="158"/>
        <v>4.0621945307284822E-2</v>
      </c>
      <c r="V601" s="1">
        <f t="shared" si="159"/>
        <v>3.1574382095289864E-2</v>
      </c>
      <c r="W601" s="1">
        <f t="shared" si="160"/>
        <v>4.0360367639778717E-2</v>
      </c>
      <c r="Y601" s="1" t="s">
        <v>479</v>
      </c>
      <c r="Z601" s="1">
        <f t="shared" si="161"/>
        <v>4.2874646285627283E-3</v>
      </c>
      <c r="AA601" s="1">
        <f t="shared" si="162"/>
        <v>8.1243890614569655E-3</v>
      </c>
      <c r="AB601" s="1">
        <f t="shared" si="163"/>
        <v>9.4723146285869593E-3</v>
      </c>
      <c r="AC601" s="1">
        <f t="shared" si="164"/>
        <v>8.0720735279557441E-3</v>
      </c>
      <c r="AK601" s="17" t="s">
        <v>1190</v>
      </c>
      <c r="AL601" s="17">
        <f t="shared" si="165"/>
        <v>2.7287382177783166E-2</v>
      </c>
      <c r="AM601" s="17">
        <f t="shared" si="166"/>
        <v>1.2704233754391397E-2</v>
      </c>
      <c r="AO601" s="17" t="s">
        <v>1902</v>
      </c>
      <c r="AP601" s="17">
        <f t="shared" si="167"/>
        <v>0.47827596473322187</v>
      </c>
      <c r="AR601" s="1" t="s">
        <v>479</v>
      </c>
      <c r="AS601" s="17">
        <f t="shared" si="168"/>
        <v>0.47827596473322187</v>
      </c>
      <c r="AT601" s="17">
        <f t="shared" si="169"/>
        <v>553</v>
      </c>
    </row>
    <row r="602" spans="6:46" x14ac:dyDescent="0.3">
      <c r="F602" s="1">
        <v>600</v>
      </c>
      <c r="G602" s="1" t="s">
        <v>480</v>
      </c>
      <c r="H602" s="1">
        <v>3</v>
      </c>
      <c r="I602" s="1">
        <v>42</v>
      </c>
      <c r="J602" s="1">
        <v>5</v>
      </c>
      <c r="K602" s="1">
        <v>3</v>
      </c>
      <c r="M602" s="1" t="s">
        <v>480</v>
      </c>
      <c r="N602" s="1">
        <f t="shared" si="153"/>
        <v>0.42857142857142855</v>
      </c>
      <c r="O602" s="1">
        <f t="shared" si="154"/>
        <v>0.4</v>
      </c>
      <c r="P602" s="1">
        <f t="shared" si="155"/>
        <v>0.2</v>
      </c>
      <c r="Q602" s="1">
        <f t="shared" si="156"/>
        <v>1</v>
      </c>
      <c r="S602" s="1" t="s">
        <v>480</v>
      </c>
      <c r="T602" s="1">
        <f t="shared" si="157"/>
        <v>4.2874646285627281E-2</v>
      </c>
      <c r="U602" s="1">
        <f t="shared" si="158"/>
        <v>3.0466458980463618E-2</v>
      </c>
      <c r="V602" s="1">
        <f t="shared" si="159"/>
        <v>1.2629752838115946E-2</v>
      </c>
      <c r="W602" s="1">
        <f t="shared" si="160"/>
        <v>4.0360367639778717E-2</v>
      </c>
      <c r="Y602" s="1" t="s">
        <v>480</v>
      </c>
      <c r="Z602" s="1">
        <f t="shared" si="161"/>
        <v>1.2862393885688184E-2</v>
      </c>
      <c r="AA602" s="1">
        <f t="shared" si="162"/>
        <v>6.0932917960927237E-3</v>
      </c>
      <c r="AB602" s="1">
        <f t="shared" si="163"/>
        <v>3.7889258514347836E-3</v>
      </c>
      <c r="AC602" s="1">
        <f t="shared" si="164"/>
        <v>8.0720735279557441E-3</v>
      </c>
      <c r="AK602" s="17" t="s">
        <v>1191</v>
      </c>
      <c r="AL602" s="17">
        <f t="shared" si="165"/>
        <v>1.9433376137757669E-2</v>
      </c>
      <c r="AM602" s="17">
        <f t="shared" si="166"/>
        <v>2.0796992385819873E-2</v>
      </c>
      <c r="AO602" s="17" t="s">
        <v>1903</v>
      </c>
      <c r="AP602" s="17">
        <f t="shared" si="167"/>
        <v>1.0909657699773159</v>
      </c>
      <c r="AR602" s="1" t="s">
        <v>480</v>
      </c>
      <c r="AS602" s="17">
        <f t="shared" si="168"/>
        <v>1.0909657699773159</v>
      </c>
      <c r="AT602" s="17">
        <f t="shared" si="169"/>
        <v>109</v>
      </c>
    </row>
    <row r="603" spans="6:46" x14ac:dyDescent="0.3">
      <c r="F603" s="1">
        <v>601</v>
      </c>
      <c r="G603" s="1" t="s">
        <v>481</v>
      </c>
      <c r="H603" s="1">
        <v>2</v>
      </c>
      <c r="I603" s="1">
        <v>51</v>
      </c>
      <c r="J603" s="1">
        <v>2</v>
      </c>
      <c r="K603" s="1">
        <v>3</v>
      </c>
      <c r="M603" s="1" t="s">
        <v>481</v>
      </c>
      <c r="N603" s="1">
        <f t="shared" si="153"/>
        <v>0.2857142857142857</v>
      </c>
      <c r="O603" s="1">
        <f t="shared" si="154"/>
        <v>0.48571428571428571</v>
      </c>
      <c r="P603" s="1">
        <f t="shared" si="155"/>
        <v>0.5</v>
      </c>
      <c r="Q603" s="1">
        <f t="shared" si="156"/>
        <v>1</v>
      </c>
      <c r="S603" s="1" t="s">
        <v>481</v>
      </c>
      <c r="T603" s="1">
        <f t="shared" si="157"/>
        <v>2.8583097523751523E-2</v>
      </c>
      <c r="U603" s="1">
        <f t="shared" si="158"/>
        <v>3.6994985904848676E-2</v>
      </c>
      <c r="V603" s="1">
        <f t="shared" si="159"/>
        <v>3.1574382095289864E-2</v>
      </c>
      <c r="W603" s="1">
        <f t="shared" si="160"/>
        <v>4.0360367639778717E-2</v>
      </c>
      <c r="Y603" s="1" t="s">
        <v>481</v>
      </c>
      <c r="Z603" s="1">
        <f t="shared" si="161"/>
        <v>8.5749292571254566E-3</v>
      </c>
      <c r="AA603" s="1">
        <f t="shared" si="162"/>
        <v>7.3989971809697358E-3</v>
      </c>
      <c r="AB603" s="1">
        <f t="shared" si="163"/>
        <v>9.4723146285869593E-3</v>
      </c>
      <c r="AC603" s="1">
        <f t="shared" si="164"/>
        <v>8.0720735279557441E-3</v>
      </c>
      <c r="AK603" s="17" t="s">
        <v>1192</v>
      </c>
      <c r="AL603" s="17">
        <f t="shared" si="165"/>
        <v>2.3520946566776568E-2</v>
      </c>
      <c r="AM603" s="17">
        <f t="shared" si="166"/>
        <v>1.4488429090769629E-2</v>
      </c>
      <c r="AO603" s="17" t="s">
        <v>1904</v>
      </c>
      <c r="AP603" s="17">
        <f t="shared" si="167"/>
        <v>0.63046827708016107</v>
      </c>
      <c r="AR603" s="1" t="s">
        <v>481</v>
      </c>
      <c r="AS603" s="17">
        <f t="shared" si="168"/>
        <v>0.63046827708016107</v>
      </c>
      <c r="AT603" s="17">
        <f t="shared" si="169"/>
        <v>399</v>
      </c>
    </row>
    <row r="604" spans="6:46" x14ac:dyDescent="0.3">
      <c r="F604" s="1">
        <v>602</v>
      </c>
      <c r="G604" s="1" t="s">
        <v>482</v>
      </c>
      <c r="H604" s="1">
        <v>0</v>
      </c>
      <c r="I604" s="1">
        <v>27</v>
      </c>
      <c r="J604" s="1">
        <v>3</v>
      </c>
      <c r="K604" s="1">
        <v>1</v>
      </c>
      <c r="M604" s="1" t="s">
        <v>482</v>
      </c>
      <c r="N604" s="1">
        <f t="shared" si="153"/>
        <v>0</v>
      </c>
      <c r="O604" s="1">
        <f t="shared" si="154"/>
        <v>0.25714285714285712</v>
      </c>
      <c r="P604" s="1">
        <f t="shared" si="155"/>
        <v>0.33333333333333331</v>
      </c>
      <c r="Q604" s="1">
        <f t="shared" si="156"/>
        <v>0.33333333333333331</v>
      </c>
      <c r="S604" s="1" t="s">
        <v>482</v>
      </c>
      <c r="T604" s="1">
        <f t="shared" si="157"/>
        <v>0</v>
      </c>
      <c r="U604" s="1">
        <f t="shared" si="158"/>
        <v>1.9585580773155181E-2</v>
      </c>
      <c r="V604" s="1">
        <f t="shared" si="159"/>
        <v>2.1049588063526574E-2</v>
      </c>
      <c r="W604" s="1">
        <f t="shared" si="160"/>
        <v>1.3453455879926239E-2</v>
      </c>
      <c r="Y604" s="1" t="s">
        <v>482</v>
      </c>
      <c r="Z604" s="1">
        <f t="shared" si="161"/>
        <v>0</v>
      </c>
      <c r="AA604" s="1">
        <f t="shared" si="162"/>
        <v>3.9171161546310363E-3</v>
      </c>
      <c r="AB604" s="1">
        <f t="shared" si="163"/>
        <v>6.314876419057972E-3</v>
      </c>
      <c r="AC604" s="1">
        <f t="shared" si="164"/>
        <v>2.6906911759852479E-3</v>
      </c>
      <c r="AK604" s="17" t="s">
        <v>1193</v>
      </c>
      <c r="AL604" s="17">
        <f t="shared" si="165"/>
        <v>3.2620996573219332E-2</v>
      </c>
      <c r="AM604" s="17">
        <f t="shared" si="166"/>
        <v>1.2650567186184758E-2</v>
      </c>
      <c r="AO604" s="17" t="s">
        <v>1905</v>
      </c>
      <c r="AP604" s="17">
        <f t="shared" si="167"/>
        <v>0.40045500344213958</v>
      </c>
      <c r="AR604" s="1" t="s">
        <v>482</v>
      </c>
      <c r="AS604" s="17">
        <f t="shared" si="168"/>
        <v>0.40045500344213958</v>
      </c>
      <c r="AT604" s="17">
        <f t="shared" si="169"/>
        <v>599</v>
      </c>
    </row>
    <row r="605" spans="6:46" x14ac:dyDescent="0.3">
      <c r="F605" s="1">
        <v>603</v>
      </c>
      <c r="G605" s="1" t="s">
        <v>483</v>
      </c>
      <c r="H605" s="1">
        <v>3</v>
      </c>
      <c r="I605" s="1">
        <v>52</v>
      </c>
      <c r="J605" s="1">
        <v>2</v>
      </c>
      <c r="K605" s="1">
        <v>3</v>
      </c>
      <c r="M605" s="1" t="s">
        <v>483</v>
      </c>
      <c r="N605" s="1">
        <f t="shared" si="153"/>
        <v>0.42857142857142855</v>
      </c>
      <c r="O605" s="1">
        <f t="shared" si="154"/>
        <v>0.49523809523809526</v>
      </c>
      <c r="P605" s="1">
        <f t="shared" si="155"/>
        <v>0.5</v>
      </c>
      <c r="Q605" s="1">
        <f t="shared" si="156"/>
        <v>1</v>
      </c>
      <c r="S605" s="1" t="s">
        <v>483</v>
      </c>
      <c r="T605" s="1">
        <f t="shared" si="157"/>
        <v>4.2874646285627281E-2</v>
      </c>
      <c r="U605" s="1">
        <f t="shared" si="158"/>
        <v>3.7720377785335907E-2</v>
      </c>
      <c r="V605" s="1">
        <f t="shared" si="159"/>
        <v>3.1574382095289864E-2</v>
      </c>
      <c r="W605" s="1">
        <f t="shared" si="160"/>
        <v>4.0360367639778717E-2</v>
      </c>
      <c r="Y605" s="1" t="s">
        <v>483</v>
      </c>
      <c r="Z605" s="1">
        <f t="shared" si="161"/>
        <v>1.2862393885688184E-2</v>
      </c>
      <c r="AA605" s="1">
        <f t="shared" si="162"/>
        <v>7.5440755570671814E-3</v>
      </c>
      <c r="AB605" s="1">
        <f t="shared" si="163"/>
        <v>9.4723146285869593E-3</v>
      </c>
      <c r="AC605" s="1">
        <f t="shared" si="164"/>
        <v>8.0720735279557441E-3</v>
      </c>
      <c r="AK605" s="17" t="s">
        <v>1194</v>
      </c>
      <c r="AL605" s="17">
        <f t="shared" si="165"/>
        <v>1.9635214367533273E-2</v>
      </c>
      <c r="AM605" s="17">
        <f t="shared" si="166"/>
        <v>1.7408852880118078E-2</v>
      </c>
      <c r="AO605" s="17" t="s">
        <v>1906</v>
      </c>
      <c r="AP605" s="17">
        <f t="shared" si="167"/>
        <v>0.90402269647041411</v>
      </c>
      <c r="AR605" s="1" t="s">
        <v>483</v>
      </c>
      <c r="AS605" s="17">
        <f t="shared" si="168"/>
        <v>0.90402269647041411</v>
      </c>
      <c r="AT605" s="17">
        <f t="shared" si="169"/>
        <v>178</v>
      </c>
    </row>
    <row r="606" spans="6:46" x14ac:dyDescent="0.3">
      <c r="F606" s="1">
        <v>604</v>
      </c>
      <c r="G606" s="1" t="s">
        <v>484</v>
      </c>
      <c r="H606" s="1">
        <v>1</v>
      </c>
      <c r="I606" s="1">
        <v>33</v>
      </c>
      <c r="J606" s="1">
        <v>1</v>
      </c>
      <c r="K606" s="1">
        <v>3</v>
      </c>
      <c r="M606" s="1" t="s">
        <v>484</v>
      </c>
      <c r="N606" s="1">
        <f t="shared" si="153"/>
        <v>0.14285714285714285</v>
      </c>
      <c r="O606" s="1">
        <f t="shared" si="154"/>
        <v>0.31428571428571428</v>
      </c>
      <c r="P606" s="1">
        <f t="shared" si="155"/>
        <v>1</v>
      </c>
      <c r="Q606" s="1">
        <f t="shared" si="156"/>
        <v>1</v>
      </c>
      <c r="S606" s="1" t="s">
        <v>484</v>
      </c>
      <c r="T606" s="1">
        <f t="shared" si="157"/>
        <v>1.4291548761875762E-2</v>
      </c>
      <c r="U606" s="1">
        <f t="shared" si="158"/>
        <v>2.3937932056078554E-2</v>
      </c>
      <c r="V606" s="1">
        <f t="shared" si="159"/>
        <v>6.3148764190579729E-2</v>
      </c>
      <c r="W606" s="1">
        <f t="shared" si="160"/>
        <v>4.0360367639778717E-2</v>
      </c>
      <c r="Y606" s="1" t="s">
        <v>484</v>
      </c>
      <c r="Z606" s="1">
        <f t="shared" si="161"/>
        <v>4.2874646285627283E-3</v>
      </c>
      <c r="AA606" s="1">
        <f t="shared" si="162"/>
        <v>4.7875864112157107E-3</v>
      </c>
      <c r="AB606" s="1">
        <f t="shared" si="163"/>
        <v>1.8944629257173919E-2</v>
      </c>
      <c r="AC606" s="1">
        <f t="shared" si="164"/>
        <v>8.0720735279557441E-3</v>
      </c>
      <c r="AK606" s="17" t="s">
        <v>1195</v>
      </c>
      <c r="AL606" s="17">
        <f t="shared" si="165"/>
        <v>3.1631811692334109E-2</v>
      </c>
      <c r="AM606" s="17">
        <f t="shared" si="166"/>
        <v>7.0631724401868986E-3</v>
      </c>
      <c r="AO606" s="17" t="s">
        <v>1907</v>
      </c>
      <c r="AP606" s="17">
        <f t="shared" si="167"/>
        <v>0.23035649844018458</v>
      </c>
      <c r="AR606" s="1" t="s">
        <v>484</v>
      </c>
      <c r="AS606" s="17">
        <f t="shared" si="168"/>
        <v>0.23035649844018458</v>
      </c>
      <c r="AT606" s="17">
        <f t="shared" si="169"/>
        <v>671</v>
      </c>
    </row>
    <row r="607" spans="6:46" x14ac:dyDescent="0.3">
      <c r="F607" s="1">
        <v>605</v>
      </c>
      <c r="G607" s="1" t="s">
        <v>485</v>
      </c>
      <c r="H607" s="1">
        <v>3</v>
      </c>
      <c r="I607" s="1">
        <v>41</v>
      </c>
      <c r="J607" s="1">
        <v>1</v>
      </c>
      <c r="K607" s="1">
        <v>3</v>
      </c>
      <c r="M607" s="1" t="s">
        <v>485</v>
      </c>
      <c r="N607" s="1">
        <f t="shared" si="153"/>
        <v>0.42857142857142855</v>
      </c>
      <c r="O607" s="1">
        <f t="shared" si="154"/>
        <v>0.39047619047619048</v>
      </c>
      <c r="P607" s="1">
        <f t="shared" si="155"/>
        <v>1</v>
      </c>
      <c r="Q607" s="1">
        <f t="shared" si="156"/>
        <v>1</v>
      </c>
      <c r="S607" s="1" t="s">
        <v>485</v>
      </c>
      <c r="T607" s="1">
        <f t="shared" si="157"/>
        <v>4.2874646285627281E-2</v>
      </c>
      <c r="U607" s="1">
        <f t="shared" si="158"/>
        <v>2.9741067099976388E-2</v>
      </c>
      <c r="V607" s="1">
        <f t="shared" si="159"/>
        <v>6.3148764190579729E-2</v>
      </c>
      <c r="W607" s="1">
        <f t="shared" si="160"/>
        <v>4.0360367639778717E-2</v>
      </c>
      <c r="Y607" s="1" t="s">
        <v>485</v>
      </c>
      <c r="Z607" s="1">
        <f t="shared" si="161"/>
        <v>1.2862393885688184E-2</v>
      </c>
      <c r="AA607" s="1">
        <f t="shared" si="162"/>
        <v>5.9482134199952781E-3</v>
      </c>
      <c r="AB607" s="1">
        <f t="shared" si="163"/>
        <v>1.8944629257173919E-2</v>
      </c>
      <c r="AC607" s="1">
        <f t="shared" si="164"/>
        <v>8.0720735279557441E-3</v>
      </c>
      <c r="AK607" s="17" t="s">
        <v>1196</v>
      </c>
      <c r="AL607" s="17">
        <f t="shared" si="165"/>
        <v>2.4698674381555541E-2</v>
      </c>
      <c r="AM607" s="17">
        <f t="shared" si="166"/>
        <v>1.4212624138416004E-2</v>
      </c>
      <c r="AO607" s="17" t="s">
        <v>1908</v>
      </c>
      <c r="AP607" s="17">
        <f t="shared" si="167"/>
        <v>0.58965339147893758</v>
      </c>
      <c r="AR607" s="1" t="s">
        <v>485</v>
      </c>
      <c r="AS607" s="17">
        <f t="shared" si="168"/>
        <v>0.58965339147893758</v>
      </c>
      <c r="AT607" s="17">
        <f t="shared" si="169"/>
        <v>454</v>
      </c>
    </row>
    <row r="608" spans="6:46" x14ac:dyDescent="0.3">
      <c r="F608" s="1">
        <v>606</v>
      </c>
      <c r="G608" s="1" t="s">
        <v>411</v>
      </c>
      <c r="H608" s="1">
        <v>4</v>
      </c>
      <c r="I608" s="1">
        <v>51</v>
      </c>
      <c r="J608" s="1">
        <v>2</v>
      </c>
      <c r="K608" s="1">
        <v>3</v>
      </c>
      <c r="M608" s="1" t="s">
        <v>411</v>
      </c>
      <c r="N608" s="1">
        <f t="shared" si="153"/>
        <v>0.5714285714285714</v>
      </c>
      <c r="O608" s="1">
        <f t="shared" si="154"/>
        <v>0.48571428571428571</v>
      </c>
      <c r="P608" s="1">
        <f t="shared" si="155"/>
        <v>0.5</v>
      </c>
      <c r="Q608" s="1">
        <f t="shared" si="156"/>
        <v>1</v>
      </c>
      <c r="S608" s="1" t="s">
        <v>411</v>
      </c>
      <c r="T608" s="1">
        <f t="shared" si="157"/>
        <v>5.7166195047503046E-2</v>
      </c>
      <c r="U608" s="1">
        <f t="shared" si="158"/>
        <v>3.6994985904848676E-2</v>
      </c>
      <c r="V608" s="1">
        <f t="shared" si="159"/>
        <v>3.1574382095289864E-2</v>
      </c>
      <c r="W608" s="1">
        <f t="shared" si="160"/>
        <v>4.0360367639778717E-2</v>
      </c>
      <c r="Y608" s="1" t="s">
        <v>411</v>
      </c>
      <c r="Z608" s="1">
        <f t="shared" si="161"/>
        <v>1.7149858514250913E-2</v>
      </c>
      <c r="AA608" s="1">
        <f t="shared" si="162"/>
        <v>7.3989971809697358E-3</v>
      </c>
      <c r="AB608" s="1">
        <f t="shared" si="163"/>
        <v>9.4723146285869593E-3</v>
      </c>
      <c r="AC608" s="1">
        <f t="shared" si="164"/>
        <v>8.0720735279557441E-3</v>
      </c>
      <c r="AK608" s="17" t="s">
        <v>1197</v>
      </c>
      <c r="AL608" s="17">
        <f t="shared" si="165"/>
        <v>1.6097120249856305E-2</v>
      </c>
      <c r="AM608" s="17">
        <f t="shared" si="166"/>
        <v>2.0748561704667098E-2</v>
      </c>
      <c r="AO608" s="17" t="s">
        <v>1909</v>
      </c>
      <c r="AP608" s="17">
        <f t="shared" si="167"/>
        <v>1.3097096542859512</v>
      </c>
      <c r="AR608" s="1" t="s">
        <v>411</v>
      </c>
      <c r="AS608" s="17">
        <f t="shared" si="168"/>
        <v>1.3097096542859512</v>
      </c>
      <c r="AT608" s="17">
        <f t="shared" si="169"/>
        <v>59</v>
      </c>
    </row>
    <row r="609" spans="6:46" x14ac:dyDescent="0.3">
      <c r="F609" s="1">
        <v>607</v>
      </c>
      <c r="G609" s="1" t="s">
        <v>486</v>
      </c>
      <c r="H609" s="1">
        <v>2</v>
      </c>
      <c r="I609" s="1">
        <v>55</v>
      </c>
      <c r="J609" s="1">
        <v>2</v>
      </c>
      <c r="K609" s="1">
        <v>3</v>
      </c>
      <c r="M609" s="1" t="s">
        <v>486</v>
      </c>
      <c r="N609" s="1">
        <f t="shared" si="153"/>
        <v>0.2857142857142857</v>
      </c>
      <c r="O609" s="1">
        <f t="shared" si="154"/>
        <v>0.52380952380952384</v>
      </c>
      <c r="P609" s="1">
        <f t="shared" si="155"/>
        <v>0.5</v>
      </c>
      <c r="Q609" s="1">
        <f t="shared" si="156"/>
        <v>1</v>
      </c>
      <c r="S609" s="1" t="s">
        <v>486</v>
      </c>
      <c r="T609" s="1">
        <f t="shared" si="157"/>
        <v>2.8583097523751523E-2</v>
      </c>
      <c r="U609" s="1">
        <f t="shared" si="158"/>
        <v>3.9896553426797592E-2</v>
      </c>
      <c r="V609" s="1">
        <f t="shared" si="159"/>
        <v>3.1574382095289864E-2</v>
      </c>
      <c r="W609" s="1">
        <f t="shared" si="160"/>
        <v>4.0360367639778717E-2</v>
      </c>
      <c r="Y609" s="1" t="s">
        <v>486</v>
      </c>
      <c r="Z609" s="1">
        <f t="shared" si="161"/>
        <v>8.5749292571254566E-3</v>
      </c>
      <c r="AA609" s="1">
        <f t="shared" si="162"/>
        <v>7.979310685359519E-3</v>
      </c>
      <c r="AB609" s="1">
        <f t="shared" si="163"/>
        <v>9.4723146285869593E-3</v>
      </c>
      <c r="AC609" s="1">
        <f t="shared" si="164"/>
        <v>8.0720735279557441E-3</v>
      </c>
      <c r="AK609" s="17" t="s">
        <v>1198</v>
      </c>
      <c r="AL609" s="17">
        <f t="shared" si="165"/>
        <v>2.3334075288070719E-2</v>
      </c>
      <c r="AM609" s="17">
        <f t="shared" si="166"/>
        <v>1.4667461124905206E-2</v>
      </c>
      <c r="AO609" s="17" t="s">
        <v>1910</v>
      </c>
      <c r="AP609" s="17">
        <f t="shared" si="167"/>
        <v>0.64325295010735395</v>
      </c>
      <c r="AR609" s="1" t="s">
        <v>486</v>
      </c>
      <c r="AS609" s="17">
        <f t="shared" si="168"/>
        <v>0.64325295010735395</v>
      </c>
      <c r="AT609" s="17">
        <f t="shared" si="169"/>
        <v>388</v>
      </c>
    </row>
    <row r="610" spans="6:46" x14ac:dyDescent="0.3">
      <c r="F610" s="1">
        <v>608</v>
      </c>
      <c r="G610" s="1" t="s">
        <v>487</v>
      </c>
      <c r="H610" s="1">
        <v>1</v>
      </c>
      <c r="I610" s="1">
        <v>35</v>
      </c>
      <c r="J610" s="1">
        <v>1</v>
      </c>
      <c r="K610" s="1">
        <v>2</v>
      </c>
      <c r="M610" s="1" t="s">
        <v>487</v>
      </c>
      <c r="N610" s="1">
        <f t="shared" si="153"/>
        <v>0.14285714285714285</v>
      </c>
      <c r="O610" s="1">
        <f t="shared" si="154"/>
        <v>0.33333333333333331</v>
      </c>
      <c r="P610" s="1">
        <f t="shared" si="155"/>
        <v>1</v>
      </c>
      <c r="Q610" s="1">
        <f t="shared" si="156"/>
        <v>0.66666666666666663</v>
      </c>
      <c r="S610" s="1" t="s">
        <v>487</v>
      </c>
      <c r="T610" s="1">
        <f t="shared" si="157"/>
        <v>1.4291548761875762E-2</v>
      </c>
      <c r="U610" s="1">
        <f t="shared" si="158"/>
        <v>2.5388715817053011E-2</v>
      </c>
      <c r="V610" s="1">
        <f t="shared" si="159"/>
        <v>6.3148764190579729E-2</v>
      </c>
      <c r="W610" s="1">
        <f t="shared" si="160"/>
        <v>2.6906911759852478E-2</v>
      </c>
      <c r="Y610" s="1" t="s">
        <v>487</v>
      </c>
      <c r="Z610" s="1">
        <f t="shared" si="161"/>
        <v>4.2874646285627283E-3</v>
      </c>
      <c r="AA610" s="1">
        <f t="shared" si="162"/>
        <v>5.0777431634106028E-3</v>
      </c>
      <c r="AB610" s="1">
        <f t="shared" si="163"/>
        <v>1.8944629257173919E-2</v>
      </c>
      <c r="AC610" s="1">
        <f t="shared" si="164"/>
        <v>5.3813823519704958E-3</v>
      </c>
      <c r="AK610" s="17" t="s">
        <v>1199</v>
      </c>
      <c r="AL610" s="17">
        <f t="shared" si="165"/>
        <v>3.1651757820757215E-2</v>
      </c>
      <c r="AM610" s="17">
        <f t="shared" si="166"/>
        <v>5.4017811133340605E-3</v>
      </c>
      <c r="AO610" s="17" t="s">
        <v>1911</v>
      </c>
      <c r="AP610" s="17">
        <f t="shared" si="167"/>
        <v>0.17606469165132554</v>
      </c>
      <c r="AR610" s="1" t="s">
        <v>487</v>
      </c>
      <c r="AS610" s="17">
        <f t="shared" si="168"/>
        <v>0.17606469165132554</v>
      </c>
      <c r="AT610" s="17">
        <f t="shared" si="169"/>
        <v>695</v>
      </c>
    </row>
    <row r="611" spans="6:46" x14ac:dyDescent="0.3">
      <c r="F611" s="1">
        <v>609</v>
      </c>
      <c r="G611" s="1" t="s">
        <v>157</v>
      </c>
      <c r="H611" s="1">
        <v>4</v>
      </c>
      <c r="I611" s="1">
        <v>38</v>
      </c>
      <c r="J611" s="1">
        <v>2</v>
      </c>
      <c r="K611" s="1">
        <v>3</v>
      </c>
      <c r="M611" s="1" t="s">
        <v>157</v>
      </c>
      <c r="N611" s="1">
        <f t="shared" si="153"/>
        <v>0.5714285714285714</v>
      </c>
      <c r="O611" s="1">
        <f t="shared" si="154"/>
        <v>0.3619047619047619</v>
      </c>
      <c r="P611" s="1">
        <f t="shared" si="155"/>
        <v>0.5</v>
      </c>
      <c r="Q611" s="1">
        <f t="shared" si="156"/>
        <v>1</v>
      </c>
      <c r="S611" s="1" t="s">
        <v>157</v>
      </c>
      <c r="T611" s="1">
        <f t="shared" si="157"/>
        <v>5.7166195047503046E-2</v>
      </c>
      <c r="U611" s="1">
        <f t="shared" si="158"/>
        <v>2.75648914585147E-2</v>
      </c>
      <c r="V611" s="1">
        <f t="shared" si="159"/>
        <v>3.1574382095289864E-2</v>
      </c>
      <c r="W611" s="1">
        <f t="shared" si="160"/>
        <v>4.0360367639778717E-2</v>
      </c>
      <c r="Y611" s="1" t="s">
        <v>157</v>
      </c>
      <c r="Z611" s="1">
        <f t="shared" si="161"/>
        <v>1.7149858514250913E-2</v>
      </c>
      <c r="AA611" s="1">
        <f t="shared" si="162"/>
        <v>5.5129782917029404E-3</v>
      </c>
      <c r="AB611" s="1">
        <f t="shared" si="163"/>
        <v>9.4723146285869593E-3</v>
      </c>
      <c r="AC611" s="1">
        <f t="shared" si="164"/>
        <v>8.0720735279557441E-3</v>
      </c>
      <c r="AK611" s="17" t="s">
        <v>1200</v>
      </c>
      <c r="AL611" s="17">
        <f t="shared" si="165"/>
        <v>1.7094600545942865E-2</v>
      </c>
      <c r="AM611" s="17">
        <f t="shared" si="166"/>
        <v>2.0449691628821716E-2</v>
      </c>
      <c r="AO611" s="17" t="s">
        <v>1912</v>
      </c>
      <c r="AP611" s="17">
        <f t="shared" si="167"/>
        <v>1.2167158210339413</v>
      </c>
      <c r="AR611" s="1" t="s">
        <v>157</v>
      </c>
      <c r="AS611" s="17">
        <f t="shared" si="168"/>
        <v>1.2167158210339413</v>
      </c>
      <c r="AT611" s="17">
        <f t="shared" si="169"/>
        <v>82</v>
      </c>
    </row>
    <row r="612" spans="6:46" x14ac:dyDescent="0.3">
      <c r="F612" s="1">
        <v>610</v>
      </c>
      <c r="G612" s="1" t="s">
        <v>488</v>
      </c>
      <c r="H612" s="1">
        <v>2</v>
      </c>
      <c r="I612" s="1">
        <v>25</v>
      </c>
      <c r="J612" s="1">
        <v>2</v>
      </c>
      <c r="K612" s="1">
        <v>3</v>
      </c>
      <c r="M612" s="1" t="s">
        <v>488</v>
      </c>
      <c r="N612" s="1">
        <f t="shared" si="153"/>
        <v>0.2857142857142857</v>
      </c>
      <c r="O612" s="1">
        <f t="shared" si="154"/>
        <v>0.23809523809523808</v>
      </c>
      <c r="P612" s="1">
        <f t="shared" si="155"/>
        <v>0.5</v>
      </c>
      <c r="Q612" s="1">
        <f t="shared" si="156"/>
        <v>1</v>
      </c>
      <c r="S612" s="1" t="s">
        <v>488</v>
      </c>
      <c r="T612" s="1">
        <f t="shared" si="157"/>
        <v>2.8583097523751523E-2</v>
      </c>
      <c r="U612" s="1">
        <f t="shared" si="158"/>
        <v>1.8134797012180723E-2</v>
      </c>
      <c r="V612" s="1">
        <f t="shared" si="159"/>
        <v>3.1574382095289864E-2</v>
      </c>
      <c r="W612" s="1">
        <f t="shared" si="160"/>
        <v>4.0360367639778717E-2</v>
      </c>
      <c r="Y612" s="1" t="s">
        <v>488</v>
      </c>
      <c r="Z612" s="1">
        <f t="shared" si="161"/>
        <v>8.5749292571254566E-3</v>
      </c>
      <c r="AA612" s="1">
        <f t="shared" si="162"/>
        <v>3.6269594024361447E-3</v>
      </c>
      <c r="AB612" s="1">
        <f t="shared" si="163"/>
        <v>9.4723146285869593E-3</v>
      </c>
      <c r="AC612" s="1">
        <f t="shared" si="164"/>
        <v>8.0720735279557441E-3</v>
      </c>
      <c r="AK612" s="17" t="s">
        <v>1201</v>
      </c>
      <c r="AL612" s="17">
        <f t="shared" si="165"/>
        <v>2.5031285162223155E-2</v>
      </c>
      <c r="AM612" s="17">
        <f t="shared" si="166"/>
        <v>1.3870935866863773E-2</v>
      </c>
      <c r="AO612" s="17" t="s">
        <v>1913</v>
      </c>
      <c r="AP612" s="17">
        <f t="shared" si="167"/>
        <v>0.56801491117491476</v>
      </c>
      <c r="AR612" s="1" t="s">
        <v>488</v>
      </c>
      <c r="AS612" s="17">
        <f t="shared" si="168"/>
        <v>0.56801491117491476</v>
      </c>
      <c r="AT612" s="17">
        <f t="shared" si="169"/>
        <v>495</v>
      </c>
    </row>
    <row r="613" spans="6:46" x14ac:dyDescent="0.3">
      <c r="F613" s="1">
        <v>611</v>
      </c>
      <c r="G613" s="1" t="s">
        <v>489</v>
      </c>
      <c r="H613" s="1">
        <v>5</v>
      </c>
      <c r="I613" s="1">
        <v>44</v>
      </c>
      <c r="J613" s="1">
        <v>2</v>
      </c>
      <c r="K613" s="1">
        <v>3</v>
      </c>
      <c r="M613" s="1" t="s">
        <v>489</v>
      </c>
      <c r="N613" s="1">
        <f t="shared" si="153"/>
        <v>0.7142857142857143</v>
      </c>
      <c r="O613" s="1">
        <f t="shared" si="154"/>
        <v>0.41904761904761906</v>
      </c>
      <c r="P613" s="1">
        <f t="shared" si="155"/>
        <v>0.5</v>
      </c>
      <c r="Q613" s="1">
        <f t="shared" si="156"/>
        <v>1</v>
      </c>
      <c r="S613" s="1" t="s">
        <v>489</v>
      </c>
      <c r="T613" s="1">
        <f t="shared" si="157"/>
        <v>7.1457743809378804E-2</v>
      </c>
      <c r="U613" s="1">
        <f t="shared" si="158"/>
        <v>3.1917242741438076E-2</v>
      </c>
      <c r="V613" s="1">
        <f t="shared" si="159"/>
        <v>3.1574382095289864E-2</v>
      </c>
      <c r="W613" s="1">
        <f t="shared" si="160"/>
        <v>4.0360367639778717E-2</v>
      </c>
      <c r="Y613" s="1" t="s">
        <v>489</v>
      </c>
      <c r="Z613" s="1">
        <f t="shared" si="161"/>
        <v>2.1437323142813641E-2</v>
      </c>
      <c r="AA613" s="1">
        <f t="shared" si="162"/>
        <v>6.3834485482876157E-3</v>
      </c>
      <c r="AB613" s="1">
        <f t="shared" si="163"/>
        <v>9.4723146285869593E-3</v>
      </c>
      <c r="AC613" s="1">
        <f t="shared" si="164"/>
        <v>8.0720735279557441E-3</v>
      </c>
      <c r="AK613" s="17" t="s">
        <v>1202</v>
      </c>
      <c r="AL613" s="17">
        <f t="shared" si="165"/>
        <v>1.3570148948237971E-2</v>
      </c>
      <c r="AM613" s="17">
        <f t="shared" si="166"/>
        <v>2.4257575060434505E-2</v>
      </c>
      <c r="AO613" s="17" t="s">
        <v>1914</v>
      </c>
      <c r="AP613" s="17">
        <f t="shared" si="167"/>
        <v>1.8118263890036486</v>
      </c>
      <c r="AR613" s="1" t="s">
        <v>489</v>
      </c>
      <c r="AS613" s="17">
        <f t="shared" si="168"/>
        <v>1.8118263890036486</v>
      </c>
      <c r="AT613" s="17">
        <f t="shared" si="169"/>
        <v>21</v>
      </c>
    </row>
    <row r="614" spans="6:46" x14ac:dyDescent="0.3">
      <c r="F614" s="1">
        <v>612</v>
      </c>
      <c r="G614" s="1" t="s">
        <v>490</v>
      </c>
      <c r="H614" s="1">
        <v>4</v>
      </c>
      <c r="I614" s="1">
        <v>45</v>
      </c>
      <c r="J614" s="1">
        <v>2</v>
      </c>
      <c r="K614" s="1">
        <v>3</v>
      </c>
      <c r="M614" s="1" t="s">
        <v>490</v>
      </c>
      <c r="N614" s="1">
        <f t="shared" si="153"/>
        <v>0.5714285714285714</v>
      </c>
      <c r="O614" s="1">
        <f t="shared" si="154"/>
        <v>0.42857142857142855</v>
      </c>
      <c r="P614" s="1">
        <f t="shared" si="155"/>
        <v>0.5</v>
      </c>
      <c r="Q614" s="1">
        <f t="shared" si="156"/>
        <v>1</v>
      </c>
      <c r="S614" s="1" t="s">
        <v>490</v>
      </c>
      <c r="T614" s="1">
        <f t="shared" si="157"/>
        <v>5.7166195047503046E-2</v>
      </c>
      <c r="U614" s="1">
        <f t="shared" si="158"/>
        <v>3.26426346219253E-2</v>
      </c>
      <c r="V614" s="1">
        <f t="shared" si="159"/>
        <v>3.1574382095289864E-2</v>
      </c>
      <c r="W614" s="1">
        <f t="shared" si="160"/>
        <v>4.0360367639778717E-2</v>
      </c>
      <c r="Y614" s="1" t="s">
        <v>490</v>
      </c>
      <c r="Z614" s="1">
        <f t="shared" si="161"/>
        <v>1.7149858514250913E-2</v>
      </c>
      <c r="AA614" s="1">
        <f t="shared" si="162"/>
        <v>6.5285269243850605E-3</v>
      </c>
      <c r="AB614" s="1">
        <f t="shared" si="163"/>
        <v>9.4723146285869593E-3</v>
      </c>
      <c r="AC614" s="1">
        <f t="shared" si="164"/>
        <v>8.0720735279557441E-3</v>
      </c>
      <c r="AK614" s="17" t="s">
        <v>1203</v>
      </c>
      <c r="AL614" s="17">
        <f t="shared" si="165"/>
        <v>1.6538256595624194E-2</v>
      </c>
      <c r="AM614" s="17">
        <f t="shared" si="166"/>
        <v>2.0589704209301396E-2</v>
      </c>
      <c r="AO614" s="17" t="s">
        <v>1915</v>
      </c>
      <c r="AP614" s="17">
        <f t="shared" si="167"/>
        <v>1.2655639909638774</v>
      </c>
      <c r="AR614" s="1" t="s">
        <v>490</v>
      </c>
      <c r="AS614" s="17">
        <f t="shared" si="168"/>
        <v>1.2655639909638774</v>
      </c>
      <c r="AT614" s="17">
        <f t="shared" si="169"/>
        <v>75</v>
      </c>
    </row>
    <row r="615" spans="6:46" x14ac:dyDescent="0.3">
      <c r="F615" s="1">
        <v>613</v>
      </c>
      <c r="G615" s="1" t="s">
        <v>169</v>
      </c>
      <c r="H615" s="1">
        <v>3</v>
      </c>
      <c r="I615" s="1">
        <v>75</v>
      </c>
      <c r="J615" s="1">
        <v>2</v>
      </c>
      <c r="K615" s="1">
        <v>3</v>
      </c>
      <c r="M615" s="1" t="s">
        <v>169</v>
      </c>
      <c r="N615" s="1">
        <f t="shared" si="153"/>
        <v>0.42857142857142855</v>
      </c>
      <c r="O615" s="1">
        <f t="shared" si="154"/>
        <v>0.7142857142857143</v>
      </c>
      <c r="P615" s="1">
        <f t="shared" si="155"/>
        <v>0.5</v>
      </c>
      <c r="Q615" s="1">
        <f t="shared" si="156"/>
        <v>1</v>
      </c>
      <c r="S615" s="1" t="s">
        <v>169</v>
      </c>
      <c r="T615" s="1">
        <f t="shared" si="157"/>
        <v>4.2874646285627281E-2</v>
      </c>
      <c r="U615" s="1">
        <f t="shared" si="158"/>
        <v>5.4404391036542175E-2</v>
      </c>
      <c r="V615" s="1">
        <f t="shared" si="159"/>
        <v>3.1574382095289864E-2</v>
      </c>
      <c r="W615" s="1">
        <f t="shared" si="160"/>
        <v>4.0360367639778717E-2</v>
      </c>
      <c r="Y615" s="1" t="s">
        <v>169</v>
      </c>
      <c r="Z615" s="1">
        <f t="shared" si="161"/>
        <v>1.2862393885688184E-2</v>
      </c>
      <c r="AA615" s="1">
        <f t="shared" si="162"/>
        <v>1.0880878207308436E-2</v>
      </c>
      <c r="AB615" s="1">
        <f t="shared" si="163"/>
        <v>9.4723146285869593E-3</v>
      </c>
      <c r="AC615" s="1">
        <f t="shared" si="164"/>
        <v>8.0720735279557441E-3</v>
      </c>
      <c r="AK615" s="17" t="s">
        <v>1204</v>
      </c>
      <c r="AL615" s="17">
        <f t="shared" si="165"/>
        <v>1.858390477647388E-2</v>
      </c>
      <c r="AM615" s="17">
        <f t="shared" si="166"/>
        <v>1.8526961033033234E-2</v>
      </c>
      <c r="AO615" s="17" t="s">
        <v>1916</v>
      </c>
      <c r="AP615" s="17">
        <f t="shared" si="167"/>
        <v>1.0154628179411715</v>
      </c>
      <c r="AR615" s="1" t="s">
        <v>169</v>
      </c>
      <c r="AS615" s="17">
        <f t="shared" si="168"/>
        <v>1.0154628179411715</v>
      </c>
      <c r="AT615" s="17">
        <f t="shared" si="169"/>
        <v>131</v>
      </c>
    </row>
    <row r="616" spans="6:46" x14ac:dyDescent="0.3">
      <c r="F616" s="1">
        <v>614</v>
      </c>
      <c r="G616" s="1" t="s">
        <v>169</v>
      </c>
      <c r="H616" s="1">
        <v>3</v>
      </c>
      <c r="I616" s="1">
        <v>33</v>
      </c>
      <c r="J616" s="1">
        <v>5</v>
      </c>
      <c r="K616" s="1">
        <v>3</v>
      </c>
      <c r="M616" s="1" t="s">
        <v>169</v>
      </c>
      <c r="N616" s="1">
        <f t="shared" si="153"/>
        <v>0.42857142857142855</v>
      </c>
      <c r="O616" s="1">
        <f t="shared" si="154"/>
        <v>0.31428571428571428</v>
      </c>
      <c r="P616" s="1">
        <f t="shared" si="155"/>
        <v>0.2</v>
      </c>
      <c r="Q616" s="1">
        <f t="shared" si="156"/>
        <v>1</v>
      </c>
      <c r="S616" s="1" t="s">
        <v>169</v>
      </c>
      <c r="T616" s="1">
        <f t="shared" si="157"/>
        <v>4.2874646285627281E-2</v>
      </c>
      <c r="U616" s="1">
        <f t="shared" si="158"/>
        <v>2.3937932056078554E-2</v>
      </c>
      <c r="V616" s="1">
        <f t="shared" si="159"/>
        <v>1.2629752838115946E-2</v>
      </c>
      <c r="W616" s="1">
        <f t="shared" si="160"/>
        <v>4.0360367639778717E-2</v>
      </c>
      <c r="Y616" s="1" t="s">
        <v>169</v>
      </c>
      <c r="Z616" s="1">
        <f t="shared" si="161"/>
        <v>1.2862393885688184E-2</v>
      </c>
      <c r="AA616" s="1">
        <f t="shared" si="162"/>
        <v>4.7875864112157107E-3</v>
      </c>
      <c r="AB616" s="1">
        <f t="shared" si="163"/>
        <v>3.7889258514347836E-3</v>
      </c>
      <c r="AC616" s="1">
        <f t="shared" si="164"/>
        <v>8.0720735279557441E-3</v>
      </c>
      <c r="AK616" s="17" t="s">
        <v>1205</v>
      </c>
      <c r="AL616" s="17">
        <f t="shared" si="165"/>
        <v>2.0080565390272795E-2</v>
      </c>
      <c r="AM616" s="17">
        <f t="shared" si="166"/>
        <v>2.0655327985097713E-2</v>
      </c>
      <c r="AO616" s="17" t="s">
        <v>1917</v>
      </c>
      <c r="AP616" s="17">
        <f t="shared" si="167"/>
        <v>1.0492781572557983</v>
      </c>
      <c r="AR616" s="1" t="s">
        <v>169</v>
      </c>
      <c r="AS616" s="17">
        <f t="shared" si="168"/>
        <v>1.0492781572557983</v>
      </c>
      <c r="AT616" s="17">
        <f t="shared" si="169"/>
        <v>123</v>
      </c>
    </row>
    <row r="617" spans="6:46" x14ac:dyDescent="0.3">
      <c r="F617" s="1">
        <v>615</v>
      </c>
      <c r="G617" s="1" t="s">
        <v>491</v>
      </c>
      <c r="H617" s="1">
        <v>3</v>
      </c>
      <c r="I617" s="1">
        <v>34</v>
      </c>
      <c r="J617" s="1">
        <v>5</v>
      </c>
      <c r="K617" s="1">
        <v>3</v>
      </c>
      <c r="M617" s="1" t="s">
        <v>491</v>
      </c>
      <c r="N617" s="1">
        <f t="shared" si="153"/>
        <v>0.42857142857142855</v>
      </c>
      <c r="O617" s="1">
        <f t="shared" si="154"/>
        <v>0.32380952380952382</v>
      </c>
      <c r="P617" s="1">
        <f t="shared" si="155"/>
        <v>0.2</v>
      </c>
      <c r="Q617" s="1">
        <f t="shared" si="156"/>
        <v>1</v>
      </c>
      <c r="S617" s="1" t="s">
        <v>491</v>
      </c>
      <c r="T617" s="1">
        <f t="shared" si="157"/>
        <v>4.2874646285627281E-2</v>
      </c>
      <c r="U617" s="1">
        <f t="shared" si="158"/>
        <v>2.4663323936565784E-2</v>
      </c>
      <c r="V617" s="1">
        <f t="shared" si="159"/>
        <v>1.2629752838115946E-2</v>
      </c>
      <c r="W617" s="1">
        <f t="shared" si="160"/>
        <v>4.0360367639778717E-2</v>
      </c>
      <c r="Y617" s="1" t="s">
        <v>491</v>
      </c>
      <c r="Z617" s="1">
        <f t="shared" si="161"/>
        <v>1.2862393885688184E-2</v>
      </c>
      <c r="AA617" s="1">
        <f t="shared" si="162"/>
        <v>4.9326647873131572E-3</v>
      </c>
      <c r="AB617" s="1">
        <f t="shared" si="163"/>
        <v>3.7889258514347836E-3</v>
      </c>
      <c r="AC617" s="1">
        <f t="shared" si="164"/>
        <v>8.0720735279557441E-3</v>
      </c>
      <c r="AK617" s="17" t="s">
        <v>1206</v>
      </c>
      <c r="AL617" s="17">
        <f t="shared" si="165"/>
        <v>2.0005481255341954E-2</v>
      </c>
      <c r="AM617" s="17">
        <f t="shared" si="166"/>
        <v>2.0667043138335377E-2</v>
      </c>
      <c r="AO617" s="17" t="s">
        <v>1918</v>
      </c>
      <c r="AP617" s="17">
        <f t="shared" si="167"/>
        <v>1.0537360742978217</v>
      </c>
      <c r="AR617" s="1" t="s">
        <v>491</v>
      </c>
      <c r="AS617" s="17">
        <f t="shared" si="168"/>
        <v>1.0537360742978217</v>
      </c>
      <c r="AT617" s="17">
        <f t="shared" si="169"/>
        <v>120</v>
      </c>
    </row>
    <row r="618" spans="6:46" x14ac:dyDescent="0.3">
      <c r="F618" s="1">
        <v>616</v>
      </c>
      <c r="G618" s="1" t="s">
        <v>4</v>
      </c>
      <c r="H618" s="1">
        <v>4</v>
      </c>
      <c r="I618" s="1">
        <v>44</v>
      </c>
      <c r="J618" s="1">
        <v>2</v>
      </c>
      <c r="K618" s="1">
        <v>3</v>
      </c>
      <c r="M618" s="1" t="s">
        <v>4</v>
      </c>
      <c r="N618" s="1">
        <f t="shared" si="153"/>
        <v>0.5714285714285714</v>
      </c>
      <c r="O618" s="1">
        <f t="shared" si="154"/>
        <v>0.41904761904761906</v>
      </c>
      <c r="P618" s="1">
        <f t="shared" si="155"/>
        <v>0.5</v>
      </c>
      <c r="Q618" s="1">
        <f t="shared" si="156"/>
        <v>1</v>
      </c>
      <c r="S618" s="1" t="s">
        <v>4</v>
      </c>
      <c r="T618" s="1">
        <f t="shared" si="157"/>
        <v>5.7166195047503046E-2</v>
      </c>
      <c r="U618" s="1">
        <f t="shared" si="158"/>
        <v>3.1917242741438076E-2</v>
      </c>
      <c r="V618" s="1">
        <f t="shared" si="159"/>
        <v>3.1574382095289864E-2</v>
      </c>
      <c r="W618" s="1">
        <f t="shared" si="160"/>
        <v>4.0360367639778717E-2</v>
      </c>
      <c r="Y618" s="1" t="s">
        <v>4</v>
      </c>
      <c r="Z618" s="1">
        <f t="shared" si="161"/>
        <v>1.7149858514250913E-2</v>
      </c>
      <c r="AA618" s="1">
        <f t="shared" si="162"/>
        <v>6.3834485482876157E-3</v>
      </c>
      <c r="AB618" s="1">
        <f t="shared" si="163"/>
        <v>9.4723146285869593E-3</v>
      </c>
      <c r="AC618" s="1">
        <f t="shared" si="164"/>
        <v>8.0720735279557441E-3</v>
      </c>
      <c r="AK618" s="17" t="s">
        <v>1207</v>
      </c>
      <c r="AL618" s="17">
        <f t="shared" si="165"/>
        <v>1.6615074696890376E-2</v>
      </c>
      <c r="AM618" s="17">
        <f t="shared" si="166"/>
        <v>2.0566690821374869E-2</v>
      </c>
      <c r="AO618" s="17" t="s">
        <v>1919</v>
      </c>
      <c r="AP618" s="17">
        <f t="shared" si="167"/>
        <v>1.2583998752381784</v>
      </c>
      <c r="AR618" s="1" t="s">
        <v>4</v>
      </c>
      <c r="AS618" s="17">
        <f t="shared" si="168"/>
        <v>1.2583998752381784</v>
      </c>
      <c r="AT618" s="17">
        <f t="shared" si="169"/>
        <v>76</v>
      </c>
    </row>
    <row r="619" spans="6:46" x14ac:dyDescent="0.3">
      <c r="F619" s="1">
        <v>617</v>
      </c>
      <c r="G619" s="1" t="s">
        <v>492</v>
      </c>
      <c r="H619" s="1">
        <v>1</v>
      </c>
      <c r="I619" s="1">
        <v>65</v>
      </c>
      <c r="J619" s="1">
        <v>2</v>
      </c>
      <c r="K619" s="1">
        <v>2</v>
      </c>
      <c r="M619" s="1" t="s">
        <v>492</v>
      </c>
      <c r="N619" s="1">
        <f t="shared" si="153"/>
        <v>0.14285714285714285</v>
      </c>
      <c r="O619" s="1">
        <f t="shared" si="154"/>
        <v>0.61904761904761907</v>
      </c>
      <c r="P619" s="1">
        <f t="shared" si="155"/>
        <v>0.5</v>
      </c>
      <c r="Q619" s="1">
        <f t="shared" si="156"/>
        <v>0.66666666666666663</v>
      </c>
      <c r="S619" s="1" t="s">
        <v>492</v>
      </c>
      <c r="T619" s="1">
        <f t="shared" si="157"/>
        <v>1.4291548761875762E-2</v>
      </c>
      <c r="U619" s="1">
        <f t="shared" si="158"/>
        <v>4.7150472231669883E-2</v>
      </c>
      <c r="V619" s="1">
        <f t="shared" si="159"/>
        <v>3.1574382095289864E-2</v>
      </c>
      <c r="W619" s="1">
        <f t="shared" si="160"/>
        <v>2.6906911759852478E-2</v>
      </c>
      <c r="Y619" s="1" t="s">
        <v>492</v>
      </c>
      <c r="Z619" s="1">
        <f t="shared" si="161"/>
        <v>4.2874646285627283E-3</v>
      </c>
      <c r="AA619" s="1">
        <f t="shared" si="162"/>
        <v>9.4300944463339767E-3</v>
      </c>
      <c r="AB619" s="1">
        <f t="shared" si="163"/>
        <v>9.4723146285869593E-3</v>
      </c>
      <c r="AC619" s="1">
        <f t="shared" si="164"/>
        <v>5.3813823519704958E-3</v>
      </c>
      <c r="AK619" s="17" t="s">
        <v>1208</v>
      </c>
      <c r="AL619" s="17">
        <f t="shared" si="165"/>
        <v>2.711054793280384E-2</v>
      </c>
      <c r="AM619" s="17">
        <f t="shared" si="166"/>
        <v>1.2420313151201781E-2</v>
      </c>
      <c r="AO619" s="17" t="s">
        <v>1920</v>
      </c>
      <c r="AP619" s="17">
        <f t="shared" si="167"/>
        <v>0.47055613475048297</v>
      </c>
      <c r="AR619" s="1" t="s">
        <v>492</v>
      </c>
      <c r="AS619" s="17">
        <f t="shared" si="168"/>
        <v>0.47055613475048297</v>
      </c>
      <c r="AT619" s="17">
        <f t="shared" si="169"/>
        <v>557</v>
      </c>
    </row>
    <row r="620" spans="6:46" x14ac:dyDescent="0.3">
      <c r="F620" s="1">
        <v>618</v>
      </c>
      <c r="G620" s="1" t="s">
        <v>493</v>
      </c>
      <c r="H620" s="1">
        <v>3</v>
      </c>
      <c r="I620" s="1">
        <v>42</v>
      </c>
      <c r="J620" s="1">
        <v>3</v>
      </c>
      <c r="K620" s="1">
        <v>3</v>
      </c>
      <c r="M620" s="1" t="s">
        <v>493</v>
      </c>
      <c r="N620" s="1">
        <f t="shared" si="153"/>
        <v>0.42857142857142855</v>
      </c>
      <c r="O620" s="1">
        <f t="shared" si="154"/>
        <v>0.4</v>
      </c>
      <c r="P620" s="1">
        <f t="shared" si="155"/>
        <v>0.33333333333333331</v>
      </c>
      <c r="Q620" s="1">
        <f t="shared" si="156"/>
        <v>1</v>
      </c>
      <c r="S620" s="1" t="s">
        <v>493</v>
      </c>
      <c r="T620" s="1">
        <f t="shared" si="157"/>
        <v>4.2874646285627281E-2</v>
      </c>
      <c r="U620" s="1">
        <f t="shared" si="158"/>
        <v>3.0466458980463618E-2</v>
      </c>
      <c r="V620" s="1">
        <f t="shared" si="159"/>
        <v>2.1049588063526574E-2</v>
      </c>
      <c r="W620" s="1">
        <f t="shared" si="160"/>
        <v>4.0360367639778717E-2</v>
      </c>
      <c r="Y620" s="1" t="s">
        <v>493</v>
      </c>
      <c r="Z620" s="1">
        <f t="shared" si="161"/>
        <v>1.2862393885688184E-2</v>
      </c>
      <c r="AA620" s="1">
        <f t="shared" si="162"/>
        <v>6.0932917960927237E-3</v>
      </c>
      <c r="AB620" s="1">
        <f t="shared" si="163"/>
        <v>6.314876419057972E-3</v>
      </c>
      <c r="AC620" s="1">
        <f t="shared" si="164"/>
        <v>8.0720735279557441E-3</v>
      </c>
      <c r="AK620" s="17" t="s">
        <v>1209</v>
      </c>
      <c r="AL620" s="17">
        <f t="shared" si="165"/>
        <v>1.9596850113771984E-2</v>
      </c>
      <c r="AM620" s="17">
        <f t="shared" si="166"/>
        <v>1.9034973163233375E-2</v>
      </c>
      <c r="AO620" s="17" t="s">
        <v>1921</v>
      </c>
      <c r="AP620" s="17">
        <f t="shared" si="167"/>
        <v>0.99036317400793228</v>
      </c>
      <c r="AR620" s="1" t="s">
        <v>493</v>
      </c>
      <c r="AS620" s="17">
        <f t="shared" si="168"/>
        <v>0.99036317400793228</v>
      </c>
      <c r="AT620" s="17">
        <f t="shared" si="169"/>
        <v>141</v>
      </c>
    </row>
    <row r="621" spans="6:46" x14ac:dyDescent="0.3">
      <c r="F621" s="1">
        <v>619</v>
      </c>
      <c r="G621" s="1" t="s">
        <v>494</v>
      </c>
      <c r="H621" s="1">
        <v>1</v>
      </c>
      <c r="I621" s="1">
        <v>70</v>
      </c>
      <c r="J621" s="1">
        <v>2</v>
      </c>
      <c r="K621" s="1">
        <v>3</v>
      </c>
      <c r="M621" s="1" t="s">
        <v>494</v>
      </c>
      <c r="N621" s="1">
        <f t="shared" si="153"/>
        <v>0.14285714285714285</v>
      </c>
      <c r="O621" s="1">
        <f t="shared" si="154"/>
        <v>0.66666666666666663</v>
      </c>
      <c r="P621" s="1">
        <f t="shared" si="155"/>
        <v>0.5</v>
      </c>
      <c r="Q621" s="1">
        <f t="shared" si="156"/>
        <v>1</v>
      </c>
      <c r="S621" s="1" t="s">
        <v>494</v>
      </c>
      <c r="T621" s="1">
        <f t="shared" si="157"/>
        <v>1.4291548761875762E-2</v>
      </c>
      <c r="U621" s="1">
        <f t="shared" si="158"/>
        <v>5.0777431634106023E-2</v>
      </c>
      <c r="V621" s="1">
        <f t="shared" si="159"/>
        <v>3.1574382095289864E-2</v>
      </c>
      <c r="W621" s="1">
        <f t="shared" si="160"/>
        <v>4.0360367639778717E-2</v>
      </c>
      <c r="Y621" s="1" t="s">
        <v>494</v>
      </c>
      <c r="Z621" s="1">
        <f t="shared" si="161"/>
        <v>4.2874646285627283E-3</v>
      </c>
      <c r="AA621" s="1">
        <f t="shared" si="162"/>
        <v>1.0155486326821206E-2</v>
      </c>
      <c r="AB621" s="1">
        <f t="shared" si="163"/>
        <v>9.4723146285869593E-3</v>
      </c>
      <c r="AC621" s="1">
        <f t="shared" si="164"/>
        <v>8.0720735279557441E-3</v>
      </c>
      <c r="AK621" s="17" t="s">
        <v>1210</v>
      </c>
      <c r="AL621" s="17">
        <f t="shared" si="165"/>
        <v>2.6830003531646763E-2</v>
      </c>
      <c r="AM621" s="17">
        <f t="shared" si="166"/>
        <v>1.3622054004757442E-2</v>
      </c>
      <c r="AO621" s="17" t="s">
        <v>1922</v>
      </c>
      <c r="AP621" s="17">
        <f t="shared" si="167"/>
        <v>0.52133924415308663</v>
      </c>
      <c r="AR621" s="1" t="s">
        <v>494</v>
      </c>
      <c r="AS621" s="17">
        <f t="shared" si="168"/>
        <v>0.52133924415308663</v>
      </c>
      <c r="AT621" s="17">
        <f t="shared" si="169"/>
        <v>521</v>
      </c>
    </row>
    <row r="622" spans="6:46" x14ac:dyDescent="0.3">
      <c r="F622" s="1">
        <v>620</v>
      </c>
      <c r="G622" s="1" t="s">
        <v>495</v>
      </c>
      <c r="H622" s="1">
        <v>3</v>
      </c>
      <c r="I622" s="1">
        <v>51</v>
      </c>
      <c r="J622" s="1">
        <v>4</v>
      </c>
      <c r="K622" s="1">
        <v>3</v>
      </c>
      <c r="M622" s="1" t="s">
        <v>495</v>
      </c>
      <c r="N622" s="1">
        <f t="shared" si="153"/>
        <v>0.42857142857142855</v>
      </c>
      <c r="O622" s="1">
        <f t="shared" si="154"/>
        <v>0.48571428571428571</v>
      </c>
      <c r="P622" s="1">
        <f t="shared" si="155"/>
        <v>0.25</v>
      </c>
      <c r="Q622" s="1">
        <f t="shared" si="156"/>
        <v>1</v>
      </c>
      <c r="S622" s="1" t="s">
        <v>495</v>
      </c>
      <c r="T622" s="1">
        <f t="shared" si="157"/>
        <v>4.2874646285627281E-2</v>
      </c>
      <c r="U622" s="1">
        <f t="shared" si="158"/>
        <v>3.6994985904848676E-2</v>
      </c>
      <c r="V622" s="1">
        <f t="shared" si="159"/>
        <v>1.5787191047644932E-2</v>
      </c>
      <c r="W622" s="1">
        <f t="shared" si="160"/>
        <v>4.0360367639778717E-2</v>
      </c>
      <c r="Y622" s="1" t="s">
        <v>495</v>
      </c>
      <c r="Z622" s="1">
        <f t="shared" si="161"/>
        <v>1.2862393885688184E-2</v>
      </c>
      <c r="AA622" s="1">
        <f t="shared" si="162"/>
        <v>7.3989971809697358E-3</v>
      </c>
      <c r="AB622" s="1">
        <f t="shared" si="163"/>
        <v>4.7361573142934797E-3</v>
      </c>
      <c r="AC622" s="1">
        <f t="shared" si="164"/>
        <v>8.0720735279557441E-3</v>
      </c>
      <c r="AK622" s="17" t="s">
        <v>1211</v>
      </c>
      <c r="AL622" s="17">
        <f t="shared" si="165"/>
        <v>1.8878296808201207E-2</v>
      </c>
      <c r="AM622" s="17">
        <f t="shared" si="166"/>
        <v>2.034655432137885E-2</v>
      </c>
      <c r="AO622" s="17" t="s">
        <v>1923</v>
      </c>
      <c r="AP622" s="17">
        <f t="shared" si="167"/>
        <v>1.0981214472629812</v>
      </c>
      <c r="AR622" s="1" t="s">
        <v>495</v>
      </c>
      <c r="AS622" s="17">
        <f t="shared" si="168"/>
        <v>1.0981214472629812</v>
      </c>
      <c r="AT622" s="17">
        <f t="shared" si="169"/>
        <v>107</v>
      </c>
    </row>
    <row r="623" spans="6:46" x14ac:dyDescent="0.3">
      <c r="F623" s="1">
        <v>621</v>
      </c>
      <c r="G623" s="1" t="s">
        <v>495</v>
      </c>
      <c r="H623" s="1">
        <v>3</v>
      </c>
      <c r="I623" s="1">
        <v>51</v>
      </c>
      <c r="J623" s="1">
        <v>5</v>
      </c>
      <c r="K623" s="1">
        <v>3</v>
      </c>
      <c r="M623" s="1" t="s">
        <v>495</v>
      </c>
      <c r="N623" s="1">
        <f t="shared" si="153"/>
        <v>0.42857142857142855</v>
      </c>
      <c r="O623" s="1">
        <f t="shared" si="154"/>
        <v>0.48571428571428571</v>
      </c>
      <c r="P623" s="1">
        <f t="shared" si="155"/>
        <v>0.2</v>
      </c>
      <c r="Q623" s="1">
        <f t="shared" si="156"/>
        <v>1</v>
      </c>
      <c r="S623" s="1" t="s">
        <v>495</v>
      </c>
      <c r="T623" s="1">
        <f t="shared" si="157"/>
        <v>4.2874646285627281E-2</v>
      </c>
      <c r="U623" s="1">
        <f t="shared" si="158"/>
        <v>3.6994985904848676E-2</v>
      </c>
      <c r="V623" s="1">
        <f t="shared" si="159"/>
        <v>1.2629752838115946E-2</v>
      </c>
      <c r="W623" s="1">
        <f t="shared" si="160"/>
        <v>4.0360367639778717E-2</v>
      </c>
      <c r="Y623" s="1" t="s">
        <v>495</v>
      </c>
      <c r="Z623" s="1">
        <f t="shared" si="161"/>
        <v>1.2862393885688184E-2</v>
      </c>
      <c r="AA623" s="1">
        <f t="shared" si="162"/>
        <v>7.3989971809697358E-3</v>
      </c>
      <c r="AB623" s="1">
        <f t="shared" si="163"/>
        <v>3.7889258514347836E-3</v>
      </c>
      <c r="AC623" s="1">
        <f t="shared" si="164"/>
        <v>8.0720735279557441E-3</v>
      </c>
      <c r="AK623" s="17" t="s">
        <v>1212</v>
      </c>
      <c r="AL623" s="17">
        <f t="shared" si="165"/>
        <v>1.8854517838818113E-2</v>
      </c>
      <c r="AM623" s="17">
        <f t="shared" si="166"/>
        <v>2.1018966281050374E-2</v>
      </c>
      <c r="AO623" s="17" t="s">
        <v>1924</v>
      </c>
      <c r="AP623" s="17">
        <f t="shared" si="167"/>
        <v>1.135816303488796</v>
      </c>
      <c r="AR623" s="1" t="s">
        <v>495</v>
      </c>
      <c r="AS623" s="17">
        <f t="shared" si="168"/>
        <v>1.135816303488796</v>
      </c>
      <c r="AT623" s="17">
        <f t="shared" si="169"/>
        <v>97</v>
      </c>
    </row>
    <row r="624" spans="6:46" x14ac:dyDescent="0.3">
      <c r="F624" s="1">
        <v>622</v>
      </c>
      <c r="G624" s="1" t="s">
        <v>496</v>
      </c>
      <c r="H624" s="1">
        <v>3</v>
      </c>
      <c r="I624" s="1">
        <v>38</v>
      </c>
      <c r="J624" s="1">
        <v>3</v>
      </c>
      <c r="K624" s="1">
        <v>3</v>
      </c>
      <c r="M624" s="1" t="s">
        <v>496</v>
      </c>
      <c r="N624" s="1">
        <f t="shared" si="153"/>
        <v>0.42857142857142855</v>
      </c>
      <c r="O624" s="1">
        <f t="shared" si="154"/>
        <v>0.3619047619047619</v>
      </c>
      <c r="P624" s="1">
        <f t="shared" si="155"/>
        <v>0.33333333333333331</v>
      </c>
      <c r="Q624" s="1">
        <f t="shared" si="156"/>
        <v>1</v>
      </c>
      <c r="S624" s="1" t="s">
        <v>496</v>
      </c>
      <c r="T624" s="1">
        <f t="shared" si="157"/>
        <v>4.2874646285627281E-2</v>
      </c>
      <c r="U624" s="1">
        <f t="shared" si="158"/>
        <v>2.75648914585147E-2</v>
      </c>
      <c r="V624" s="1">
        <f t="shared" si="159"/>
        <v>2.1049588063526574E-2</v>
      </c>
      <c r="W624" s="1">
        <f t="shared" si="160"/>
        <v>4.0360367639778717E-2</v>
      </c>
      <c r="Y624" s="1" t="s">
        <v>496</v>
      </c>
      <c r="Z624" s="1">
        <f t="shared" si="161"/>
        <v>1.2862393885688184E-2</v>
      </c>
      <c r="AA624" s="1">
        <f t="shared" si="162"/>
        <v>5.5129782917029404E-3</v>
      </c>
      <c r="AB624" s="1">
        <f t="shared" si="163"/>
        <v>6.314876419057972E-3</v>
      </c>
      <c r="AC624" s="1">
        <f t="shared" si="164"/>
        <v>8.0720735279557441E-3</v>
      </c>
      <c r="AK624" s="17" t="s">
        <v>1213</v>
      </c>
      <c r="AL624" s="17">
        <f t="shared" si="165"/>
        <v>1.9874137885488329E-2</v>
      </c>
      <c r="AM624" s="17">
        <f t="shared" si="166"/>
        <v>1.8955192677855334E-2</v>
      </c>
      <c r="AO624" s="17" t="s">
        <v>1925</v>
      </c>
      <c r="AP624" s="17">
        <f t="shared" si="167"/>
        <v>0.97271695014739623</v>
      </c>
      <c r="AR624" s="1" t="s">
        <v>496</v>
      </c>
      <c r="AS624" s="17">
        <f t="shared" si="168"/>
        <v>0.97271695014739623</v>
      </c>
      <c r="AT624" s="17">
        <f t="shared" si="169"/>
        <v>148</v>
      </c>
    </row>
    <row r="625" spans="6:46" x14ac:dyDescent="0.3">
      <c r="F625" s="1">
        <v>623</v>
      </c>
      <c r="G625" s="1" t="s">
        <v>497</v>
      </c>
      <c r="H625" s="1">
        <v>1</v>
      </c>
      <c r="I625" s="1">
        <v>71</v>
      </c>
      <c r="J625" s="1">
        <v>2</v>
      </c>
      <c r="K625" s="1">
        <v>3</v>
      </c>
      <c r="M625" s="1" t="s">
        <v>497</v>
      </c>
      <c r="N625" s="1">
        <f t="shared" si="153"/>
        <v>0.14285714285714285</v>
      </c>
      <c r="O625" s="1">
        <f t="shared" si="154"/>
        <v>0.67619047619047623</v>
      </c>
      <c r="P625" s="1">
        <f t="shared" si="155"/>
        <v>0.5</v>
      </c>
      <c r="Q625" s="1">
        <f t="shared" si="156"/>
        <v>1</v>
      </c>
      <c r="S625" s="1" t="s">
        <v>497</v>
      </c>
      <c r="T625" s="1">
        <f t="shared" si="157"/>
        <v>1.4291548761875762E-2</v>
      </c>
      <c r="U625" s="1">
        <f t="shared" si="158"/>
        <v>5.150282351459326E-2</v>
      </c>
      <c r="V625" s="1">
        <f t="shared" si="159"/>
        <v>3.1574382095289864E-2</v>
      </c>
      <c r="W625" s="1">
        <f t="shared" si="160"/>
        <v>4.0360367639778717E-2</v>
      </c>
      <c r="Y625" s="1" t="s">
        <v>497</v>
      </c>
      <c r="Z625" s="1">
        <f t="shared" si="161"/>
        <v>4.2874646285627283E-3</v>
      </c>
      <c r="AA625" s="1">
        <f t="shared" si="162"/>
        <v>1.0300564702918652E-2</v>
      </c>
      <c r="AB625" s="1">
        <f t="shared" si="163"/>
        <v>9.4723146285869593E-3</v>
      </c>
      <c r="AC625" s="1">
        <f t="shared" si="164"/>
        <v>8.0720735279557441E-3</v>
      </c>
      <c r="AK625" s="17" t="s">
        <v>1214</v>
      </c>
      <c r="AL625" s="17">
        <f t="shared" si="165"/>
        <v>2.6802925134742545E-2</v>
      </c>
      <c r="AM625" s="17">
        <f t="shared" si="166"/>
        <v>1.3696787419829597E-2</v>
      </c>
      <c r="AO625" s="17" t="s">
        <v>1926</v>
      </c>
      <c r="AP625" s="17">
        <f t="shared" si="167"/>
        <v>0.52471516884550162</v>
      </c>
      <c r="AR625" s="1" t="s">
        <v>497</v>
      </c>
      <c r="AS625" s="17">
        <f t="shared" si="168"/>
        <v>0.52471516884550162</v>
      </c>
      <c r="AT625" s="17">
        <f t="shared" si="169"/>
        <v>519</v>
      </c>
    </row>
    <row r="626" spans="6:46" x14ac:dyDescent="0.3">
      <c r="F626" s="1">
        <v>624</v>
      </c>
      <c r="G626" s="1" t="s">
        <v>498</v>
      </c>
      <c r="H626" s="1">
        <v>5</v>
      </c>
      <c r="I626" s="1">
        <v>61</v>
      </c>
      <c r="J626" s="1">
        <v>2</v>
      </c>
      <c r="K626" s="1">
        <v>3</v>
      </c>
      <c r="M626" s="1" t="s">
        <v>498</v>
      </c>
      <c r="N626" s="1">
        <f t="shared" si="153"/>
        <v>0.7142857142857143</v>
      </c>
      <c r="O626" s="1">
        <f t="shared" si="154"/>
        <v>0.580952380952381</v>
      </c>
      <c r="P626" s="1">
        <f t="shared" si="155"/>
        <v>0.5</v>
      </c>
      <c r="Q626" s="1">
        <f t="shared" si="156"/>
        <v>1</v>
      </c>
      <c r="S626" s="1" t="s">
        <v>498</v>
      </c>
      <c r="T626" s="1">
        <f t="shared" si="157"/>
        <v>7.1457743809378804E-2</v>
      </c>
      <c r="U626" s="1">
        <f t="shared" si="158"/>
        <v>4.4248904709720968E-2</v>
      </c>
      <c r="V626" s="1">
        <f t="shared" si="159"/>
        <v>3.1574382095289864E-2</v>
      </c>
      <c r="W626" s="1">
        <f t="shared" si="160"/>
        <v>4.0360367639778717E-2</v>
      </c>
      <c r="Y626" s="1" t="s">
        <v>498</v>
      </c>
      <c r="Z626" s="1">
        <f t="shared" si="161"/>
        <v>2.1437323142813641E-2</v>
      </c>
      <c r="AA626" s="1">
        <f t="shared" si="162"/>
        <v>8.8497809419441943E-3</v>
      </c>
      <c r="AB626" s="1">
        <f t="shared" si="163"/>
        <v>9.4723146285869593E-3</v>
      </c>
      <c r="AC626" s="1">
        <f t="shared" si="164"/>
        <v>8.0720735279557441E-3</v>
      </c>
      <c r="AK626" s="17" t="s">
        <v>1215</v>
      </c>
      <c r="AL626" s="17">
        <f t="shared" si="165"/>
        <v>1.2106970518077622E-2</v>
      </c>
      <c r="AM626" s="17">
        <f t="shared" si="166"/>
        <v>2.4703369187754447E-2</v>
      </c>
      <c r="AO626" s="17" t="s">
        <v>1927</v>
      </c>
      <c r="AP626" s="17">
        <f t="shared" si="167"/>
        <v>2.0651286887066553</v>
      </c>
      <c r="AR626" s="1" t="s">
        <v>498</v>
      </c>
      <c r="AS626" s="17">
        <f t="shared" si="168"/>
        <v>2.0651286887066553</v>
      </c>
      <c r="AT626" s="17">
        <f t="shared" si="169"/>
        <v>13</v>
      </c>
    </row>
    <row r="627" spans="6:46" x14ac:dyDescent="0.3">
      <c r="F627" s="1">
        <v>625</v>
      </c>
      <c r="G627" s="1" t="s">
        <v>499</v>
      </c>
      <c r="H627" s="1">
        <v>1</v>
      </c>
      <c r="I627" s="1">
        <v>78</v>
      </c>
      <c r="J627" s="1">
        <v>2</v>
      </c>
      <c r="K627" s="1">
        <v>3</v>
      </c>
      <c r="M627" s="1" t="s">
        <v>499</v>
      </c>
      <c r="N627" s="1">
        <f t="shared" si="153"/>
        <v>0.14285714285714285</v>
      </c>
      <c r="O627" s="1">
        <f t="shared" si="154"/>
        <v>0.74285714285714288</v>
      </c>
      <c r="P627" s="1">
        <f t="shared" si="155"/>
        <v>0.5</v>
      </c>
      <c r="Q627" s="1">
        <f t="shared" si="156"/>
        <v>1</v>
      </c>
      <c r="S627" s="1" t="s">
        <v>499</v>
      </c>
      <c r="T627" s="1">
        <f t="shared" si="157"/>
        <v>1.4291548761875762E-2</v>
      </c>
      <c r="U627" s="1">
        <f t="shared" si="158"/>
        <v>5.658056667800386E-2</v>
      </c>
      <c r="V627" s="1">
        <f t="shared" si="159"/>
        <v>3.1574382095289864E-2</v>
      </c>
      <c r="W627" s="1">
        <f t="shared" si="160"/>
        <v>4.0360367639778717E-2</v>
      </c>
      <c r="Y627" s="1" t="s">
        <v>499</v>
      </c>
      <c r="Z627" s="1">
        <f t="shared" si="161"/>
        <v>4.2874646285627283E-3</v>
      </c>
      <c r="AA627" s="1">
        <f t="shared" si="162"/>
        <v>1.1316113335600772E-2</v>
      </c>
      <c r="AB627" s="1">
        <f t="shared" si="163"/>
        <v>9.4723146285869593E-3</v>
      </c>
      <c r="AC627" s="1">
        <f t="shared" si="164"/>
        <v>8.0720735279557441E-3</v>
      </c>
      <c r="AK627" s="17" t="s">
        <v>1216</v>
      </c>
      <c r="AL627" s="17">
        <f t="shared" si="165"/>
        <v>2.6634740712901374E-2</v>
      </c>
      <c r="AM627" s="17">
        <f t="shared" si="166"/>
        <v>1.4250335820749633E-2</v>
      </c>
      <c r="AO627" s="17" t="s">
        <v>1928</v>
      </c>
      <c r="AP627" s="17">
        <f t="shared" si="167"/>
        <v>0.54927847723783629</v>
      </c>
      <c r="AR627" s="1" t="s">
        <v>499</v>
      </c>
      <c r="AS627" s="17">
        <f t="shared" si="168"/>
        <v>0.54927847723783629</v>
      </c>
      <c r="AT627" s="17">
        <f t="shared" si="169"/>
        <v>511</v>
      </c>
    </row>
    <row r="628" spans="6:46" x14ac:dyDescent="0.3">
      <c r="F628" s="1">
        <v>626</v>
      </c>
      <c r="G628" s="1" t="s">
        <v>500</v>
      </c>
      <c r="H628" s="1">
        <v>4</v>
      </c>
      <c r="I628" s="1">
        <v>48</v>
      </c>
      <c r="J628" s="1">
        <v>5</v>
      </c>
      <c r="K628" s="1">
        <v>3</v>
      </c>
      <c r="M628" s="1" t="s">
        <v>500</v>
      </c>
      <c r="N628" s="1">
        <f t="shared" si="153"/>
        <v>0.5714285714285714</v>
      </c>
      <c r="O628" s="1">
        <f t="shared" si="154"/>
        <v>0.45714285714285713</v>
      </c>
      <c r="P628" s="1">
        <f t="shared" si="155"/>
        <v>0.2</v>
      </c>
      <c r="Q628" s="1">
        <f t="shared" si="156"/>
        <v>1</v>
      </c>
      <c r="S628" s="1" t="s">
        <v>500</v>
      </c>
      <c r="T628" s="1">
        <f t="shared" si="157"/>
        <v>5.7166195047503046E-2</v>
      </c>
      <c r="U628" s="1">
        <f t="shared" si="158"/>
        <v>3.4818810263386991E-2</v>
      </c>
      <c r="V628" s="1">
        <f t="shared" si="159"/>
        <v>1.2629752838115946E-2</v>
      </c>
      <c r="W628" s="1">
        <f t="shared" si="160"/>
        <v>4.0360367639778717E-2</v>
      </c>
      <c r="Y628" s="1" t="s">
        <v>500</v>
      </c>
      <c r="Z628" s="1">
        <f t="shared" si="161"/>
        <v>1.7149858514250913E-2</v>
      </c>
      <c r="AA628" s="1">
        <f t="shared" si="162"/>
        <v>6.963762052677399E-3</v>
      </c>
      <c r="AB628" s="1">
        <f t="shared" si="163"/>
        <v>3.7889258514347836E-3</v>
      </c>
      <c r="AC628" s="1">
        <f t="shared" si="164"/>
        <v>8.0720735279557441E-3</v>
      </c>
      <c r="AK628" s="17" t="s">
        <v>1217</v>
      </c>
      <c r="AL628" s="17">
        <f t="shared" si="165"/>
        <v>1.5291346185714373E-2</v>
      </c>
      <c r="AM628" s="17">
        <f t="shared" si="166"/>
        <v>2.3811773092366338E-2</v>
      </c>
      <c r="AO628" s="17" t="s">
        <v>1929</v>
      </c>
      <c r="AP628" s="17">
        <f t="shared" si="167"/>
        <v>1.5810175810814628</v>
      </c>
      <c r="AR628" s="1" t="s">
        <v>500</v>
      </c>
      <c r="AS628" s="17">
        <f t="shared" si="168"/>
        <v>1.5810175810814628</v>
      </c>
      <c r="AT628" s="17">
        <f t="shared" si="169"/>
        <v>31</v>
      </c>
    </row>
    <row r="629" spans="6:46" x14ac:dyDescent="0.3">
      <c r="F629" s="1">
        <v>627</v>
      </c>
      <c r="G629" s="1" t="s">
        <v>501</v>
      </c>
      <c r="H629" s="1">
        <v>2</v>
      </c>
      <c r="I629" s="1">
        <v>90</v>
      </c>
      <c r="J629" s="1">
        <v>1</v>
      </c>
      <c r="K629" s="1">
        <v>2</v>
      </c>
      <c r="M629" s="1" t="s">
        <v>501</v>
      </c>
      <c r="N629" s="1">
        <f t="shared" si="153"/>
        <v>0.2857142857142857</v>
      </c>
      <c r="O629" s="1">
        <f t="shared" si="154"/>
        <v>0.8571428571428571</v>
      </c>
      <c r="P629" s="1">
        <f t="shared" si="155"/>
        <v>1</v>
      </c>
      <c r="Q629" s="1">
        <f t="shared" si="156"/>
        <v>0.66666666666666663</v>
      </c>
      <c r="S629" s="1" t="s">
        <v>501</v>
      </c>
      <c r="T629" s="1">
        <f t="shared" si="157"/>
        <v>2.8583097523751523E-2</v>
      </c>
      <c r="U629" s="1">
        <f t="shared" si="158"/>
        <v>6.5285269243850599E-2</v>
      </c>
      <c r="V629" s="1">
        <f t="shared" si="159"/>
        <v>6.3148764190579729E-2</v>
      </c>
      <c r="W629" s="1">
        <f t="shared" si="160"/>
        <v>2.6906911759852478E-2</v>
      </c>
      <c r="Y629" s="1" t="s">
        <v>501</v>
      </c>
      <c r="Z629" s="1">
        <f t="shared" si="161"/>
        <v>8.5749292571254566E-3</v>
      </c>
      <c r="AA629" s="1">
        <f t="shared" si="162"/>
        <v>1.3057053848770121E-2</v>
      </c>
      <c r="AB629" s="1">
        <f t="shared" si="163"/>
        <v>1.8944629257173919E-2</v>
      </c>
      <c r="AC629" s="1">
        <f t="shared" si="164"/>
        <v>5.3813823519704958E-3</v>
      </c>
      <c r="AK629" s="17" t="s">
        <v>1218</v>
      </c>
      <c r="AL629" s="17">
        <f t="shared" si="165"/>
        <v>2.648074260059869E-2</v>
      </c>
      <c r="AM629" s="17">
        <f t="shared" si="166"/>
        <v>1.3345184838930766E-2</v>
      </c>
      <c r="AO629" s="17" t="s">
        <v>1930</v>
      </c>
      <c r="AP629" s="17">
        <f t="shared" si="167"/>
        <v>0.51730328904364642</v>
      </c>
      <c r="AR629" s="1" t="s">
        <v>501</v>
      </c>
      <c r="AS629" s="17">
        <f t="shared" si="168"/>
        <v>0.51730328904364642</v>
      </c>
      <c r="AT629" s="17">
        <f t="shared" si="169"/>
        <v>523</v>
      </c>
    </row>
    <row r="630" spans="6:46" x14ac:dyDescent="0.3">
      <c r="F630" s="1">
        <v>628</v>
      </c>
      <c r="G630" s="1" t="s">
        <v>502</v>
      </c>
      <c r="H630" s="1">
        <v>4</v>
      </c>
      <c r="I630" s="1">
        <v>58</v>
      </c>
      <c r="J630" s="1">
        <v>2</v>
      </c>
      <c r="K630" s="1">
        <v>3</v>
      </c>
      <c r="M630" s="1" t="s">
        <v>502</v>
      </c>
      <c r="N630" s="1">
        <f t="shared" si="153"/>
        <v>0.5714285714285714</v>
      </c>
      <c r="O630" s="1">
        <f t="shared" si="154"/>
        <v>0.55238095238095242</v>
      </c>
      <c r="P630" s="1">
        <f t="shared" si="155"/>
        <v>0.5</v>
      </c>
      <c r="Q630" s="1">
        <f t="shared" si="156"/>
        <v>1</v>
      </c>
      <c r="S630" s="1" t="s">
        <v>502</v>
      </c>
      <c r="T630" s="1">
        <f t="shared" si="157"/>
        <v>5.7166195047503046E-2</v>
      </c>
      <c r="U630" s="1">
        <f t="shared" si="158"/>
        <v>4.2072729068259283E-2</v>
      </c>
      <c r="V630" s="1">
        <f t="shared" si="159"/>
        <v>3.1574382095289864E-2</v>
      </c>
      <c r="W630" s="1">
        <f t="shared" si="160"/>
        <v>4.0360367639778717E-2</v>
      </c>
      <c r="Y630" s="1" t="s">
        <v>502</v>
      </c>
      <c r="Z630" s="1">
        <f t="shared" si="161"/>
        <v>1.7149858514250913E-2</v>
      </c>
      <c r="AA630" s="1">
        <f t="shared" si="162"/>
        <v>8.4145458136518567E-3</v>
      </c>
      <c r="AB630" s="1">
        <f t="shared" si="163"/>
        <v>9.4723146285869593E-3</v>
      </c>
      <c r="AC630" s="1">
        <f t="shared" si="164"/>
        <v>8.0720735279557441E-3</v>
      </c>
      <c r="AK630" s="17" t="s">
        <v>1219</v>
      </c>
      <c r="AL630" s="17">
        <f t="shared" si="165"/>
        <v>1.562806870806838E-2</v>
      </c>
      <c r="AM630" s="17">
        <f t="shared" si="166"/>
        <v>2.0978072655356492E-2</v>
      </c>
      <c r="AO630" s="17" t="s">
        <v>1931</v>
      </c>
      <c r="AP630" s="17">
        <f t="shared" si="167"/>
        <v>1.3633110919954903</v>
      </c>
      <c r="AR630" s="1" t="s">
        <v>502</v>
      </c>
      <c r="AS630" s="17">
        <f t="shared" si="168"/>
        <v>1.3633110919954903</v>
      </c>
      <c r="AT630" s="17">
        <f t="shared" si="169"/>
        <v>48</v>
      </c>
    </row>
    <row r="631" spans="6:46" x14ac:dyDescent="0.3">
      <c r="F631" s="1">
        <v>629</v>
      </c>
      <c r="G631" s="1" t="s">
        <v>503</v>
      </c>
      <c r="H631" s="1">
        <v>3</v>
      </c>
      <c r="I631" s="1">
        <v>60</v>
      </c>
      <c r="J631" s="1">
        <v>2</v>
      </c>
      <c r="K631" s="1">
        <v>3</v>
      </c>
      <c r="M631" s="1" t="s">
        <v>503</v>
      </c>
      <c r="N631" s="1">
        <f t="shared" si="153"/>
        <v>0.42857142857142855</v>
      </c>
      <c r="O631" s="1">
        <f t="shared" si="154"/>
        <v>0.5714285714285714</v>
      </c>
      <c r="P631" s="1">
        <f t="shared" si="155"/>
        <v>0.5</v>
      </c>
      <c r="Q631" s="1">
        <f t="shared" si="156"/>
        <v>1</v>
      </c>
      <c r="S631" s="1" t="s">
        <v>503</v>
      </c>
      <c r="T631" s="1">
        <f t="shared" si="157"/>
        <v>4.2874646285627281E-2</v>
      </c>
      <c r="U631" s="1">
        <f t="shared" si="158"/>
        <v>4.3523512829233738E-2</v>
      </c>
      <c r="V631" s="1">
        <f t="shared" si="159"/>
        <v>3.1574382095289864E-2</v>
      </c>
      <c r="W631" s="1">
        <f t="shared" si="160"/>
        <v>4.0360367639778717E-2</v>
      </c>
      <c r="Y631" s="1" t="s">
        <v>503</v>
      </c>
      <c r="Z631" s="1">
        <f t="shared" si="161"/>
        <v>1.2862393885688184E-2</v>
      </c>
      <c r="AA631" s="1">
        <f t="shared" si="162"/>
        <v>8.7047025658467479E-3</v>
      </c>
      <c r="AB631" s="1">
        <f t="shared" si="163"/>
        <v>9.4723146285869593E-3</v>
      </c>
      <c r="AC631" s="1">
        <f t="shared" si="164"/>
        <v>8.0720735279557441E-3</v>
      </c>
      <c r="AK631" s="17" t="s">
        <v>1220</v>
      </c>
      <c r="AL631" s="17">
        <f t="shared" si="165"/>
        <v>1.9210419538716602E-2</v>
      </c>
      <c r="AM631" s="17">
        <f t="shared" si="166"/>
        <v>1.7734658907247656E-2</v>
      </c>
      <c r="AO631" s="17" t="s">
        <v>1932</v>
      </c>
      <c r="AP631" s="17">
        <f t="shared" si="167"/>
        <v>0.94091381548450492</v>
      </c>
      <c r="AR631" s="1" t="s">
        <v>503</v>
      </c>
      <c r="AS631" s="17">
        <f t="shared" si="168"/>
        <v>0.94091381548450492</v>
      </c>
      <c r="AT631" s="17">
        <f t="shared" si="169"/>
        <v>160</v>
      </c>
    </row>
    <row r="632" spans="6:46" x14ac:dyDescent="0.3">
      <c r="F632" s="1">
        <v>630</v>
      </c>
      <c r="G632" s="1" t="s">
        <v>504</v>
      </c>
      <c r="H632" s="1">
        <v>1</v>
      </c>
      <c r="I632" s="1">
        <v>75</v>
      </c>
      <c r="J632" s="1">
        <v>2</v>
      </c>
      <c r="K632" s="1">
        <v>3</v>
      </c>
      <c r="M632" s="1" t="s">
        <v>504</v>
      </c>
      <c r="N632" s="1">
        <f t="shared" si="153"/>
        <v>0.14285714285714285</v>
      </c>
      <c r="O632" s="1">
        <f t="shared" si="154"/>
        <v>0.7142857142857143</v>
      </c>
      <c r="P632" s="1">
        <f t="shared" si="155"/>
        <v>0.5</v>
      </c>
      <c r="Q632" s="1">
        <f t="shared" si="156"/>
        <v>1</v>
      </c>
      <c r="S632" s="1" t="s">
        <v>504</v>
      </c>
      <c r="T632" s="1">
        <f t="shared" si="157"/>
        <v>1.4291548761875762E-2</v>
      </c>
      <c r="U632" s="1">
        <f t="shared" si="158"/>
        <v>5.4404391036542175E-2</v>
      </c>
      <c r="V632" s="1">
        <f t="shared" si="159"/>
        <v>3.1574382095289864E-2</v>
      </c>
      <c r="W632" s="1">
        <f t="shared" si="160"/>
        <v>4.0360367639778717E-2</v>
      </c>
      <c r="Y632" s="1" t="s">
        <v>504</v>
      </c>
      <c r="Z632" s="1">
        <f t="shared" si="161"/>
        <v>4.2874646285627283E-3</v>
      </c>
      <c r="AA632" s="1">
        <f t="shared" si="162"/>
        <v>1.0880878207308436E-2</v>
      </c>
      <c r="AB632" s="1">
        <f t="shared" si="163"/>
        <v>9.4723146285869593E-3</v>
      </c>
      <c r="AC632" s="1">
        <f t="shared" si="164"/>
        <v>8.0720735279557441E-3</v>
      </c>
      <c r="AK632" s="17" t="s">
        <v>1221</v>
      </c>
      <c r="AL632" s="17">
        <f t="shared" si="165"/>
        <v>2.6702220423863242E-2</v>
      </c>
      <c r="AM632" s="17">
        <f t="shared" si="166"/>
        <v>1.400676485096111E-2</v>
      </c>
      <c r="AO632" s="17" t="s">
        <v>1933</v>
      </c>
      <c r="AP632" s="17">
        <f t="shared" si="167"/>
        <v>0.53856107638842199</v>
      </c>
      <c r="AR632" s="1" t="s">
        <v>504</v>
      </c>
      <c r="AS632" s="17">
        <f t="shared" si="168"/>
        <v>0.53856107638842199</v>
      </c>
      <c r="AT632" s="17">
        <f t="shared" si="169"/>
        <v>514</v>
      </c>
    </row>
    <row r="633" spans="6:46" x14ac:dyDescent="0.3">
      <c r="F633" s="1">
        <v>631</v>
      </c>
      <c r="G633" s="1" t="s">
        <v>505</v>
      </c>
      <c r="H633" s="1">
        <v>3</v>
      </c>
      <c r="I633" s="1">
        <v>40</v>
      </c>
      <c r="J633" s="1">
        <v>3</v>
      </c>
      <c r="K633" s="1">
        <v>3</v>
      </c>
      <c r="M633" s="1" t="s">
        <v>505</v>
      </c>
      <c r="N633" s="1">
        <f t="shared" si="153"/>
        <v>0.42857142857142855</v>
      </c>
      <c r="O633" s="1">
        <f t="shared" si="154"/>
        <v>0.38095238095238093</v>
      </c>
      <c r="P633" s="1">
        <f t="shared" si="155"/>
        <v>0.33333333333333331</v>
      </c>
      <c r="Q633" s="1">
        <f t="shared" si="156"/>
        <v>1</v>
      </c>
      <c r="S633" s="1" t="s">
        <v>505</v>
      </c>
      <c r="T633" s="1">
        <f t="shared" si="157"/>
        <v>4.2874646285627281E-2</v>
      </c>
      <c r="U633" s="1">
        <f t="shared" si="158"/>
        <v>2.9015675219489157E-2</v>
      </c>
      <c r="V633" s="1">
        <f t="shared" si="159"/>
        <v>2.1049588063526574E-2</v>
      </c>
      <c r="W633" s="1">
        <f t="shared" si="160"/>
        <v>4.0360367639778717E-2</v>
      </c>
      <c r="Y633" s="1" t="s">
        <v>505</v>
      </c>
      <c r="Z633" s="1">
        <f t="shared" si="161"/>
        <v>1.2862393885688184E-2</v>
      </c>
      <c r="AA633" s="1">
        <f t="shared" si="162"/>
        <v>5.8031350438978316E-3</v>
      </c>
      <c r="AB633" s="1">
        <f t="shared" si="163"/>
        <v>6.314876419057972E-3</v>
      </c>
      <c r="AC633" s="1">
        <f t="shared" si="164"/>
        <v>8.0720735279557441E-3</v>
      </c>
      <c r="AK633" s="17" t="s">
        <v>1222</v>
      </c>
      <c r="AL633" s="17">
        <f t="shared" si="165"/>
        <v>1.973384794194177E-2</v>
      </c>
      <c r="AM633" s="17">
        <f t="shared" si="166"/>
        <v>1.8992908556852827E-2</v>
      </c>
      <c r="AO633" s="17" t="s">
        <v>1934</v>
      </c>
      <c r="AP633" s="17">
        <f t="shared" si="167"/>
        <v>0.98144628372885012</v>
      </c>
      <c r="AR633" s="1" t="s">
        <v>505</v>
      </c>
      <c r="AS633" s="17">
        <f t="shared" si="168"/>
        <v>0.98144628372885012</v>
      </c>
      <c r="AT633" s="17">
        <f t="shared" si="169"/>
        <v>142</v>
      </c>
    </row>
    <row r="634" spans="6:46" x14ac:dyDescent="0.3">
      <c r="F634" s="1">
        <v>632</v>
      </c>
      <c r="G634" s="1" t="s">
        <v>506</v>
      </c>
      <c r="H634" s="1">
        <v>0</v>
      </c>
      <c r="I634" s="1">
        <v>63</v>
      </c>
      <c r="J634" s="1">
        <v>1</v>
      </c>
      <c r="K634" s="1">
        <v>2</v>
      </c>
      <c r="M634" s="1" t="s">
        <v>506</v>
      </c>
      <c r="N634" s="1">
        <f t="shared" si="153"/>
        <v>0</v>
      </c>
      <c r="O634" s="1">
        <f t="shared" si="154"/>
        <v>0.6</v>
      </c>
      <c r="P634" s="1">
        <f t="shared" si="155"/>
        <v>1</v>
      </c>
      <c r="Q634" s="1">
        <f t="shared" si="156"/>
        <v>0.66666666666666663</v>
      </c>
      <c r="S634" s="1" t="s">
        <v>506</v>
      </c>
      <c r="T634" s="1">
        <f t="shared" si="157"/>
        <v>0</v>
      </c>
      <c r="U634" s="1">
        <f t="shared" si="158"/>
        <v>4.5699688470695422E-2</v>
      </c>
      <c r="V634" s="1">
        <f t="shared" si="159"/>
        <v>6.3148764190579729E-2</v>
      </c>
      <c r="W634" s="1">
        <f t="shared" si="160"/>
        <v>2.6906911759852478E-2</v>
      </c>
      <c r="Y634" s="1" t="s">
        <v>506</v>
      </c>
      <c r="Z634" s="1">
        <f t="shared" si="161"/>
        <v>0</v>
      </c>
      <c r="AA634" s="1">
        <f t="shared" si="162"/>
        <v>9.1399376941390855E-3</v>
      </c>
      <c r="AB634" s="1">
        <f t="shared" si="163"/>
        <v>1.8944629257173919E-2</v>
      </c>
      <c r="AC634" s="1">
        <f t="shared" si="164"/>
        <v>5.3813823519704958E-3</v>
      </c>
      <c r="AK634" s="17" t="s">
        <v>1223</v>
      </c>
      <c r="AL634" s="17">
        <f t="shared" si="165"/>
        <v>3.4275336085255806E-2</v>
      </c>
      <c r="AM634" s="17">
        <f t="shared" si="166"/>
        <v>6.5284808259147694E-3</v>
      </c>
      <c r="AO634" s="17" t="s">
        <v>1935</v>
      </c>
      <c r="AP634" s="17">
        <f t="shared" si="167"/>
        <v>0.19700016021881561</v>
      </c>
      <c r="AR634" s="1" t="s">
        <v>506</v>
      </c>
      <c r="AS634" s="17">
        <f t="shared" si="168"/>
        <v>0.19700016021881561</v>
      </c>
      <c r="AT634" s="17">
        <f t="shared" si="169"/>
        <v>686</v>
      </c>
    </row>
    <row r="635" spans="6:46" x14ac:dyDescent="0.3">
      <c r="F635" s="1">
        <v>633</v>
      </c>
      <c r="G635" s="1" t="s">
        <v>40</v>
      </c>
      <c r="H635" s="1">
        <v>3</v>
      </c>
      <c r="I635" s="1">
        <v>57</v>
      </c>
      <c r="J635" s="1">
        <v>5</v>
      </c>
      <c r="K635" s="1">
        <v>3</v>
      </c>
      <c r="M635" s="1" t="s">
        <v>40</v>
      </c>
      <c r="N635" s="1">
        <f t="shared" si="153"/>
        <v>0.42857142857142855</v>
      </c>
      <c r="O635" s="1">
        <f t="shared" si="154"/>
        <v>0.54285714285714282</v>
      </c>
      <c r="P635" s="1">
        <f t="shared" si="155"/>
        <v>0.2</v>
      </c>
      <c r="Q635" s="1">
        <f t="shared" si="156"/>
        <v>1</v>
      </c>
      <c r="S635" s="1" t="s">
        <v>40</v>
      </c>
      <c r="T635" s="1">
        <f t="shared" si="157"/>
        <v>4.2874646285627281E-2</v>
      </c>
      <c r="U635" s="1">
        <f t="shared" si="158"/>
        <v>4.1347337187772046E-2</v>
      </c>
      <c r="V635" s="1">
        <f t="shared" si="159"/>
        <v>1.2629752838115946E-2</v>
      </c>
      <c r="W635" s="1">
        <f t="shared" si="160"/>
        <v>4.0360367639778717E-2</v>
      </c>
      <c r="Y635" s="1" t="s">
        <v>40</v>
      </c>
      <c r="Z635" s="1">
        <f t="shared" si="161"/>
        <v>1.2862393885688184E-2</v>
      </c>
      <c r="AA635" s="1">
        <f t="shared" si="162"/>
        <v>8.2694674375544102E-3</v>
      </c>
      <c r="AB635" s="1">
        <f t="shared" si="163"/>
        <v>3.7889258514347836E-3</v>
      </c>
      <c r="AC635" s="1">
        <f t="shared" si="164"/>
        <v>8.0720735279557441E-3</v>
      </c>
      <c r="AK635" s="17" t="s">
        <v>1224</v>
      </c>
      <c r="AL635" s="17">
        <f t="shared" si="165"/>
        <v>1.850977117592582E-2</v>
      </c>
      <c r="AM635" s="17">
        <f t="shared" si="166"/>
        <v>2.1210357701957411E-2</v>
      </c>
      <c r="AO635" s="17" t="s">
        <v>1936</v>
      </c>
      <c r="AP635" s="17">
        <f t="shared" si="167"/>
        <v>1.1671109471994672</v>
      </c>
      <c r="AR635" s="1" t="s">
        <v>40</v>
      </c>
      <c r="AS635" s="17">
        <f t="shared" si="168"/>
        <v>1.1671109471994672</v>
      </c>
      <c r="AT635" s="17">
        <f t="shared" si="169"/>
        <v>93</v>
      </c>
    </row>
    <row r="636" spans="6:46" x14ac:dyDescent="0.3">
      <c r="F636" s="1">
        <v>634</v>
      </c>
      <c r="G636" s="1" t="s">
        <v>42</v>
      </c>
      <c r="H636" s="1">
        <v>4</v>
      </c>
      <c r="I636" s="1">
        <v>46</v>
      </c>
      <c r="J636" s="1">
        <v>2</v>
      </c>
      <c r="K636" s="1">
        <v>3</v>
      </c>
      <c r="M636" s="1" t="s">
        <v>42</v>
      </c>
      <c r="N636" s="1">
        <f t="shared" si="153"/>
        <v>0.5714285714285714</v>
      </c>
      <c r="O636" s="1">
        <f t="shared" si="154"/>
        <v>0.43809523809523809</v>
      </c>
      <c r="P636" s="1">
        <f t="shared" si="155"/>
        <v>0.5</v>
      </c>
      <c r="Q636" s="1">
        <f t="shared" si="156"/>
        <v>1</v>
      </c>
      <c r="S636" s="1" t="s">
        <v>42</v>
      </c>
      <c r="T636" s="1">
        <f t="shared" si="157"/>
        <v>5.7166195047503046E-2</v>
      </c>
      <c r="U636" s="1">
        <f t="shared" si="158"/>
        <v>3.336802650241253E-2</v>
      </c>
      <c r="V636" s="1">
        <f t="shared" si="159"/>
        <v>3.1574382095289864E-2</v>
      </c>
      <c r="W636" s="1">
        <f t="shared" si="160"/>
        <v>4.0360367639778717E-2</v>
      </c>
      <c r="Y636" s="1" t="s">
        <v>42</v>
      </c>
      <c r="Z636" s="1">
        <f t="shared" si="161"/>
        <v>1.7149858514250913E-2</v>
      </c>
      <c r="AA636" s="1">
        <f t="shared" si="162"/>
        <v>6.6736053004825061E-3</v>
      </c>
      <c r="AB636" s="1">
        <f t="shared" si="163"/>
        <v>9.4723146285869593E-3</v>
      </c>
      <c r="AC636" s="1">
        <f t="shared" si="164"/>
        <v>8.0720735279557441E-3</v>
      </c>
      <c r="AK636" s="17" t="s">
        <v>1225</v>
      </c>
      <c r="AL636" s="17">
        <f t="shared" si="165"/>
        <v>1.646235860174931E-2</v>
      </c>
      <c r="AM636" s="17">
        <f t="shared" si="166"/>
        <v>2.0613712983871779E-2</v>
      </c>
      <c r="AO636" s="17" t="s">
        <v>1937</v>
      </c>
      <c r="AP636" s="17">
        <f t="shared" si="167"/>
        <v>1.2727862286330778</v>
      </c>
      <c r="AR636" s="1" t="s">
        <v>42</v>
      </c>
      <c r="AS636" s="17">
        <f t="shared" si="168"/>
        <v>1.2727862286330778</v>
      </c>
      <c r="AT636" s="17">
        <f t="shared" si="169"/>
        <v>72</v>
      </c>
    </row>
    <row r="637" spans="6:46" x14ac:dyDescent="0.3">
      <c r="F637" s="1">
        <v>635</v>
      </c>
      <c r="G637" s="1" t="s">
        <v>507</v>
      </c>
      <c r="H637" s="1">
        <v>4</v>
      </c>
      <c r="I637" s="1">
        <v>33</v>
      </c>
      <c r="J637" s="1">
        <v>2</v>
      </c>
      <c r="K637" s="1">
        <v>3</v>
      </c>
      <c r="M637" s="1" t="s">
        <v>507</v>
      </c>
      <c r="N637" s="1">
        <f t="shared" si="153"/>
        <v>0.5714285714285714</v>
      </c>
      <c r="O637" s="1">
        <f t="shared" si="154"/>
        <v>0.31428571428571428</v>
      </c>
      <c r="P637" s="1">
        <f t="shared" si="155"/>
        <v>0.5</v>
      </c>
      <c r="Q637" s="1">
        <f t="shared" si="156"/>
        <v>1</v>
      </c>
      <c r="S637" s="1" t="s">
        <v>507</v>
      </c>
      <c r="T637" s="1">
        <f t="shared" si="157"/>
        <v>5.7166195047503046E-2</v>
      </c>
      <c r="U637" s="1">
        <f t="shared" si="158"/>
        <v>2.3937932056078554E-2</v>
      </c>
      <c r="V637" s="1">
        <f t="shared" si="159"/>
        <v>3.1574382095289864E-2</v>
      </c>
      <c r="W637" s="1">
        <f t="shared" si="160"/>
        <v>4.0360367639778717E-2</v>
      </c>
      <c r="Y637" s="1" t="s">
        <v>507</v>
      </c>
      <c r="Z637" s="1">
        <f t="shared" si="161"/>
        <v>1.7149858514250913E-2</v>
      </c>
      <c r="AA637" s="1">
        <f t="shared" si="162"/>
        <v>4.7875864112157107E-3</v>
      </c>
      <c r="AB637" s="1">
        <f t="shared" si="163"/>
        <v>9.4723146285869593E-3</v>
      </c>
      <c r="AC637" s="1">
        <f t="shared" si="164"/>
        <v>8.0720735279557441E-3</v>
      </c>
      <c r="AK637" s="17" t="s">
        <v>1226</v>
      </c>
      <c r="AL637" s="17">
        <f t="shared" si="165"/>
        <v>1.7517235620869095E-2</v>
      </c>
      <c r="AM637" s="17">
        <f t="shared" si="166"/>
        <v>2.0380099201436835E-2</v>
      </c>
      <c r="AO637" s="17" t="s">
        <v>1938</v>
      </c>
      <c r="AP637" s="17">
        <f t="shared" si="167"/>
        <v>1.1838113415806328</v>
      </c>
      <c r="AR637" s="1" t="s">
        <v>507</v>
      </c>
      <c r="AS637" s="17">
        <f t="shared" si="168"/>
        <v>1.1838113415806328</v>
      </c>
      <c r="AT637" s="17">
        <f t="shared" si="169"/>
        <v>90</v>
      </c>
    </row>
    <row r="638" spans="6:46" x14ac:dyDescent="0.3">
      <c r="F638" s="1">
        <v>636</v>
      </c>
      <c r="G638" s="1" t="s">
        <v>508</v>
      </c>
      <c r="H638" s="1">
        <v>4</v>
      </c>
      <c r="I638" s="1">
        <v>43</v>
      </c>
      <c r="J638" s="1">
        <v>2</v>
      </c>
      <c r="K638" s="1">
        <v>3</v>
      </c>
      <c r="M638" s="1" t="s">
        <v>508</v>
      </c>
      <c r="N638" s="1">
        <f t="shared" si="153"/>
        <v>0.5714285714285714</v>
      </c>
      <c r="O638" s="1">
        <f t="shared" si="154"/>
        <v>0.40952380952380951</v>
      </c>
      <c r="P638" s="1">
        <f t="shared" si="155"/>
        <v>0.5</v>
      </c>
      <c r="Q638" s="1">
        <f t="shared" si="156"/>
        <v>1</v>
      </c>
      <c r="S638" s="1" t="s">
        <v>508</v>
      </c>
      <c r="T638" s="1">
        <f t="shared" si="157"/>
        <v>5.7166195047503046E-2</v>
      </c>
      <c r="U638" s="1">
        <f t="shared" si="158"/>
        <v>3.1191850860950845E-2</v>
      </c>
      <c r="V638" s="1">
        <f t="shared" si="159"/>
        <v>3.1574382095289864E-2</v>
      </c>
      <c r="W638" s="1">
        <f t="shared" si="160"/>
        <v>4.0360367639778717E-2</v>
      </c>
      <c r="Y638" s="1" t="s">
        <v>508</v>
      </c>
      <c r="Z638" s="1">
        <f t="shared" si="161"/>
        <v>1.7149858514250913E-2</v>
      </c>
      <c r="AA638" s="1">
        <f t="shared" si="162"/>
        <v>6.2383701721901693E-3</v>
      </c>
      <c r="AB638" s="1">
        <f t="shared" si="163"/>
        <v>9.4723146285869593E-3</v>
      </c>
      <c r="AC638" s="1">
        <f t="shared" si="164"/>
        <v>8.0720735279557441E-3</v>
      </c>
      <c r="AK638" s="17" t="s">
        <v>1227</v>
      </c>
      <c r="AL638" s="17">
        <f t="shared" si="165"/>
        <v>1.6692800202908097E-2</v>
      </c>
      <c r="AM638" s="17">
        <f t="shared" si="166"/>
        <v>2.0544676165078612E-2</v>
      </c>
      <c r="AO638" s="17" t="s">
        <v>1939</v>
      </c>
      <c r="AP638" s="17">
        <f t="shared" si="167"/>
        <v>1.2512954139292238</v>
      </c>
      <c r="AR638" s="1" t="s">
        <v>508</v>
      </c>
      <c r="AS638" s="17">
        <f t="shared" si="168"/>
        <v>1.2512954139292238</v>
      </c>
      <c r="AT638" s="17">
        <f t="shared" si="169"/>
        <v>77</v>
      </c>
    </row>
    <row r="639" spans="6:46" x14ac:dyDescent="0.3">
      <c r="F639" s="1">
        <v>637</v>
      </c>
      <c r="G639" s="1" t="s">
        <v>509</v>
      </c>
      <c r="H639" s="1">
        <v>3</v>
      </c>
      <c r="I639" s="1">
        <v>39</v>
      </c>
      <c r="J639" s="1">
        <v>3</v>
      </c>
      <c r="K639" s="1">
        <v>3</v>
      </c>
      <c r="M639" s="1" t="s">
        <v>509</v>
      </c>
      <c r="N639" s="1">
        <f t="shared" si="153"/>
        <v>0.42857142857142855</v>
      </c>
      <c r="O639" s="1">
        <f t="shared" si="154"/>
        <v>0.37142857142857144</v>
      </c>
      <c r="P639" s="1">
        <f t="shared" si="155"/>
        <v>0.33333333333333331</v>
      </c>
      <c r="Q639" s="1">
        <f t="shared" si="156"/>
        <v>1</v>
      </c>
      <c r="S639" s="1" t="s">
        <v>509</v>
      </c>
      <c r="T639" s="1">
        <f t="shared" si="157"/>
        <v>4.2874646285627281E-2</v>
      </c>
      <c r="U639" s="1">
        <f t="shared" si="158"/>
        <v>2.829028333900193E-2</v>
      </c>
      <c r="V639" s="1">
        <f t="shared" si="159"/>
        <v>2.1049588063526574E-2</v>
      </c>
      <c r="W639" s="1">
        <f t="shared" si="160"/>
        <v>4.0360367639778717E-2</v>
      </c>
      <c r="Y639" s="1" t="s">
        <v>509</v>
      </c>
      <c r="Z639" s="1">
        <f t="shared" si="161"/>
        <v>1.2862393885688184E-2</v>
      </c>
      <c r="AA639" s="1">
        <f t="shared" si="162"/>
        <v>5.658056667800386E-3</v>
      </c>
      <c r="AB639" s="1">
        <f t="shared" si="163"/>
        <v>6.314876419057972E-3</v>
      </c>
      <c r="AC639" s="1">
        <f t="shared" si="164"/>
        <v>8.0720735279557441E-3</v>
      </c>
      <c r="AK639" s="17" t="s">
        <v>1228</v>
      </c>
      <c r="AL639" s="17">
        <f t="shared" si="165"/>
        <v>1.980358573360718E-2</v>
      </c>
      <c r="AM639" s="17">
        <f t="shared" si="166"/>
        <v>1.8973505335508931E-2</v>
      </c>
      <c r="AO639" s="17" t="s">
        <v>1940</v>
      </c>
      <c r="AP639" s="17">
        <f t="shared" si="167"/>
        <v>0.97705784373440896</v>
      </c>
      <c r="AR639" s="1" t="s">
        <v>509</v>
      </c>
      <c r="AS639" s="17">
        <f t="shared" si="168"/>
        <v>0.97705784373440896</v>
      </c>
      <c r="AT639" s="17">
        <f t="shared" si="169"/>
        <v>147</v>
      </c>
    </row>
    <row r="640" spans="6:46" x14ac:dyDescent="0.3">
      <c r="F640" s="1">
        <v>638</v>
      </c>
      <c r="G640" s="1" t="s">
        <v>510</v>
      </c>
      <c r="H640" s="1">
        <v>3</v>
      </c>
      <c r="I640" s="1">
        <v>40</v>
      </c>
      <c r="J640" s="1">
        <v>3</v>
      </c>
      <c r="K640" s="1">
        <v>3</v>
      </c>
      <c r="M640" s="1" t="s">
        <v>510</v>
      </c>
      <c r="N640" s="1">
        <f t="shared" si="153"/>
        <v>0.42857142857142855</v>
      </c>
      <c r="O640" s="1">
        <f t="shared" si="154"/>
        <v>0.38095238095238093</v>
      </c>
      <c r="P640" s="1">
        <f t="shared" si="155"/>
        <v>0.33333333333333331</v>
      </c>
      <c r="Q640" s="1">
        <f t="shared" si="156"/>
        <v>1</v>
      </c>
      <c r="S640" s="1" t="s">
        <v>510</v>
      </c>
      <c r="T640" s="1">
        <f t="shared" si="157"/>
        <v>4.2874646285627281E-2</v>
      </c>
      <c r="U640" s="1">
        <f t="shared" si="158"/>
        <v>2.9015675219489157E-2</v>
      </c>
      <c r="V640" s="1">
        <f t="shared" si="159"/>
        <v>2.1049588063526574E-2</v>
      </c>
      <c r="W640" s="1">
        <f t="shared" si="160"/>
        <v>4.0360367639778717E-2</v>
      </c>
      <c r="Y640" s="1" t="s">
        <v>510</v>
      </c>
      <c r="Z640" s="1">
        <f t="shared" si="161"/>
        <v>1.2862393885688184E-2</v>
      </c>
      <c r="AA640" s="1">
        <f t="shared" si="162"/>
        <v>5.8031350438978316E-3</v>
      </c>
      <c r="AB640" s="1">
        <f t="shared" si="163"/>
        <v>6.314876419057972E-3</v>
      </c>
      <c r="AC640" s="1">
        <f t="shared" si="164"/>
        <v>8.0720735279557441E-3</v>
      </c>
      <c r="AK640" s="17" t="s">
        <v>1229</v>
      </c>
      <c r="AL640" s="17">
        <f t="shared" si="165"/>
        <v>1.973384794194177E-2</v>
      </c>
      <c r="AM640" s="17">
        <f t="shared" si="166"/>
        <v>1.8992908556852827E-2</v>
      </c>
      <c r="AO640" s="17" t="s">
        <v>1941</v>
      </c>
      <c r="AP640" s="17">
        <f t="shared" si="167"/>
        <v>0.98144628372885012</v>
      </c>
      <c r="AR640" s="1" t="s">
        <v>510</v>
      </c>
      <c r="AS640" s="17">
        <f t="shared" si="168"/>
        <v>0.98144628372885012</v>
      </c>
      <c r="AT640" s="17">
        <f t="shared" si="169"/>
        <v>142</v>
      </c>
    </row>
    <row r="641" spans="6:46" x14ac:dyDescent="0.3">
      <c r="F641" s="1">
        <v>639</v>
      </c>
      <c r="G641" s="1" t="s">
        <v>511</v>
      </c>
      <c r="H641" s="1">
        <v>0</v>
      </c>
      <c r="I641" s="1">
        <v>102</v>
      </c>
      <c r="J641" s="1">
        <v>1</v>
      </c>
      <c r="K641" s="1">
        <v>2</v>
      </c>
      <c r="M641" s="1" t="s">
        <v>511</v>
      </c>
      <c r="N641" s="1">
        <f t="shared" si="153"/>
        <v>0</v>
      </c>
      <c r="O641" s="1">
        <f t="shared" si="154"/>
        <v>0.97142857142857142</v>
      </c>
      <c r="P641" s="1">
        <f t="shared" si="155"/>
        <v>1</v>
      </c>
      <c r="Q641" s="1">
        <f t="shared" si="156"/>
        <v>0.66666666666666663</v>
      </c>
      <c r="S641" s="1" t="s">
        <v>511</v>
      </c>
      <c r="T641" s="1">
        <f t="shared" si="157"/>
        <v>0</v>
      </c>
      <c r="U641" s="1">
        <f t="shared" si="158"/>
        <v>7.3989971809697352E-2</v>
      </c>
      <c r="V641" s="1">
        <f t="shared" si="159"/>
        <v>6.3148764190579729E-2</v>
      </c>
      <c r="W641" s="1">
        <f t="shared" si="160"/>
        <v>2.6906911759852478E-2</v>
      </c>
      <c r="Y641" s="1" t="s">
        <v>511</v>
      </c>
      <c r="Z641" s="1">
        <f t="shared" si="161"/>
        <v>0</v>
      </c>
      <c r="AA641" s="1">
        <f t="shared" si="162"/>
        <v>1.4797994361939472E-2</v>
      </c>
      <c r="AB641" s="1">
        <f t="shared" si="163"/>
        <v>1.8944629257173919E-2</v>
      </c>
      <c r="AC641" s="1">
        <f t="shared" si="164"/>
        <v>5.3813823519704958E-3</v>
      </c>
      <c r="AK641" s="17" t="s">
        <v>1230</v>
      </c>
      <c r="AL641" s="17">
        <f t="shared" si="165"/>
        <v>3.3732178827668505E-2</v>
      </c>
      <c r="AM641" s="17">
        <f t="shared" si="166"/>
        <v>1.1914080927851095E-2</v>
      </c>
      <c r="AO641" s="17" t="s">
        <v>1942</v>
      </c>
      <c r="AP641" s="17">
        <f t="shared" si="167"/>
        <v>0.36511038611518998</v>
      </c>
      <c r="AR641" s="1" t="s">
        <v>511</v>
      </c>
      <c r="AS641" s="17">
        <f t="shared" si="168"/>
        <v>0.36511038611518998</v>
      </c>
      <c r="AT641" s="17">
        <f t="shared" si="169"/>
        <v>621</v>
      </c>
    </row>
    <row r="642" spans="6:46" x14ac:dyDescent="0.3">
      <c r="F642" s="1">
        <v>640</v>
      </c>
      <c r="G642" s="1" t="s">
        <v>512</v>
      </c>
      <c r="H642" s="1">
        <v>3</v>
      </c>
      <c r="I642" s="1">
        <v>36</v>
      </c>
      <c r="J642" s="1">
        <v>3</v>
      </c>
      <c r="K642" s="1">
        <v>3</v>
      </c>
      <c r="M642" s="1" t="s">
        <v>512</v>
      </c>
      <c r="N642" s="1">
        <f t="shared" si="153"/>
        <v>0.42857142857142855</v>
      </c>
      <c r="O642" s="1">
        <f t="shared" si="154"/>
        <v>0.34285714285714286</v>
      </c>
      <c r="P642" s="1">
        <f t="shared" si="155"/>
        <v>0.33333333333333331</v>
      </c>
      <c r="Q642" s="1">
        <f t="shared" si="156"/>
        <v>1</v>
      </c>
      <c r="S642" s="1" t="s">
        <v>512</v>
      </c>
      <c r="T642" s="1">
        <f t="shared" si="157"/>
        <v>4.2874646285627281E-2</v>
      </c>
      <c r="U642" s="1">
        <f t="shared" si="158"/>
        <v>2.6114107697540242E-2</v>
      </c>
      <c r="V642" s="1">
        <f t="shared" si="159"/>
        <v>2.1049588063526574E-2</v>
      </c>
      <c r="W642" s="1">
        <f t="shared" si="160"/>
        <v>4.0360367639778717E-2</v>
      </c>
      <c r="Y642" s="1" t="s">
        <v>512</v>
      </c>
      <c r="Z642" s="1">
        <f t="shared" si="161"/>
        <v>1.2862393885688184E-2</v>
      </c>
      <c r="AA642" s="1">
        <f t="shared" si="162"/>
        <v>5.2228215395080484E-3</v>
      </c>
      <c r="AB642" s="1">
        <f t="shared" si="163"/>
        <v>6.314876419057972E-3</v>
      </c>
      <c r="AC642" s="1">
        <f t="shared" si="164"/>
        <v>8.0720735279557441E-3</v>
      </c>
      <c r="AK642" s="17" t="s">
        <v>1231</v>
      </c>
      <c r="AL642" s="17">
        <f t="shared" si="165"/>
        <v>2.0017650728015361E-2</v>
      </c>
      <c r="AM642" s="17">
        <f t="shared" si="166"/>
        <v>1.8921851530491307E-2</v>
      </c>
      <c r="AO642" s="17" t="s">
        <v>1943</v>
      </c>
      <c r="AP642" s="17">
        <f t="shared" si="167"/>
        <v>0.96418020315162101</v>
      </c>
      <c r="AR642" s="1" t="s">
        <v>512</v>
      </c>
      <c r="AS642" s="17">
        <f t="shared" si="168"/>
        <v>0.96418020315162101</v>
      </c>
      <c r="AT642" s="17">
        <f t="shared" si="169"/>
        <v>153</v>
      </c>
    </row>
    <row r="643" spans="6:46" x14ac:dyDescent="0.3">
      <c r="F643" s="1">
        <v>641</v>
      </c>
      <c r="G643" s="1" t="s">
        <v>513</v>
      </c>
      <c r="H643" s="1">
        <v>2</v>
      </c>
      <c r="I643" s="1">
        <v>66</v>
      </c>
      <c r="J643" s="1">
        <v>2</v>
      </c>
      <c r="K643" s="1">
        <v>3</v>
      </c>
      <c r="M643" s="1" t="s">
        <v>513</v>
      </c>
      <c r="N643" s="1">
        <f t="shared" si="153"/>
        <v>0.2857142857142857</v>
      </c>
      <c r="O643" s="1">
        <f t="shared" si="154"/>
        <v>0.62857142857142856</v>
      </c>
      <c r="P643" s="1">
        <f t="shared" si="155"/>
        <v>0.5</v>
      </c>
      <c r="Q643" s="1">
        <f t="shared" si="156"/>
        <v>1</v>
      </c>
      <c r="S643" s="1" t="s">
        <v>513</v>
      </c>
      <c r="T643" s="1">
        <f t="shared" si="157"/>
        <v>2.8583097523751523E-2</v>
      </c>
      <c r="U643" s="1">
        <f t="shared" si="158"/>
        <v>4.7875864112157107E-2</v>
      </c>
      <c r="V643" s="1">
        <f t="shared" si="159"/>
        <v>3.1574382095289864E-2</v>
      </c>
      <c r="W643" s="1">
        <f t="shared" si="160"/>
        <v>4.0360367639778717E-2</v>
      </c>
      <c r="Y643" s="1" t="s">
        <v>513</v>
      </c>
      <c r="Z643" s="1">
        <f t="shared" si="161"/>
        <v>8.5749292571254566E-3</v>
      </c>
      <c r="AA643" s="1">
        <f t="shared" si="162"/>
        <v>9.5751728224314214E-3</v>
      </c>
      <c r="AB643" s="1">
        <f t="shared" si="163"/>
        <v>9.4723146285869593E-3</v>
      </c>
      <c r="AC643" s="1">
        <f t="shared" si="164"/>
        <v>8.0720735279557441E-3</v>
      </c>
      <c r="AK643" s="17" t="s">
        <v>1232</v>
      </c>
      <c r="AL643" s="17">
        <f t="shared" si="165"/>
        <v>2.2888279463028956E-2</v>
      </c>
      <c r="AM643" s="17">
        <f t="shared" si="166"/>
        <v>1.5263087747057716E-2</v>
      </c>
      <c r="AO643" s="17" t="s">
        <v>1944</v>
      </c>
      <c r="AP643" s="17">
        <f t="shared" si="167"/>
        <v>0.68211477363773021</v>
      </c>
      <c r="AR643" s="1" t="s">
        <v>513</v>
      </c>
      <c r="AS643" s="17">
        <f t="shared" si="168"/>
        <v>0.68211477363773021</v>
      </c>
      <c r="AT643" s="17">
        <f t="shared" si="169"/>
        <v>358</v>
      </c>
    </row>
    <row r="644" spans="6:46" x14ac:dyDescent="0.3">
      <c r="F644" s="1">
        <v>642</v>
      </c>
      <c r="G644" s="1" t="s">
        <v>514</v>
      </c>
      <c r="H644" s="1">
        <v>2</v>
      </c>
      <c r="I644" s="1">
        <v>57</v>
      </c>
      <c r="J644" s="1">
        <v>2</v>
      </c>
      <c r="K644" s="1">
        <v>3</v>
      </c>
      <c r="M644" s="1" t="s">
        <v>514</v>
      </c>
      <c r="N644" s="1">
        <f t="shared" ref="N644:N707" si="170">H644/MAX($H$3:$H$712)</f>
        <v>0.2857142857142857</v>
      </c>
      <c r="O644" s="1">
        <f t="shared" ref="O644:O707" si="171">I644/MAX($I$3:$I$712)</f>
        <v>0.54285714285714282</v>
      </c>
      <c r="P644" s="1">
        <f t="shared" ref="P644:P707" si="172">MIN($J$3:$J$712)/J644</f>
        <v>0.5</v>
      </c>
      <c r="Q644" s="1">
        <f t="shared" ref="Q644:Q707" si="173">K644/MAX($K$3:$K$712)</f>
        <v>1</v>
      </c>
      <c r="S644" s="1" t="s">
        <v>514</v>
      </c>
      <c r="T644" s="1">
        <f t="shared" ref="T644:T707" si="174">N644/SQRT(SUMSQ($N$3:$N$712))</f>
        <v>2.8583097523751523E-2</v>
      </c>
      <c r="U644" s="1">
        <f t="shared" ref="U644:U707" si="175">O644/SQRT(SUMSQ($O$3:$O$712))</f>
        <v>4.1347337187772046E-2</v>
      </c>
      <c r="V644" s="1">
        <f t="shared" ref="V644:V707" si="176">P644/SQRT(SUMSQ($P$3:$P$712))</f>
        <v>3.1574382095289864E-2</v>
      </c>
      <c r="W644" s="1">
        <f t="shared" ref="W644:W707" si="177">Q644/SQRT(SUMSQ($Q$3:$Q$712))</f>
        <v>4.0360367639778717E-2</v>
      </c>
      <c r="Y644" s="1" t="s">
        <v>514</v>
      </c>
      <c r="Z644" s="1">
        <f t="shared" ref="Z644:Z707" si="178">T644*$D$3</f>
        <v>8.5749292571254566E-3</v>
      </c>
      <c r="AA644" s="1">
        <f t="shared" ref="AA644:AA707" si="179">U644*$D$4</f>
        <v>8.2694674375544102E-3</v>
      </c>
      <c r="AB644" s="1">
        <f t="shared" ref="AB644:AB707" si="180">V644*$D$5</f>
        <v>9.4723146285869593E-3</v>
      </c>
      <c r="AC644" s="1">
        <f t="shared" ref="AC644:AC707" si="181">W644*$D$6</f>
        <v>8.0720735279557441E-3</v>
      </c>
      <c r="AK644" s="17" t="s">
        <v>1233</v>
      </c>
      <c r="AL644" s="17">
        <f t="shared" ref="AL644:AL707" si="182">SQRT( ($AF$3-Z644)^2 + ($AG$3-AA644)^2 + ($AH$3-AB644)^2 + ($AI$3-AC644)^2 )</f>
        <v>2.3245509532982548E-2</v>
      </c>
      <c r="AM644" s="17">
        <f t="shared" ref="AM644:AM707" si="183">SQRT( (Z644-$AF$4)^2 + (AA644-$AG$4)^2 + (AB644-$AH$4)^2 + (AC644-$AI$4)^2 )</f>
        <v>1.4764718346088125E-2</v>
      </c>
      <c r="AO644" s="17" t="s">
        <v>1945</v>
      </c>
      <c r="AP644" s="17">
        <f t="shared" ref="AP644:AP707" si="184">AM644/AL644+AM644</f>
        <v>0.64992904224007664</v>
      </c>
      <c r="AR644" s="1" t="s">
        <v>514</v>
      </c>
      <c r="AS644" s="17">
        <f t="shared" ref="AS644:AS707" si="185">AP644</f>
        <v>0.64992904224007664</v>
      </c>
      <c r="AT644" s="17">
        <f t="shared" ref="AT644:AT707" si="186">RANK(AS644,$AS$3:$AS$712,0)</f>
        <v>383</v>
      </c>
    </row>
    <row r="645" spans="6:46" x14ac:dyDescent="0.3">
      <c r="F645" s="1">
        <v>643</v>
      </c>
      <c r="G645" s="1" t="s">
        <v>238</v>
      </c>
      <c r="H645" s="1">
        <v>0</v>
      </c>
      <c r="I645" s="1">
        <v>65</v>
      </c>
      <c r="J645" s="1">
        <v>2</v>
      </c>
      <c r="K645" s="1">
        <v>2</v>
      </c>
      <c r="M645" s="1" t="s">
        <v>238</v>
      </c>
      <c r="N645" s="1">
        <f t="shared" si="170"/>
        <v>0</v>
      </c>
      <c r="O645" s="1">
        <f t="shared" si="171"/>
        <v>0.61904761904761907</v>
      </c>
      <c r="P645" s="1">
        <f t="shared" si="172"/>
        <v>0.5</v>
      </c>
      <c r="Q645" s="1">
        <f t="shared" si="173"/>
        <v>0.66666666666666663</v>
      </c>
      <c r="S645" s="1" t="s">
        <v>238</v>
      </c>
      <c r="T645" s="1">
        <f t="shared" si="174"/>
        <v>0</v>
      </c>
      <c r="U645" s="1">
        <f t="shared" si="175"/>
        <v>4.7150472231669883E-2</v>
      </c>
      <c r="V645" s="1">
        <f t="shared" si="176"/>
        <v>3.1574382095289864E-2</v>
      </c>
      <c r="W645" s="1">
        <f t="shared" si="177"/>
        <v>2.6906911759852478E-2</v>
      </c>
      <c r="Y645" s="1" t="s">
        <v>238</v>
      </c>
      <c r="Z645" s="1">
        <f t="shared" si="178"/>
        <v>0</v>
      </c>
      <c r="AA645" s="1">
        <f t="shared" si="179"/>
        <v>9.4300944463339767E-3</v>
      </c>
      <c r="AB645" s="1">
        <f t="shared" si="180"/>
        <v>9.4723146285869593E-3</v>
      </c>
      <c r="AC645" s="1">
        <f t="shared" si="181"/>
        <v>5.3813823519704958E-3</v>
      </c>
      <c r="AK645" s="17" t="s">
        <v>1234</v>
      </c>
      <c r="AL645" s="17">
        <f t="shared" si="182"/>
        <v>3.1208210417326871E-2</v>
      </c>
      <c r="AM645" s="17">
        <f t="shared" si="183"/>
        <v>1.1656836012947053E-2</v>
      </c>
      <c r="AO645" s="17" t="s">
        <v>1946</v>
      </c>
      <c r="AP645" s="17">
        <f t="shared" si="184"/>
        <v>0.38517508191900357</v>
      </c>
      <c r="AR645" s="1" t="s">
        <v>238</v>
      </c>
      <c r="AS645" s="17">
        <f t="shared" si="185"/>
        <v>0.38517508191900357</v>
      </c>
      <c r="AT645" s="17">
        <f t="shared" si="186"/>
        <v>611</v>
      </c>
    </row>
    <row r="646" spans="6:46" x14ac:dyDescent="0.3">
      <c r="F646" s="1">
        <v>644</v>
      </c>
      <c r="G646" s="1" t="s">
        <v>515</v>
      </c>
      <c r="H646" s="1">
        <v>2</v>
      </c>
      <c r="I646" s="1">
        <v>50</v>
      </c>
      <c r="J646" s="1">
        <v>5</v>
      </c>
      <c r="K646" s="1">
        <v>3</v>
      </c>
      <c r="M646" s="1" t="s">
        <v>515</v>
      </c>
      <c r="N646" s="1">
        <f t="shared" si="170"/>
        <v>0.2857142857142857</v>
      </c>
      <c r="O646" s="1">
        <f t="shared" si="171"/>
        <v>0.47619047619047616</v>
      </c>
      <c r="P646" s="1">
        <f t="shared" si="172"/>
        <v>0.2</v>
      </c>
      <c r="Q646" s="1">
        <f t="shared" si="173"/>
        <v>1</v>
      </c>
      <c r="S646" s="1" t="s">
        <v>515</v>
      </c>
      <c r="T646" s="1">
        <f t="shared" si="174"/>
        <v>2.8583097523751523E-2</v>
      </c>
      <c r="U646" s="1">
        <f t="shared" si="175"/>
        <v>3.6269594024361446E-2</v>
      </c>
      <c r="V646" s="1">
        <f t="shared" si="176"/>
        <v>1.2629752838115946E-2</v>
      </c>
      <c r="W646" s="1">
        <f t="shared" si="177"/>
        <v>4.0360367639778717E-2</v>
      </c>
      <c r="Y646" s="1" t="s">
        <v>515</v>
      </c>
      <c r="Z646" s="1">
        <f t="shared" si="178"/>
        <v>8.5749292571254566E-3</v>
      </c>
      <c r="AA646" s="1">
        <f t="shared" si="179"/>
        <v>7.2539188048722893E-3</v>
      </c>
      <c r="AB646" s="1">
        <f t="shared" si="180"/>
        <v>3.7889258514347836E-3</v>
      </c>
      <c r="AC646" s="1">
        <f t="shared" si="181"/>
        <v>8.0720735279557441E-3</v>
      </c>
      <c r="AK646" s="17" t="s">
        <v>1235</v>
      </c>
      <c r="AL646" s="17">
        <f t="shared" si="182"/>
        <v>2.287418244534449E-2</v>
      </c>
      <c r="AM646" s="17">
        <f t="shared" si="183"/>
        <v>1.8673121268577966E-2</v>
      </c>
      <c r="AO646" s="17" t="s">
        <v>1947</v>
      </c>
      <c r="AP646" s="17">
        <f t="shared" si="184"/>
        <v>0.83501360964211757</v>
      </c>
      <c r="AR646" s="1" t="s">
        <v>515</v>
      </c>
      <c r="AS646" s="17">
        <f t="shared" si="185"/>
        <v>0.83501360964211757</v>
      </c>
      <c r="AT646" s="17">
        <f t="shared" si="186"/>
        <v>287</v>
      </c>
    </row>
    <row r="647" spans="6:46" x14ac:dyDescent="0.3">
      <c r="F647" s="1">
        <v>645</v>
      </c>
      <c r="G647" s="1" t="s">
        <v>372</v>
      </c>
      <c r="H647" s="1">
        <v>3</v>
      </c>
      <c r="I647" s="1">
        <v>51</v>
      </c>
      <c r="J647" s="1">
        <v>1</v>
      </c>
      <c r="K647" s="1">
        <v>3</v>
      </c>
      <c r="M647" s="1" t="s">
        <v>372</v>
      </c>
      <c r="N647" s="1">
        <f t="shared" si="170"/>
        <v>0.42857142857142855</v>
      </c>
      <c r="O647" s="1">
        <f t="shared" si="171"/>
        <v>0.48571428571428571</v>
      </c>
      <c r="P647" s="1">
        <f t="shared" si="172"/>
        <v>1</v>
      </c>
      <c r="Q647" s="1">
        <f t="shared" si="173"/>
        <v>1</v>
      </c>
      <c r="S647" s="1" t="s">
        <v>372</v>
      </c>
      <c r="T647" s="1">
        <f t="shared" si="174"/>
        <v>4.2874646285627281E-2</v>
      </c>
      <c r="U647" s="1">
        <f t="shared" si="175"/>
        <v>3.6994985904848676E-2</v>
      </c>
      <c r="V647" s="1">
        <f t="shared" si="176"/>
        <v>6.3148764190579729E-2</v>
      </c>
      <c r="W647" s="1">
        <f t="shared" si="177"/>
        <v>4.0360367639778717E-2</v>
      </c>
      <c r="Y647" s="1" t="s">
        <v>372</v>
      </c>
      <c r="Z647" s="1">
        <f t="shared" si="178"/>
        <v>1.2862393885688184E-2</v>
      </c>
      <c r="AA647" s="1">
        <f t="shared" si="179"/>
        <v>7.3989971809697358E-3</v>
      </c>
      <c r="AB647" s="1">
        <f t="shared" si="180"/>
        <v>1.8944629257173919E-2</v>
      </c>
      <c r="AC647" s="1">
        <f t="shared" si="181"/>
        <v>8.0720735279557441E-3</v>
      </c>
      <c r="AK647" s="17" t="s">
        <v>1236</v>
      </c>
      <c r="AL647" s="17">
        <f t="shared" si="182"/>
        <v>2.4190663253764733E-2</v>
      </c>
      <c r="AM647" s="17">
        <f t="shared" si="183"/>
        <v>1.4563708243479741E-2</v>
      </c>
      <c r="AO647" s="17" t="s">
        <v>1948</v>
      </c>
      <c r="AP647" s="17">
        <f t="shared" si="184"/>
        <v>0.6166021100311293</v>
      </c>
      <c r="AR647" s="1" t="s">
        <v>372</v>
      </c>
      <c r="AS647" s="17">
        <f t="shared" si="185"/>
        <v>0.6166021100311293</v>
      </c>
      <c r="AT647" s="17">
        <f t="shared" si="186"/>
        <v>416</v>
      </c>
    </row>
    <row r="648" spans="6:46" x14ac:dyDescent="0.3">
      <c r="F648" s="1">
        <v>646</v>
      </c>
      <c r="G648" s="1" t="s">
        <v>377</v>
      </c>
      <c r="H648" s="1">
        <v>2</v>
      </c>
      <c r="I648" s="1">
        <v>54</v>
      </c>
      <c r="J648" s="1">
        <v>2</v>
      </c>
      <c r="K648" s="1">
        <v>3</v>
      </c>
      <c r="M648" s="1" t="s">
        <v>377</v>
      </c>
      <c r="N648" s="1">
        <f t="shared" si="170"/>
        <v>0.2857142857142857</v>
      </c>
      <c r="O648" s="1">
        <f t="shared" si="171"/>
        <v>0.51428571428571423</v>
      </c>
      <c r="P648" s="1">
        <f t="shared" si="172"/>
        <v>0.5</v>
      </c>
      <c r="Q648" s="1">
        <f t="shared" si="173"/>
        <v>1</v>
      </c>
      <c r="S648" s="1" t="s">
        <v>377</v>
      </c>
      <c r="T648" s="1">
        <f t="shared" si="174"/>
        <v>2.8583097523751523E-2</v>
      </c>
      <c r="U648" s="1">
        <f t="shared" si="175"/>
        <v>3.9171161546310361E-2</v>
      </c>
      <c r="V648" s="1">
        <f t="shared" si="176"/>
        <v>3.1574382095289864E-2</v>
      </c>
      <c r="W648" s="1">
        <f t="shared" si="177"/>
        <v>4.0360367639778717E-2</v>
      </c>
      <c r="Y648" s="1" t="s">
        <v>377</v>
      </c>
      <c r="Z648" s="1">
        <f t="shared" si="178"/>
        <v>8.5749292571254566E-3</v>
      </c>
      <c r="AA648" s="1">
        <f t="shared" si="179"/>
        <v>7.8342323092620725E-3</v>
      </c>
      <c r="AB648" s="1">
        <f t="shared" si="180"/>
        <v>9.4723146285869593E-3</v>
      </c>
      <c r="AC648" s="1">
        <f t="shared" si="181"/>
        <v>8.0720735279557441E-3</v>
      </c>
      <c r="AK648" s="17" t="s">
        <v>1237</v>
      </c>
      <c r="AL648" s="17">
        <f t="shared" si="182"/>
        <v>2.3379582776552509E-2</v>
      </c>
      <c r="AM648" s="17">
        <f t="shared" si="183"/>
        <v>1.4620749401514472E-2</v>
      </c>
      <c r="AO648" s="17" t="s">
        <v>1949</v>
      </c>
      <c r="AP648" s="17">
        <f t="shared" si="184"/>
        <v>0.63998474931761595</v>
      </c>
      <c r="AR648" s="1" t="s">
        <v>377</v>
      </c>
      <c r="AS648" s="17">
        <f t="shared" si="185"/>
        <v>0.63998474931761595</v>
      </c>
      <c r="AT648" s="17">
        <f t="shared" si="186"/>
        <v>393</v>
      </c>
    </row>
    <row r="649" spans="6:46" x14ac:dyDescent="0.3">
      <c r="F649" s="1">
        <v>647</v>
      </c>
      <c r="G649" s="1" t="s">
        <v>516</v>
      </c>
      <c r="H649" s="1">
        <v>1</v>
      </c>
      <c r="I649" s="1">
        <v>84</v>
      </c>
      <c r="J649" s="1">
        <v>2</v>
      </c>
      <c r="K649" s="1">
        <v>3</v>
      </c>
      <c r="M649" s="1" t="s">
        <v>516</v>
      </c>
      <c r="N649" s="1">
        <f t="shared" si="170"/>
        <v>0.14285714285714285</v>
      </c>
      <c r="O649" s="1">
        <f t="shared" si="171"/>
        <v>0.8</v>
      </c>
      <c r="P649" s="1">
        <f t="shared" si="172"/>
        <v>0.5</v>
      </c>
      <c r="Q649" s="1">
        <f t="shared" si="173"/>
        <v>1</v>
      </c>
      <c r="S649" s="1" t="s">
        <v>516</v>
      </c>
      <c r="T649" s="1">
        <f t="shared" si="174"/>
        <v>1.4291548761875762E-2</v>
      </c>
      <c r="U649" s="1">
        <f t="shared" si="175"/>
        <v>6.0932917960927237E-2</v>
      </c>
      <c r="V649" s="1">
        <f t="shared" si="176"/>
        <v>3.1574382095289864E-2</v>
      </c>
      <c r="W649" s="1">
        <f t="shared" si="177"/>
        <v>4.0360367639778717E-2</v>
      </c>
      <c r="Y649" s="1" t="s">
        <v>516</v>
      </c>
      <c r="Z649" s="1">
        <f t="shared" si="178"/>
        <v>4.2874646285627283E-3</v>
      </c>
      <c r="AA649" s="1">
        <f t="shared" si="179"/>
        <v>1.2186583592185447E-2</v>
      </c>
      <c r="AB649" s="1">
        <f t="shared" si="180"/>
        <v>9.4723146285869593E-3</v>
      </c>
      <c r="AC649" s="1">
        <f t="shared" si="181"/>
        <v>8.0720735279557441E-3</v>
      </c>
      <c r="AK649" s="17" t="s">
        <v>1238</v>
      </c>
      <c r="AL649" s="17">
        <f t="shared" si="182"/>
        <v>2.6520702575586065E-2</v>
      </c>
      <c r="AM649" s="17">
        <f t="shared" si="183"/>
        <v>1.4763938076732071E-2</v>
      </c>
      <c r="AO649" s="17" t="s">
        <v>1950</v>
      </c>
      <c r="AP649" s="17">
        <f t="shared" si="184"/>
        <v>0.57145877052522009</v>
      </c>
      <c r="AR649" s="1" t="s">
        <v>516</v>
      </c>
      <c r="AS649" s="17">
        <f t="shared" si="185"/>
        <v>0.57145877052522009</v>
      </c>
      <c r="AT649" s="17">
        <f t="shared" si="186"/>
        <v>491</v>
      </c>
    </row>
    <row r="650" spans="6:46" x14ac:dyDescent="0.3">
      <c r="F650" s="1">
        <v>648</v>
      </c>
      <c r="G650" s="1" t="s">
        <v>517</v>
      </c>
      <c r="H650" s="1">
        <v>3</v>
      </c>
      <c r="I650" s="1">
        <v>43</v>
      </c>
      <c r="J650" s="1">
        <v>2</v>
      </c>
      <c r="K650" s="1">
        <v>3</v>
      </c>
      <c r="M650" s="1" t="s">
        <v>517</v>
      </c>
      <c r="N650" s="1">
        <f t="shared" si="170"/>
        <v>0.42857142857142855</v>
      </c>
      <c r="O650" s="1">
        <f t="shared" si="171"/>
        <v>0.40952380952380951</v>
      </c>
      <c r="P650" s="1">
        <f t="shared" si="172"/>
        <v>0.5</v>
      </c>
      <c r="Q650" s="1">
        <f t="shared" si="173"/>
        <v>1</v>
      </c>
      <c r="S650" s="1" t="s">
        <v>517</v>
      </c>
      <c r="T650" s="1">
        <f t="shared" si="174"/>
        <v>4.2874646285627281E-2</v>
      </c>
      <c r="U650" s="1">
        <f t="shared" si="175"/>
        <v>3.1191850860950845E-2</v>
      </c>
      <c r="V650" s="1">
        <f t="shared" si="176"/>
        <v>3.1574382095289864E-2</v>
      </c>
      <c r="W650" s="1">
        <f t="shared" si="177"/>
        <v>4.0360367639778717E-2</v>
      </c>
      <c r="Y650" s="1" t="s">
        <v>517</v>
      </c>
      <c r="Z650" s="1">
        <f t="shared" si="178"/>
        <v>1.2862393885688184E-2</v>
      </c>
      <c r="AA650" s="1">
        <f t="shared" si="179"/>
        <v>6.2383701721901693E-3</v>
      </c>
      <c r="AB650" s="1">
        <f t="shared" si="180"/>
        <v>9.4723146285869593E-3</v>
      </c>
      <c r="AC650" s="1">
        <f t="shared" si="181"/>
        <v>8.0720735279557441E-3</v>
      </c>
      <c r="AK650" s="17" t="s">
        <v>1239</v>
      </c>
      <c r="AL650" s="17">
        <f t="shared" si="182"/>
        <v>2.0182320213554348E-2</v>
      </c>
      <c r="AM650" s="17">
        <f t="shared" si="183"/>
        <v>1.7129134483087973E-2</v>
      </c>
      <c r="AO650" s="17" t="s">
        <v>1951</v>
      </c>
      <c r="AP650" s="17">
        <f t="shared" si="184"/>
        <v>0.86584892001023117</v>
      </c>
      <c r="AR650" s="1" t="s">
        <v>517</v>
      </c>
      <c r="AS650" s="17">
        <f t="shared" si="185"/>
        <v>0.86584892001023117</v>
      </c>
      <c r="AT650" s="17">
        <f t="shared" si="186"/>
        <v>222</v>
      </c>
    </row>
    <row r="651" spans="6:46" x14ac:dyDescent="0.3">
      <c r="F651" s="1">
        <v>649</v>
      </c>
      <c r="G651" s="1" t="s">
        <v>518</v>
      </c>
      <c r="H651" s="1">
        <v>0</v>
      </c>
      <c r="I651" s="1">
        <v>43</v>
      </c>
      <c r="J651" s="1">
        <v>1</v>
      </c>
      <c r="K651" s="1">
        <v>1</v>
      </c>
      <c r="M651" s="1" t="s">
        <v>518</v>
      </c>
      <c r="N651" s="1">
        <f t="shared" si="170"/>
        <v>0</v>
      </c>
      <c r="O651" s="1">
        <f t="shared" si="171"/>
        <v>0.40952380952380951</v>
      </c>
      <c r="P651" s="1">
        <f t="shared" si="172"/>
        <v>1</v>
      </c>
      <c r="Q651" s="1">
        <f t="shared" si="173"/>
        <v>0.33333333333333331</v>
      </c>
      <c r="S651" s="1" t="s">
        <v>518</v>
      </c>
      <c r="T651" s="1">
        <f t="shared" si="174"/>
        <v>0</v>
      </c>
      <c r="U651" s="1">
        <f t="shared" si="175"/>
        <v>3.1191850860950845E-2</v>
      </c>
      <c r="V651" s="1">
        <f t="shared" si="176"/>
        <v>6.3148764190579729E-2</v>
      </c>
      <c r="W651" s="1">
        <f t="shared" si="177"/>
        <v>1.3453455879926239E-2</v>
      </c>
      <c r="Y651" s="1" t="s">
        <v>518</v>
      </c>
      <c r="Z651" s="1">
        <f t="shared" si="178"/>
        <v>0</v>
      </c>
      <c r="AA651" s="1">
        <f t="shared" si="179"/>
        <v>6.2383701721901693E-3</v>
      </c>
      <c r="AB651" s="1">
        <f t="shared" si="180"/>
        <v>1.8944629257173919E-2</v>
      </c>
      <c r="AC651" s="1">
        <f t="shared" si="181"/>
        <v>2.6906911759852479E-3</v>
      </c>
      <c r="AK651" s="17" t="s">
        <v>1240</v>
      </c>
      <c r="AL651" s="17">
        <f t="shared" si="182"/>
        <v>3.5217856408501683E-2</v>
      </c>
      <c r="AM651" s="17">
        <f t="shared" si="183"/>
        <v>3.0466458980463614E-3</v>
      </c>
      <c r="AO651" s="17" t="s">
        <v>1952</v>
      </c>
      <c r="AP651" s="17">
        <f t="shared" si="184"/>
        <v>8.9555201748449942E-2</v>
      </c>
      <c r="AR651" s="1" t="s">
        <v>518</v>
      </c>
      <c r="AS651" s="17">
        <f t="shared" si="185"/>
        <v>8.9555201748449942E-2</v>
      </c>
      <c r="AT651" s="17">
        <f t="shared" si="186"/>
        <v>705</v>
      </c>
    </row>
    <row r="652" spans="6:46" x14ac:dyDescent="0.3">
      <c r="F652" s="1">
        <v>650</v>
      </c>
      <c r="G652" s="1" t="s">
        <v>254</v>
      </c>
      <c r="H652" s="1">
        <v>2</v>
      </c>
      <c r="I652" s="1">
        <v>50</v>
      </c>
      <c r="J652" s="1">
        <v>2</v>
      </c>
      <c r="K652" s="1">
        <v>3</v>
      </c>
      <c r="M652" s="1" t="s">
        <v>254</v>
      </c>
      <c r="N652" s="1">
        <f t="shared" si="170"/>
        <v>0.2857142857142857</v>
      </c>
      <c r="O652" s="1">
        <f t="shared" si="171"/>
        <v>0.47619047619047616</v>
      </c>
      <c r="P652" s="1">
        <f t="shared" si="172"/>
        <v>0.5</v>
      </c>
      <c r="Q652" s="1">
        <f t="shared" si="173"/>
        <v>1</v>
      </c>
      <c r="S652" s="1" t="s">
        <v>254</v>
      </c>
      <c r="T652" s="1">
        <f t="shared" si="174"/>
        <v>2.8583097523751523E-2</v>
      </c>
      <c r="U652" s="1">
        <f t="shared" si="175"/>
        <v>3.6269594024361446E-2</v>
      </c>
      <c r="V652" s="1">
        <f t="shared" si="176"/>
        <v>3.1574382095289864E-2</v>
      </c>
      <c r="W652" s="1">
        <f t="shared" si="177"/>
        <v>4.0360367639778717E-2</v>
      </c>
      <c r="Y652" s="1" t="s">
        <v>254</v>
      </c>
      <c r="Z652" s="1">
        <f t="shared" si="178"/>
        <v>8.5749292571254566E-3</v>
      </c>
      <c r="AA652" s="1">
        <f t="shared" si="179"/>
        <v>7.2539188048722893E-3</v>
      </c>
      <c r="AB652" s="1">
        <f t="shared" si="180"/>
        <v>9.4723146285869593E-3</v>
      </c>
      <c r="AC652" s="1">
        <f t="shared" si="181"/>
        <v>8.0720735279557441E-3</v>
      </c>
      <c r="AK652" s="17" t="s">
        <v>1241</v>
      </c>
      <c r="AL652" s="17">
        <f t="shared" si="182"/>
        <v>2.356966547355234E-2</v>
      </c>
      <c r="AM652" s="17">
        <f t="shared" si="183"/>
        <v>1.4446967038490416E-2</v>
      </c>
      <c r="AO652" s="17" t="s">
        <v>1953</v>
      </c>
      <c r="AP652" s="17">
        <f t="shared" si="184"/>
        <v>0.62739444627621843</v>
      </c>
      <c r="AR652" s="1" t="s">
        <v>254</v>
      </c>
      <c r="AS652" s="17">
        <f t="shared" si="185"/>
        <v>0.62739444627621843</v>
      </c>
      <c r="AT652" s="17">
        <f t="shared" si="186"/>
        <v>402</v>
      </c>
    </row>
    <row r="653" spans="6:46" x14ac:dyDescent="0.3">
      <c r="F653" s="1">
        <v>651</v>
      </c>
      <c r="G653" s="1" t="s">
        <v>519</v>
      </c>
      <c r="H653" s="1">
        <v>2</v>
      </c>
      <c r="I653" s="1">
        <v>53</v>
      </c>
      <c r="J653" s="1">
        <v>2</v>
      </c>
      <c r="K653" s="1">
        <v>3</v>
      </c>
      <c r="M653" s="1" t="s">
        <v>519</v>
      </c>
      <c r="N653" s="1">
        <f t="shared" si="170"/>
        <v>0.2857142857142857</v>
      </c>
      <c r="O653" s="1">
        <f t="shared" si="171"/>
        <v>0.50476190476190474</v>
      </c>
      <c r="P653" s="1">
        <f t="shared" si="172"/>
        <v>0.5</v>
      </c>
      <c r="Q653" s="1">
        <f t="shared" si="173"/>
        <v>1</v>
      </c>
      <c r="S653" s="1" t="s">
        <v>519</v>
      </c>
      <c r="T653" s="1">
        <f t="shared" si="174"/>
        <v>2.8583097523751523E-2</v>
      </c>
      <c r="U653" s="1">
        <f t="shared" si="175"/>
        <v>3.844576966582313E-2</v>
      </c>
      <c r="V653" s="1">
        <f t="shared" si="176"/>
        <v>3.1574382095289864E-2</v>
      </c>
      <c r="W653" s="1">
        <f t="shared" si="177"/>
        <v>4.0360367639778717E-2</v>
      </c>
      <c r="Y653" s="1" t="s">
        <v>519</v>
      </c>
      <c r="Z653" s="1">
        <f t="shared" si="178"/>
        <v>8.5749292571254566E-3</v>
      </c>
      <c r="AA653" s="1">
        <f t="shared" si="179"/>
        <v>7.6891539331646261E-3</v>
      </c>
      <c r="AB653" s="1">
        <f t="shared" si="180"/>
        <v>9.4723146285869593E-3</v>
      </c>
      <c r="AC653" s="1">
        <f t="shared" si="181"/>
        <v>8.0720735279557441E-3</v>
      </c>
      <c r="AK653" s="17" t="s">
        <v>1242</v>
      </c>
      <c r="AL653" s="17">
        <f t="shared" si="182"/>
        <v>2.3425900356921422E-2</v>
      </c>
      <c r="AM653" s="17">
        <f t="shared" si="183"/>
        <v>1.4575332097197245E-2</v>
      </c>
      <c r="AO653" s="17" t="s">
        <v>1954</v>
      </c>
      <c r="AP653" s="17">
        <f t="shared" si="184"/>
        <v>0.63676410073040846</v>
      </c>
      <c r="AR653" s="1" t="s">
        <v>519</v>
      </c>
      <c r="AS653" s="17">
        <f t="shared" si="185"/>
        <v>0.63676410073040846</v>
      </c>
      <c r="AT653" s="17">
        <f t="shared" si="186"/>
        <v>397</v>
      </c>
    </row>
    <row r="654" spans="6:46" x14ac:dyDescent="0.3">
      <c r="F654" s="1">
        <v>652</v>
      </c>
      <c r="G654" s="1" t="s">
        <v>107</v>
      </c>
      <c r="H654" s="1">
        <v>1</v>
      </c>
      <c r="I654" s="1">
        <v>54</v>
      </c>
      <c r="J654" s="1">
        <v>5</v>
      </c>
      <c r="K654" s="1">
        <v>3</v>
      </c>
      <c r="M654" s="1" t="s">
        <v>107</v>
      </c>
      <c r="N654" s="1">
        <f t="shared" si="170"/>
        <v>0.14285714285714285</v>
      </c>
      <c r="O654" s="1">
        <f t="shared" si="171"/>
        <v>0.51428571428571423</v>
      </c>
      <c r="P654" s="1">
        <f t="shared" si="172"/>
        <v>0.2</v>
      </c>
      <c r="Q654" s="1">
        <f t="shared" si="173"/>
        <v>1</v>
      </c>
      <c r="S654" s="1" t="s">
        <v>107</v>
      </c>
      <c r="T654" s="1">
        <f t="shared" si="174"/>
        <v>1.4291548761875762E-2</v>
      </c>
      <c r="U654" s="1">
        <f t="shared" si="175"/>
        <v>3.9171161546310361E-2</v>
      </c>
      <c r="V654" s="1">
        <f t="shared" si="176"/>
        <v>1.2629752838115946E-2</v>
      </c>
      <c r="W654" s="1">
        <f t="shared" si="177"/>
        <v>4.0360367639778717E-2</v>
      </c>
      <c r="Y654" s="1" t="s">
        <v>107</v>
      </c>
      <c r="Z654" s="1">
        <f t="shared" si="178"/>
        <v>4.2874646285627283E-3</v>
      </c>
      <c r="AA654" s="1">
        <f t="shared" si="179"/>
        <v>7.8342323092620725E-3</v>
      </c>
      <c r="AB654" s="1">
        <f t="shared" si="180"/>
        <v>3.7889258514347836E-3</v>
      </c>
      <c r="AC654" s="1">
        <f t="shared" si="181"/>
        <v>8.0720735279557441E-3</v>
      </c>
      <c r="AK654" s="17" t="s">
        <v>1243</v>
      </c>
      <c r="AL654" s="17">
        <f t="shared" si="182"/>
        <v>2.6767701902971675E-2</v>
      </c>
      <c r="AM654" s="17">
        <f t="shared" si="183"/>
        <v>1.7279752762645258E-2</v>
      </c>
      <c r="AO654" s="17" t="s">
        <v>1955</v>
      </c>
      <c r="AP654" s="17">
        <f t="shared" si="184"/>
        <v>0.66282462715198942</v>
      </c>
      <c r="AR654" s="1" t="s">
        <v>107</v>
      </c>
      <c r="AS654" s="17">
        <f t="shared" si="185"/>
        <v>0.66282462715198942</v>
      </c>
      <c r="AT654" s="17">
        <f t="shared" si="186"/>
        <v>374</v>
      </c>
    </row>
    <row r="655" spans="6:46" x14ac:dyDescent="0.3">
      <c r="F655" s="1">
        <v>653</v>
      </c>
      <c r="G655" s="1" t="s">
        <v>107</v>
      </c>
      <c r="H655" s="1">
        <v>3</v>
      </c>
      <c r="I655" s="1">
        <v>40</v>
      </c>
      <c r="J655" s="1">
        <v>2</v>
      </c>
      <c r="K655" s="1">
        <v>3</v>
      </c>
      <c r="M655" s="1" t="s">
        <v>107</v>
      </c>
      <c r="N655" s="1">
        <f t="shared" si="170"/>
        <v>0.42857142857142855</v>
      </c>
      <c r="O655" s="1">
        <f t="shared" si="171"/>
        <v>0.38095238095238093</v>
      </c>
      <c r="P655" s="1">
        <f t="shared" si="172"/>
        <v>0.5</v>
      </c>
      <c r="Q655" s="1">
        <f t="shared" si="173"/>
        <v>1</v>
      </c>
      <c r="S655" s="1" t="s">
        <v>107</v>
      </c>
      <c r="T655" s="1">
        <f t="shared" si="174"/>
        <v>4.2874646285627281E-2</v>
      </c>
      <c r="U655" s="1">
        <f t="shared" si="175"/>
        <v>2.9015675219489157E-2</v>
      </c>
      <c r="V655" s="1">
        <f t="shared" si="176"/>
        <v>3.1574382095289864E-2</v>
      </c>
      <c r="W655" s="1">
        <f t="shared" si="177"/>
        <v>4.0360367639778717E-2</v>
      </c>
      <c r="Y655" s="1" t="s">
        <v>107</v>
      </c>
      <c r="Z655" s="1">
        <f t="shared" si="178"/>
        <v>1.2862393885688184E-2</v>
      </c>
      <c r="AA655" s="1">
        <f t="shared" si="179"/>
        <v>5.8031350438978316E-3</v>
      </c>
      <c r="AB655" s="1">
        <f t="shared" si="180"/>
        <v>9.4723146285869593E-3</v>
      </c>
      <c r="AC655" s="1">
        <f t="shared" si="181"/>
        <v>8.0720735279557441E-3</v>
      </c>
      <c r="AK655" s="17" t="s">
        <v>1244</v>
      </c>
      <c r="AL655" s="17">
        <f t="shared" si="182"/>
        <v>2.0380020518092293E-2</v>
      </c>
      <c r="AM655" s="17">
        <f t="shared" si="183"/>
        <v>1.7057100079439589E-2</v>
      </c>
      <c r="AO655" s="17" t="s">
        <v>1956</v>
      </c>
      <c r="AP655" s="17">
        <f t="shared" si="184"/>
        <v>0.85400915634931462</v>
      </c>
      <c r="AR655" s="1" t="s">
        <v>107</v>
      </c>
      <c r="AS655" s="17">
        <f t="shared" si="185"/>
        <v>0.85400915634931462</v>
      </c>
      <c r="AT655" s="17">
        <f t="shared" si="186"/>
        <v>247</v>
      </c>
    </row>
    <row r="656" spans="6:46" x14ac:dyDescent="0.3">
      <c r="F656" s="1">
        <v>654</v>
      </c>
      <c r="G656" s="1" t="s">
        <v>464</v>
      </c>
      <c r="H656" s="1">
        <v>2</v>
      </c>
      <c r="I656" s="1">
        <v>62</v>
      </c>
      <c r="J656" s="1">
        <v>5</v>
      </c>
      <c r="K656" s="1">
        <v>3</v>
      </c>
      <c r="M656" s="1" t="s">
        <v>464</v>
      </c>
      <c r="N656" s="1">
        <f t="shared" si="170"/>
        <v>0.2857142857142857</v>
      </c>
      <c r="O656" s="1">
        <f t="shared" si="171"/>
        <v>0.59047619047619049</v>
      </c>
      <c r="P656" s="1">
        <f t="shared" si="172"/>
        <v>0.2</v>
      </c>
      <c r="Q656" s="1">
        <f t="shared" si="173"/>
        <v>1</v>
      </c>
      <c r="S656" s="1" t="s">
        <v>464</v>
      </c>
      <c r="T656" s="1">
        <f t="shared" si="174"/>
        <v>2.8583097523751523E-2</v>
      </c>
      <c r="U656" s="1">
        <f t="shared" si="175"/>
        <v>4.4974296590208199E-2</v>
      </c>
      <c r="V656" s="1">
        <f t="shared" si="176"/>
        <v>1.2629752838115946E-2</v>
      </c>
      <c r="W656" s="1">
        <f t="shared" si="177"/>
        <v>4.0360367639778717E-2</v>
      </c>
      <c r="Y656" s="1" t="s">
        <v>464</v>
      </c>
      <c r="Z656" s="1">
        <f t="shared" si="178"/>
        <v>8.5749292571254566E-3</v>
      </c>
      <c r="AA656" s="1">
        <f t="shared" si="179"/>
        <v>8.9948593180416408E-3</v>
      </c>
      <c r="AB656" s="1">
        <f t="shared" si="180"/>
        <v>3.7889258514347836E-3</v>
      </c>
      <c r="AC656" s="1">
        <f t="shared" si="181"/>
        <v>8.0720735279557441E-3</v>
      </c>
      <c r="AK656" s="17" t="s">
        <v>1245</v>
      </c>
      <c r="AL656" s="17">
        <f t="shared" si="182"/>
        <v>2.2326578016675227E-2</v>
      </c>
      <c r="AM656" s="17">
        <f t="shared" si="183"/>
        <v>1.9127477874598457E-2</v>
      </c>
      <c r="AO656" s="17" t="s">
        <v>1957</v>
      </c>
      <c r="AP656" s="17">
        <f t="shared" si="184"/>
        <v>0.87584084703992982</v>
      </c>
      <c r="AR656" s="1" t="s">
        <v>464</v>
      </c>
      <c r="AS656" s="17">
        <f t="shared" si="185"/>
        <v>0.87584084703992982</v>
      </c>
      <c r="AT656" s="17">
        <f t="shared" si="186"/>
        <v>208</v>
      </c>
    </row>
    <row r="657" spans="6:46" x14ac:dyDescent="0.3">
      <c r="F657" s="1">
        <v>655</v>
      </c>
      <c r="G657" s="1" t="s">
        <v>520</v>
      </c>
      <c r="H657" s="1">
        <v>3</v>
      </c>
      <c r="I657" s="1">
        <v>36</v>
      </c>
      <c r="J657" s="1">
        <v>2</v>
      </c>
      <c r="K657" s="1">
        <v>3</v>
      </c>
      <c r="M657" s="1" t="s">
        <v>520</v>
      </c>
      <c r="N657" s="1">
        <f t="shared" si="170"/>
        <v>0.42857142857142855</v>
      </c>
      <c r="O657" s="1">
        <f t="shared" si="171"/>
        <v>0.34285714285714286</v>
      </c>
      <c r="P657" s="1">
        <f t="shared" si="172"/>
        <v>0.5</v>
      </c>
      <c r="Q657" s="1">
        <f t="shared" si="173"/>
        <v>1</v>
      </c>
      <c r="S657" s="1" t="s">
        <v>520</v>
      </c>
      <c r="T657" s="1">
        <f t="shared" si="174"/>
        <v>4.2874646285627281E-2</v>
      </c>
      <c r="U657" s="1">
        <f t="shared" si="175"/>
        <v>2.6114107697540242E-2</v>
      </c>
      <c r="V657" s="1">
        <f t="shared" si="176"/>
        <v>3.1574382095289864E-2</v>
      </c>
      <c r="W657" s="1">
        <f t="shared" si="177"/>
        <v>4.0360367639778717E-2</v>
      </c>
      <c r="Y657" s="1" t="s">
        <v>520</v>
      </c>
      <c r="Z657" s="1">
        <f t="shared" si="178"/>
        <v>1.2862393885688184E-2</v>
      </c>
      <c r="AA657" s="1">
        <f t="shared" si="179"/>
        <v>5.2228215395080484E-3</v>
      </c>
      <c r="AB657" s="1">
        <f t="shared" si="180"/>
        <v>9.4723146285869593E-3</v>
      </c>
      <c r="AC657" s="1">
        <f t="shared" si="181"/>
        <v>8.0720735279557441E-3</v>
      </c>
      <c r="AK657" s="17" t="s">
        <v>1246</v>
      </c>
      <c r="AL657" s="17">
        <f t="shared" si="182"/>
        <v>2.0654946680904247E-2</v>
      </c>
      <c r="AM657" s="17">
        <f t="shared" si="183"/>
        <v>1.697794313257648E-2</v>
      </c>
      <c r="AO657" s="17" t="s">
        <v>1958</v>
      </c>
      <c r="AP657" s="17">
        <f t="shared" si="184"/>
        <v>0.83895746188257159</v>
      </c>
      <c r="AR657" s="1" t="s">
        <v>520</v>
      </c>
      <c r="AS657" s="17">
        <f t="shared" si="185"/>
        <v>0.83895746188257159</v>
      </c>
      <c r="AT657" s="17">
        <f t="shared" si="186"/>
        <v>276</v>
      </c>
    </row>
    <row r="658" spans="6:46" x14ac:dyDescent="0.3">
      <c r="F658" s="1">
        <v>656</v>
      </c>
      <c r="G658" s="1" t="s">
        <v>521</v>
      </c>
      <c r="H658" s="1">
        <v>2</v>
      </c>
      <c r="I658" s="1">
        <v>66</v>
      </c>
      <c r="J658" s="1">
        <v>2</v>
      </c>
      <c r="K658" s="1">
        <v>3</v>
      </c>
      <c r="M658" s="1" t="s">
        <v>521</v>
      </c>
      <c r="N658" s="1">
        <f t="shared" si="170"/>
        <v>0.2857142857142857</v>
      </c>
      <c r="O658" s="1">
        <f t="shared" si="171"/>
        <v>0.62857142857142856</v>
      </c>
      <c r="P658" s="1">
        <f t="shared" si="172"/>
        <v>0.5</v>
      </c>
      <c r="Q658" s="1">
        <f t="shared" si="173"/>
        <v>1</v>
      </c>
      <c r="S658" s="1" t="s">
        <v>521</v>
      </c>
      <c r="T658" s="1">
        <f t="shared" si="174"/>
        <v>2.8583097523751523E-2</v>
      </c>
      <c r="U658" s="1">
        <f t="shared" si="175"/>
        <v>4.7875864112157107E-2</v>
      </c>
      <c r="V658" s="1">
        <f t="shared" si="176"/>
        <v>3.1574382095289864E-2</v>
      </c>
      <c r="W658" s="1">
        <f t="shared" si="177"/>
        <v>4.0360367639778717E-2</v>
      </c>
      <c r="Y658" s="1" t="s">
        <v>521</v>
      </c>
      <c r="Z658" s="1">
        <f t="shared" si="178"/>
        <v>8.5749292571254566E-3</v>
      </c>
      <c r="AA658" s="1">
        <f t="shared" si="179"/>
        <v>9.5751728224314214E-3</v>
      </c>
      <c r="AB658" s="1">
        <f t="shared" si="180"/>
        <v>9.4723146285869593E-3</v>
      </c>
      <c r="AC658" s="1">
        <f t="shared" si="181"/>
        <v>8.0720735279557441E-3</v>
      </c>
      <c r="AK658" s="17" t="s">
        <v>1247</v>
      </c>
      <c r="AL658" s="17">
        <f t="shared" si="182"/>
        <v>2.2888279463028956E-2</v>
      </c>
      <c r="AM658" s="17">
        <f t="shared" si="183"/>
        <v>1.5263087747057716E-2</v>
      </c>
      <c r="AO658" s="17" t="s">
        <v>1959</v>
      </c>
      <c r="AP658" s="17">
        <f t="shared" si="184"/>
        <v>0.68211477363773021</v>
      </c>
      <c r="AR658" s="1" t="s">
        <v>521</v>
      </c>
      <c r="AS658" s="17">
        <f t="shared" si="185"/>
        <v>0.68211477363773021</v>
      </c>
      <c r="AT658" s="17">
        <f t="shared" si="186"/>
        <v>358</v>
      </c>
    </row>
    <row r="659" spans="6:46" x14ac:dyDescent="0.3">
      <c r="F659" s="1">
        <v>657</v>
      </c>
      <c r="G659" s="1" t="s">
        <v>522</v>
      </c>
      <c r="H659" s="1">
        <v>2</v>
      </c>
      <c r="I659" s="1">
        <v>27</v>
      </c>
      <c r="J659" s="1">
        <v>5</v>
      </c>
      <c r="K659" s="1">
        <v>3</v>
      </c>
      <c r="M659" s="1" t="s">
        <v>522</v>
      </c>
      <c r="N659" s="1">
        <f t="shared" si="170"/>
        <v>0.2857142857142857</v>
      </c>
      <c r="O659" s="1">
        <f t="shared" si="171"/>
        <v>0.25714285714285712</v>
      </c>
      <c r="P659" s="1">
        <f t="shared" si="172"/>
        <v>0.2</v>
      </c>
      <c r="Q659" s="1">
        <f t="shared" si="173"/>
        <v>1</v>
      </c>
      <c r="S659" s="1" t="s">
        <v>522</v>
      </c>
      <c r="T659" s="1">
        <f t="shared" si="174"/>
        <v>2.8583097523751523E-2</v>
      </c>
      <c r="U659" s="1">
        <f t="shared" si="175"/>
        <v>1.9585580773155181E-2</v>
      </c>
      <c r="V659" s="1">
        <f t="shared" si="176"/>
        <v>1.2629752838115946E-2</v>
      </c>
      <c r="W659" s="1">
        <f t="shared" si="177"/>
        <v>4.0360367639778717E-2</v>
      </c>
      <c r="Y659" s="1" t="s">
        <v>522</v>
      </c>
      <c r="Z659" s="1">
        <f t="shared" si="178"/>
        <v>8.5749292571254566E-3</v>
      </c>
      <c r="AA659" s="1">
        <f t="shared" si="179"/>
        <v>3.9171161546310363E-3</v>
      </c>
      <c r="AB659" s="1">
        <f t="shared" si="180"/>
        <v>3.7889258514347836E-3</v>
      </c>
      <c r="AC659" s="1">
        <f t="shared" si="181"/>
        <v>8.0720735279557441E-3</v>
      </c>
      <c r="AK659" s="17" t="s">
        <v>1248</v>
      </c>
      <c r="AL659" s="17">
        <f t="shared" si="182"/>
        <v>2.4240735231291461E-2</v>
      </c>
      <c r="AM659" s="17">
        <f t="shared" si="183"/>
        <v>1.8240346128454231E-2</v>
      </c>
      <c r="AO659" s="17" t="s">
        <v>1960</v>
      </c>
      <c r="AP659" s="17">
        <f t="shared" si="184"/>
        <v>0.77070704956855651</v>
      </c>
      <c r="AR659" s="1" t="s">
        <v>522</v>
      </c>
      <c r="AS659" s="17">
        <f t="shared" si="185"/>
        <v>0.77070704956855651</v>
      </c>
      <c r="AT659" s="17">
        <f t="shared" si="186"/>
        <v>318</v>
      </c>
    </row>
    <row r="660" spans="6:46" x14ac:dyDescent="0.3">
      <c r="F660" s="1">
        <v>658</v>
      </c>
      <c r="G660" s="1" t="s">
        <v>523</v>
      </c>
      <c r="H660" s="1">
        <v>0</v>
      </c>
      <c r="I660" s="1">
        <v>72</v>
      </c>
      <c r="J660" s="1">
        <v>1</v>
      </c>
      <c r="K660" s="1">
        <v>2</v>
      </c>
      <c r="M660" s="1" t="s">
        <v>523</v>
      </c>
      <c r="N660" s="1">
        <f t="shared" si="170"/>
        <v>0</v>
      </c>
      <c r="O660" s="1">
        <f t="shared" si="171"/>
        <v>0.68571428571428572</v>
      </c>
      <c r="P660" s="1">
        <f t="shared" si="172"/>
        <v>1</v>
      </c>
      <c r="Q660" s="1">
        <f t="shared" si="173"/>
        <v>0.66666666666666663</v>
      </c>
      <c r="S660" s="1" t="s">
        <v>523</v>
      </c>
      <c r="T660" s="1">
        <f t="shared" si="174"/>
        <v>0</v>
      </c>
      <c r="U660" s="1">
        <f t="shared" si="175"/>
        <v>5.2228215395080484E-2</v>
      </c>
      <c r="V660" s="1">
        <f t="shared" si="176"/>
        <v>6.3148764190579729E-2</v>
      </c>
      <c r="W660" s="1">
        <f t="shared" si="177"/>
        <v>2.6906911759852478E-2</v>
      </c>
      <c r="Y660" s="1" t="s">
        <v>523</v>
      </c>
      <c r="Z660" s="1">
        <f t="shared" si="178"/>
        <v>0</v>
      </c>
      <c r="AA660" s="1">
        <f t="shared" si="179"/>
        <v>1.0445643079016097E-2</v>
      </c>
      <c r="AB660" s="1">
        <f t="shared" si="180"/>
        <v>1.8944629257173919E-2</v>
      </c>
      <c r="AC660" s="1">
        <f t="shared" si="181"/>
        <v>5.3813823519704958E-3</v>
      </c>
      <c r="AK660" s="17" t="s">
        <v>1249</v>
      </c>
      <c r="AL660" s="17">
        <f t="shared" si="182"/>
        <v>3.4067454300105333E-2</v>
      </c>
      <c r="AM660" s="17">
        <f t="shared" si="183"/>
        <v>7.7368699764313398E-3</v>
      </c>
      <c r="AO660" s="17" t="s">
        <v>1961</v>
      </c>
      <c r="AP660" s="17">
        <f t="shared" si="184"/>
        <v>0.2348413054377983</v>
      </c>
      <c r="AR660" s="1" t="s">
        <v>523</v>
      </c>
      <c r="AS660" s="17">
        <f t="shared" si="185"/>
        <v>0.2348413054377983</v>
      </c>
      <c r="AT660" s="17">
        <f t="shared" si="186"/>
        <v>668</v>
      </c>
    </row>
    <row r="661" spans="6:46" x14ac:dyDescent="0.3">
      <c r="F661" s="1">
        <v>659</v>
      </c>
      <c r="G661" s="1" t="s">
        <v>524</v>
      </c>
      <c r="H661" s="1">
        <v>1</v>
      </c>
      <c r="I661" s="1">
        <v>63</v>
      </c>
      <c r="J661" s="1">
        <v>2</v>
      </c>
      <c r="K661" s="1">
        <v>3</v>
      </c>
      <c r="M661" s="1" t="s">
        <v>524</v>
      </c>
      <c r="N661" s="1">
        <f t="shared" si="170"/>
        <v>0.14285714285714285</v>
      </c>
      <c r="O661" s="1">
        <f t="shared" si="171"/>
        <v>0.6</v>
      </c>
      <c r="P661" s="1">
        <f t="shared" si="172"/>
        <v>0.5</v>
      </c>
      <c r="Q661" s="1">
        <f t="shared" si="173"/>
        <v>1</v>
      </c>
      <c r="S661" s="1" t="s">
        <v>524</v>
      </c>
      <c r="T661" s="1">
        <f t="shared" si="174"/>
        <v>1.4291548761875762E-2</v>
      </c>
      <c r="U661" s="1">
        <f t="shared" si="175"/>
        <v>4.5699688470695422E-2</v>
      </c>
      <c r="V661" s="1">
        <f t="shared" si="176"/>
        <v>3.1574382095289864E-2</v>
      </c>
      <c r="W661" s="1">
        <f t="shared" si="177"/>
        <v>4.0360367639778717E-2</v>
      </c>
      <c r="Y661" s="1" t="s">
        <v>524</v>
      </c>
      <c r="Z661" s="1">
        <f t="shared" si="178"/>
        <v>4.2874646285627283E-3</v>
      </c>
      <c r="AA661" s="1">
        <f t="shared" si="179"/>
        <v>9.1399376941390855E-3</v>
      </c>
      <c r="AB661" s="1">
        <f t="shared" si="180"/>
        <v>9.4723146285869593E-3</v>
      </c>
      <c r="AC661" s="1">
        <f t="shared" si="181"/>
        <v>8.0720735279557441E-3</v>
      </c>
      <c r="AK661" s="17" t="s">
        <v>1250</v>
      </c>
      <c r="AL661" s="17">
        <f t="shared" si="182"/>
        <v>2.704059575502998E-2</v>
      </c>
      <c r="AM661" s="17">
        <f t="shared" si="183"/>
        <v>1.3131931170701074E-2</v>
      </c>
      <c r="AO661" s="17" t="s">
        <v>1962</v>
      </c>
      <c r="AP661" s="17">
        <f t="shared" si="184"/>
        <v>0.49876957353878115</v>
      </c>
      <c r="AR661" s="1" t="s">
        <v>524</v>
      </c>
      <c r="AS661" s="17">
        <f t="shared" si="185"/>
        <v>0.49876957353878115</v>
      </c>
      <c r="AT661" s="17">
        <f t="shared" si="186"/>
        <v>536</v>
      </c>
    </row>
    <row r="662" spans="6:46" x14ac:dyDescent="0.3">
      <c r="F662" s="1">
        <v>660</v>
      </c>
      <c r="G662" s="1" t="s">
        <v>525</v>
      </c>
      <c r="H662" s="1">
        <v>4</v>
      </c>
      <c r="I662" s="1">
        <v>61</v>
      </c>
      <c r="J662" s="1">
        <v>4</v>
      </c>
      <c r="K662" s="1">
        <v>3</v>
      </c>
      <c r="M662" s="1" t="s">
        <v>525</v>
      </c>
      <c r="N662" s="1">
        <f t="shared" si="170"/>
        <v>0.5714285714285714</v>
      </c>
      <c r="O662" s="1">
        <f t="shared" si="171"/>
        <v>0.580952380952381</v>
      </c>
      <c r="P662" s="1">
        <f t="shared" si="172"/>
        <v>0.25</v>
      </c>
      <c r="Q662" s="1">
        <f t="shared" si="173"/>
        <v>1</v>
      </c>
      <c r="S662" s="1" t="s">
        <v>525</v>
      </c>
      <c r="T662" s="1">
        <f t="shared" si="174"/>
        <v>5.7166195047503046E-2</v>
      </c>
      <c r="U662" s="1">
        <f t="shared" si="175"/>
        <v>4.4248904709720968E-2</v>
      </c>
      <c r="V662" s="1">
        <f t="shared" si="176"/>
        <v>1.5787191047644932E-2</v>
      </c>
      <c r="W662" s="1">
        <f t="shared" si="177"/>
        <v>4.0360367639778717E-2</v>
      </c>
      <c r="Y662" s="1" t="s">
        <v>525</v>
      </c>
      <c r="Z662" s="1">
        <f t="shared" si="178"/>
        <v>1.7149858514250913E-2</v>
      </c>
      <c r="AA662" s="1">
        <f t="shared" si="179"/>
        <v>8.8497809419441943E-3</v>
      </c>
      <c r="AB662" s="1">
        <f t="shared" si="180"/>
        <v>4.7361573142934797E-3</v>
      </c>
      <c r="AC662" s="1">
        <f t="shared" si="181"/>
        <v>8.0720735279557441E-3</v>
      </c>
      <c r="AK662" s="17" t="s">
        <v>1251</v>
      </c>
      <c r="AL662" s="17">
        <f t="shared" si="182"/>
        <v>1.439051212721262E-2</v>
      </c>
      <c r="AM662" s="17">
        <f t="shared" si="183"/>
        <v>2.3600237356530655E-2</v>
      </c>
      <c r="AO662" s="17" t="s">
        <v>1963</v>
      </c>
      <c r="AP662" s="17">
        <f t="shared" si="184"/>
        <v>1.6635861633544207</v>
      </c>
      <c r="AR662" s="1" t="s">
        <v>525</v>
      </c>
      <c r="AS662" s="17">
        <f t="shared" si="185"/>
        <v>1.6635861633544207</v>
      </c>
      <c r="AT662" s="17">
        <f t="shared" si="186"/>
        <v>27</v>
      </c>
    </row>
    <row r="663" spans="6:46" x14ac:dyDescent="0.3">
      <c r="F663" s="1">
        <v>661</v>
      </c>
      <c r="G663" s="1" t="s">
        <v>526</v>
      </c>
      <c r="H663" s="1">
        <v>3</v>
      </c>
      <c r="I663" s="1">
        <v>37</v>
      </c>
      <c r="J663" s="1">
        <v>2</v>
      </c>
      <c r="K663" s="1">
        <v>3</v>
      </c>
      <c r="M663" s="1" t="s">
        <v>526</v>
      </c>
      <c r="N663" s="1">
        <f t="shared" si="170"/>
        <v>0.42857142857142855</v>
      </c>
      <c r="O663" s="1">
        <f t="shared" si="171"/>
        <v>0.35238095238095241</v>
      </c>
      <c r="P663" s="1">
        <f t="shared" si="172"/>
        <v>0.5</v>
      </c>
      <c r="Q663" s="1">
        <f t="shared" si="173"/>
        <v>1</v>
      </c>
      <c r="S663" s="1" t="s">
        <v>526</v>
      </c>
      <c r="T663" s="1">
        <f t="shared" si="174"/>
        <v>4.2874646285627281E-2</v>
      </c>
      <c r="U663" s="1">
        <f t="shared" si="175"/>
        <v>2.6839499578027472E-2</v>
      </c>
      <c r="V663" s="1">
        <f t="shared" si="176"/>
        <v>3.1574382095289864E-2</v>
      </c>
      <c r="W663" s="1">
        <f t="shared" si="177"/>
        <v>4.0360367639778717E-2</v>
      </c>
      <c r="Y663" s="1" t="s">
        <v>526</v>
      </c>
      <c r="Z663" s="1">
        <f t="shared" si="178"/>
        <v>1.2862393885688184E-2</v>
      </c>
      <c r="AA663" s="1">
        <f t="shared" si="179"/>
        <v>5.3678999156054948E-3</v>
      </c>
      <c r="AB663" s="1">
        <f t="shared" si="180"/>
        <v>9.4723146285869593E-3</v>
      </c>
      <c r="AC663" s="1">
        <f t="shared" si="181"/>
        <v>8.0720735279557441E-3</v>
      </c>
      <c r="AK663" s="17" t="s">
        <v>1252</v>
      </c>
      <c r="AL663" s="17">
        <f t="shared" si="182"/>
        <v>2.0585025690221536E-2</v>
      </c>
      <c r="AM663" s="17">
        <f t="shared" si="183"/>
        <v>1.6995909429451603E-2</v>
      </c>
      <c r="AO663" s="17" t="s">
        <v>1964</v>
      </c>
      <c r="AP663" s="17">
        <f t="shared" si="184"/>
        <v>0.84264022414726791</v>
      </c>
      <c r="AR663" s="1" t="s">
        <v>526</v>
      </c>
      <c r="AS663" s="17">
        <f t="shared" si="185"/>
        <v>0.84264022414726791</v>
      </c>
      <c r="AT663" s="17">
        <f t="shared" si="186"/>
        <v>269</v>
      </c>
    </row>
    <row r="664" spans="6:46" x14ac:dyDescent="0.3">
      <c r="F664" s="1">
        <v>662</v>
      </c>
      <c r="G664" s="1" t="s">
        <v>125</v>
      </c>
      <c r="H664" s="1">
        <v>3</v>
      </c>
      <c r="I664" s="1">
        <v>42</v>
      </c>
      <c r="J664" s="1">
        <v>5</v>
      </c>
      <c r="K664" s="1">
        <v>3</v>
      </c>
      <c r="M664" s="1" t="s">
        <v>125</v>
      </c>
      <c r="N664" s="1">
        <f t="shared" si="170"/>
        <v>0.42857142857142855</v>
      </c>
      <c r="O664" s="1">
        <f t="shared" si="171"/>
        <v>0.4</v>
      </c>
      <c r="P664" s="1">
        <f t="shared" si="172"/>
        <v>0.2</v>
      </c>
      <c r="Q664" s="1">
        <f t="shared" si="173"/>
        <v>1</v>
      </c>
      <c r="S664" s="1" t="s">
        <v>125</v>
      </c>
      <c r="T664" s="1">
        <f t="shared" si="174"/>
        <v>4.2874646285627281E-2</v>
      </c>
      <c r="U664" s="1">
        <f t="shared" si="175"/>
        <v>3.0466458980463618E-2</v>
      </c>
      <c r="V664" s="1">
        <f t="shared" si="176"/>
        <v>1.2629752838115946E-2</v>
      </c>
      <c r="W664" s="1">
        <f t="shared" si="177"/>
        <v>4.0360367639778717E-2</v>
      </c>
      <c r="Y664" s="1" t="s">
        <v>125</v>
      </c>
      <c r="Z664" s="1">
        <f t="shared" si="178"/>
        <v>1.2862393885688184E-2</v>
      </c>
      <c r="AA664" s="1">
        <f t="shared" si="179"/>
        <v>6.0932917960927237E-3</v>
      </c>
      <c r="AB664" s="1">
        <f t="shared" si="180"/>
        <v>3.7889258514347836E-3</v>
      </c>
      <c r="AC664" s="1">
        <f t="shared" si="181"/>
        <v>8.0720735279557441E-3</v>
      </c>
      <c r="AK664" s="17" t="s">
        <v>1253</v>
      </c>
      <c r="AL664" s="17">
        <f t="shared" si="182"/>
        <v>1.9433376137757669E-2</v>
      </c>
      <c r="AM664" s="17">
        <f t="shared" si="183"/>
        <v>2.0796992385819873E-2</v>
      </c>
      <c r="AO664" s="17" t="s">
        <v>1965</v>
      </c>
      <c r="AP664" s="17">
        <f t="shared" si="184"/>
        <v>1.0909657699773159</v>
      </c>
      <c r="AR664" s="1" t="s">
        <v>125</v>
      </c>
      <c r="AS664" s="17">
        <f t="shared" si="185"/>
        <v>1.0909657699773159</v>
      </c>
      <c r="AT664" s="17">
        <f t="shared" si="186"/>
        <v>109</v>
      </c>
    </row>
    <row r="665" spans="6:46" x14ac:dyDescent="0.3">
      <c r="F665" s="1">
        <v>663</v>
      </c>
      <c r="G665" s="1" t="s">
        <v>527</v>
      </c>
      <c r="H665" s="1">
        <v>4</v>
      </c>
      <c r="I665" s="1">
        <v>41</v>
      </c>
      <c r="J665" s="1">
        <v>5</v>
      </c>
      <c r="K665" s="1">
        <v>3</v>
      </c>
      <c r="M665" s="1" t="s">
        <v>527</v>
      </c>
      <c r="N665" s="1">
        <f t="shared" si="170"/>
        <v>0.5714285714285714</v>
      </c>
      <c r="O665" s="1">
        <f t="shared" si="171"/>
        <v>0.39047619047619048</v>
      </c>
      <c r="P665" s="1">
        <f t="shared" si="172"/>
        <v>0.2</v>
      </c>
      <c r="Q665" s="1">
        <f t="shared" si="173"/>
        <v>1</v>
      </c>
      <c r="S665" s="1" t="s">
        <v>527</v>
      </c>
      <c r="T665" s="1">
        <f t="shared" si="174"/>
        <v>5.7166195047503046E-2</v>
      </c>
      <c r="U665" s="1">
        <f t="shared" si="175"/>
        <v>2.9741067099976388E-2</v>
      </c>
      <c r="V665" s="1">
        <f t="shared" si="176"/>
        <v>1.2629752838115946E-2</v>
      </c>
      <c r="W665" s="1">
        <f t="shared" si="177"/>
        <v>4.0360367639778717E-2</v>
      </c>
      <c r="Y665" s="1" t="s">
        <v>527</v>
      </c>
      <c r="Z665" s="1">
        <f t="shared" si="178"/>
        <v>1.7149858514250913E-2</v>
      </c>
      <c r="AA665" s="1">
        <f t="shared" si="179"/>
        <v>5.9482134199952781E-3</v>
      </c>
      <c r="AB665" s="1">
        <f t="shared" si="180"/>
        <v>3.7889258514347836E-3</v>
      </c>
      <c r="AC665" s="1">
        <f t="shared" si="181"/>
        <v>8.0720735279557441E-3</v>
      </c>
      <c r="AK665" s="17" t="s">
        <v>1254</v>
      </c>
      <c r="AL665" s="17">
        <f t="shared" si="182"/>
        <v>1.5863565169757378E-2</v>
      </c>
      <c r="AM665" s="17">
        <f t="shared" si="183"/>
        <v>2.3672146104881445E-2</v>
      </c>
      <c r="AO665" s="17" t="s">
        <v>1966</v>
      </c>
      <c r="AP665" s="17">
        <f t="shared" si="184"/>
        <v>1.5159058181428988</v>
      </c>
      <c r="AR665" s="1" t="s">
        <v>527</v>
      </c>
      <c r="AS665" s="17">
        <f t="shared" si="185"/>
        <v>1.5159058181428988</v>
      </c>
      <c r="AT665" s="17">
        <f t="shared" si="186"/>
        <v>39</v>
      </c>
    </row>
    <row r="666" spans="6:46" x14ac:dyDescent="0.3">
      <c r="F666" s="1">
        <v>664</v>
      </c>
      <c r="G666" s="1" t="s">
        <v>528</v>
      </c>
      <c r="H666" s="1">
        <v>2</v>
      </c>
      <c r="I666" s="1">
        <v>50</v>
      </c>
      <c r="J666" s="1">
        <v>2</v>
      </c>
      <c r="K666" s="1">
        <v>3</v>
      </c>
      <c r="M666" s="1" t="s">
        <v>528</v>
      </c>
      <c r="N666" s="1">
        <f t="shared" si="170"/>
        <v>0.2857142857142857</v>
      </c>
      <c r="O666" s="1">
        <f t="shared" si="171"/>
        <v>0.47619047619047616</v>
      </c>
      <c r="P666" s="1">
        <f t="shared" si="172"/>
        <v>0.5</v>
      </c>
      <c r="Q666" s="1">
        <f t="shared" si="173"/>
        <v>1</v>
      </c>
      <c r="S666" s="1" t="s">
        <v>528</v>
      </c>
      <c r="T666" s="1">
        <f t="shared" si="174"/>
        <v>2.8583097523751523E-2</v>
      </c>
      <c r="U666" s="1">
        <f t="shared" si="175"/>
        <v>3.6269594024361446E-2</v>
      </c>
      <c r="V666" s="1">
        <f t="shared" si="176"/>
        <v>3.1574382095289864E-2</v>
      </c>
      <c r="W666" s="1">
        <f t="shared" si="177"/>
        <v>4.0360367639778717E-2</v>
      </c>
      <c r="Y666" s="1" t="s">
        <v>528</v>
      </c>
      <c r="Z666" s="1">
        <f t="shared" si="178"/>
        <v>8.5749292571254566E-3</v>
      </c>
      <c r="AA666" s="1">
        <f t="shared" si="179"/>
        <v>7.2539188048722893E-3</v>
      </c>
      <c r="AB666" s="1">
        <f t="shared" si="180"/>
        <v>9.4723146285869593E-3</v>
      </c>
      <c r="AC666" s="1">
        <f t="shared" si="181"/>
        <v>8.0720735279557441E-3</v>
      </c>
      <c r="AK666" s="17" t="s">
        <v>1255</v>
      </c>
      <c r="AL666" s="17">
        <f t="shared" si="182"/>
        <v>2.356966547355234E-2</v>
      </c>
      <c r="AM666" s="17">
        <f t="shared" si="183"/>
        <v>1.4446967038490416E-2</v>
      </c>
      <c r="AO666" s="17" t="s">
        <v>1967</v>
      </c>
      <c r="AP666" s="17">
        <f t="shared" si="184"/>
        <v>0.62739444627621843</v>
      </c>
      <c r="AR666" s="1" t="s">
        <v>528</v>
      </c>
      <c r="AS666" s="17">
        <f t="shared" si="185"/>
        <v>0.62739444627621843</v>
      </c>
      <c r="AT666" s="17">
        <f t="shared" si="186"/>
        <v>402</v>
      </c>
    </row>
    <row r="667" spans="6:46" x14ac:dyDescent="0.3">
      <c r="F667" s="1">
        <v>665</v>
      </c>
      <c r="G667" s="1" t="s">
        <v>529</v>
      </c>
      <c r="H667" s="1">
        <v>3</v>
      </c>
      <c r="I667" s="1">
        <v>42</v>
      </c>
      <c r="J667" s="1">
        <v>5</v>
      </c>
      <c r="K667" s="1">
        <v>3</v>
      </c>
      <c r="M667" s="1" t="s">
        <v>529</v>
      </c>
      <c r="N667" s="1">
        <f t="shared" si="170"/>
        <v>0.42857142857142855</v>
      </c>
      <c r="O667" s="1">
        <f t="shared" si="171"/>
        <v>0.4</v>
      </c>
      <c r="P667" s="1">
        <f t="shared" si="172"/>
        <v>0.2</v>
      </c>
      <c r="Q667" s="1">
        <f t="shared" si="173"/>
        <v>1</v>
      </c>
      <c r="S667" s="1" t="s">
        <v>529</v>
      </c>
      <c r="T667" s="1">
        <f t="shared" si="174"/>
        <v>4.2874646285627281E-2</v>
      </c>
      <c r="U667" s="1">
        <f t="shared" si="175"/>
        <v>3.0466458980463618E-2</v>
      </c>
      <c r="V667" s="1">
        <f t="shared" si="176"/>
        <v>1.2629752838115946E-2</v>
      </c>
      <c r="W667" s="1">
        <f t="shared" si="177"/>
        <v>4.0360367639778717E-2</v>
      </c>
      <c r="Y667" s="1" t="s">
        <v>529</v>
      </c>
      <c r="Z667" s="1">
        <f t="shared" si="178"/>
        <v>1.2862393885688184E-2</v>
      </c>
      <c r="AA667" s="1">
        <f t="shared" si="179"/>
        <v>6.0932917960927237E-3</v>
      </c>
      <c r="AB667" s="1">
        <f t="shared" si="180"/>
        <v>3.7889258514347836E-3</v>
      </c>
      <c r="AC667" s="1">
        <f t="shared" si="181"/>
        <v>8.0720735279557441E-3</v>
      </c>
      <c r="AK667" s="17" t="s">
        <v>1256</v>
      </c>
      <c r="AL667" s="17">
        <f t="shared" si="182"/>
        <v>1.9433376137757669E-2</v>
      </c>
      <c r="AM667" s="17">
        <f t="shared" si="183"/>
        <v>2.0796992385819873E-2</v>
      </c>
      <c r="AO667" s="17" t="s">
        <v>1968</v>
      </c>
      <c r="AP667" s="17">
        <f t="shared" si="184"/>
        <v>1.0909657699773159</v>
      </c>
      <c r="AR667" s="1" t="s">
        <v>529</v>
      </c>
      <c r="AS667" s="17">
        <f t="shared" si="185"/>
        <v>1.0909657699773159</v>
      </c>
      <c r="AT667" s="17">
        <f t="shared" si="186"/>
        <v>109</v>
      </c>
    </row>
    <row r="668" spans="6:46" x14ac:dyDescent="0.3">
      <c r="F668" s="1">
        <v>666</v>
      </c>
      <c r="G668" s="1" t="s">
        <v>530</v>
      </c>
      <c r="H668" s="1">
        <v>0</v>
      </c>
      <c r="I668" s="1">
        <v>67</v>
      </c>
      <c r="J668" s="1">
        <v>2</v>
      </c>
      <c r="K668" s="1">
        <v>1</v>
      </c>
      <c r="M668" s="1" t="s">
        <v>530</v>
      </c>
      <c r="N668" s="1">
        <f t="shared" si="170"/>
        <v>0</v>
      </c>
      <c r="O668" s="1">
        <f t="shared" si="171"/>
        <v>0.63809523809523805</v>
      </c>
      <c r="P668" s="1">
        <f t="shared" si="172"/>
        <v>0.5</v>
      </c>
      <c r="Q668" s="1">
        <f t="shared" si="173"/>
        <v>0.33333333333333331</v>
      </c>
      <c r="S668" s="1" t="s">
        <v>530</v>
      </c>
      <c r="T668" s="1">
        <f t="shared" si="174"/>
        <v>0</v>
      </c>
      <c r="U668" s="1">
        <f t="shared" si="175"/>
        <v>4.8601255992644338E-2</v>
      </c>
      <c r="V668" s="1">
        <f t="shared" si="176"/>
        <v>3.1574382095289864E-2</v>
      </c>
      <c r="W668" s="1">
        <f t="shared" si="177"/>
        <v>1.3453455879926239E-2</v>
      </c>
      <c r="Y668" s="1" t="s">
        <v>530</v>
      </c>
      <c r="Z668" s="1">
        <f t="shared" si="178"/>
        <v>0</v>
      </c>
      <c r="AA668" s="1">
        <f t="shared" si="179"/>
        <v>9.7202511985288679E-3</v>
      </c>
      <c r="AB668" s="1">
        <f t="shared" si="180"/>
        <v>9.4723146285869593E-3</v>
      </c>
      <c r="AC668" s="1">
        <f t="shared" si="181"/>
        <v>2.6906911759852479E-3</v>
      </c>
      <c r="AK668" s="17" t="s">
        <v>1257</v>
      </c>
      <c r="AL668" s="17">
        <f t="shared" si="182"/>
        <v>3.1502196872167453E-2</v>
      </c>
      <c r="AM668" s="17">
        <f t="shared" si="183"/>
        <v>1.1504190898336274E-2</v>
      </c>
      <c r="AO668" s="17" t="s">
        <v>1969</v>
      </c>
      <c r="AP668" s="17">
        <f t="shared" si="184"/>
        <v>0.37669113151136879</v>
      </c>
      <c r="AR668" s="1" t="s">
        <v>530</v>
      </c>
      <c r="AS668" s="17">
        <f t="shared" si="185"/>
        <v>0.37669113151136879</v>
      </c>
      <c r="AT668" s="17">
        <f t="shared" si="186"/>
        <v>615</v>
      </c>
    </row>
    <row r="669" spans="6:46" x14ac:dyDescent="0.3">
      <c r="F669" s="1">
        <v>667</v>
      </c>
      <c r="G669" s="1" t="s">
        <v>132</v>
      </c>
      <c r="H669" s="1">
        <v>1</v>
      </c>
      <c r="I669" s="1">
        <v>56</v>
      </c>
      <c r="J669" s="1">
        <v>2</v>
      </c>
      <c r="K669" s="1">
        <v>3</v>
      </c>
      <c r="M669" s="1" t="s">
        <v>132</v>
      </c>
      <c r="N669" s="1">
        <f t="shared" si="170"/>
        <v>0.14285714285714285</v>
      </c>
      <c r="O669" s="1">
        <f t="shared" si="171"/>
        <v>0.53333333333333333</v>
      </c>
      <c r="P669" s="1">
        <f t="shared" si="172"/>
        <v>0.5</v>
      </c>
      <c r="Q669" s="1">
        <f t="shared" si="173"/>
        <v>1</v>
      </c>
      <c r="S669" s="1" t="s">
        <v>132</v>
      </c>
      <c r="T669" s="1">
        <f t="shared" si="174"/>
        <v>1.4291548761875762E-2</v>
      </c>
      <c r="U669" s="1">
        <f t="shared" si="175"/>
        <v>4.0621945307284822E-2</v>
      </c>
      <c r="V669" s="1">
        <f t="shared" si="176"/>
        <v>3.1574382095289864E-2</v>
      </c>
      <c r="W669" s="1">
        <f t="shared" si="177"/>
        <v>4.0360367639778717E-2</v>
      </c>
      <c r="Y669" s="1" t="s">
        <v>132</v>
      </c>
      <c r="Z669" s="1">
        <f t="shared" si="178"/>
        <v>4.2874646285627283E-3</v>
      </c>
      <c r="AA669" s="1">
        <f t="shared" si="179"/>
        <v>8.1243890614569655E-3</v>
      </c>
      <c r="AB669" s="1">
        <f t="shared" si="180"/>
        <v>9.4723146285869593E-3</v>
      </c>
      <c r="AC669" s="1">
        <f t="shared" si="181"/>
        <v>8.0720735279557441E-3</v>
      </c>
      <c r="AK669" s="17" t="s">
        <v>1258</v>
      </c>
      <c r="AL669" s="17">
        <f t="shared" si="182"/>
        <v>2.7287382177783166E-2</v>
      </c>
      <c r="AM669" s="17">
        <f t="shared" si="183"/>
        <v>1.2704233754391397E-2</v>
      </c>
      <c r="AO669" s="17" t="s">
        <v>1970</v>
      </c>
      <c r="AP669" s="17">
        <f t="shared" si="184"/>
        <v>0.47827596473322187</v>
      </c>
      <c r="AR669" s="1" t="s">
        <v>132</v>
      </c>
      <c r="AS669" s="17">
        <f t="shared" si="185"/>
        <v>0.47827596473322187</v>
      </c>
      <c r="AT669" s="17">
        <f t="shared" si="186"/>
        <v>553</v>
      </c>
    </row>
    <row r="670" spans="6:46" x14ac:dyDescent="0.3">
      <c r="F670" s="1">
        <v>668</v>
      </c>
      <c r="G670" s="1" t="s">
        <v>403</v>
      </c>
      <c r="H670" s="1">
        <v>2</v>
      </c>
      <c r="I670" s="1">
        <v>65</v>
      </c>
      <c r="J670" s="1">
        <v>2</v>
      </c>
      <c r="K670" s="1">
        <v>3</v>
      </c>
      <c r="M670" s="1" t="s">
        <v>403</v>
      </c>
      <c r="N670" s="1">
        <f t="shared" si="170"/>
        <v>0.2857142857142857</v>
      </c>
      <c r="O670" s="1">
        <f t="shared" si="171"/>
        <v>0.61904761904761907</v>
      </c>
      <c r="P670" s="1">
        <f t="shared" si="172"/>
        <v>0.5</v>
      </c>
      <c r="Q670" s="1">
        <f t="shared" si="173"/>
        <v>1</v>
      </c>
      <c r="S670" s="1" t="s">
        <v>403</v>
      </c>
      <c r="T670" s="1">
        <f t="shared" si="174"/>
        <v>2.8583097523751523E-2</v>
      </c>
      <c r="U670" s="1">
        <f t="shared" si="175"/>
        <v>4.7150472231669883E-2</v>
      </c>
      <c r="V670" s="1">
        <f t="shared" si="176"/>
        <v>3.1574382095289864E-2</v>
      </c>
      <c r="W670" s="1">
        <f t="shared" si="177"/>
        <v>4.0360367639778717E-2</v>
      </c>
      <c r="Y670" s="1" t="s">
        <v>403</v>
      </c>
      <c r="Z670" s="1">
        <f t="shared" si="178"/>
        <v>8.5749292571254566E-3</v>
      </c>
      <c r="AA670" s="1">
        <f t="shared" si="179"/>
        <v>9.4300944463339767E-3</v>
      </c>
      <c r="AB670" s="1">
        <f t="shared" si="180"/>
        <v>9.4723146285869593E-3</v>
      </c>
      <c r="AC670" s="1">
        <f t="shared" si="181"/>
        <v>8.0720735279557441E-3</v>
      </c>
      <c r="AK670" s="17" t="s">
        <v>1259</v>
      </c>
      <c r="AL670" s="17">
        <f t="shared" si="182"/>
        <v>2.2924574322315951E-2</v>
      </c>
      <c r="AM670" s="17">
        <f t="shared" si="183"/>
        <v>1.5202983082639412E-2</v>
      </c>
      <c r="AO670" s="17" t="s">
        <v>1971</v>
      </c>
      <c r="AP670" s="17">
        <f t="shared" si="184"/>
        <v>0.67837704550525346</v>
      </c>
      <c r="AR670" s="1" t="s">
        <v>403</v>
      </c>
      <c r="AS670" s="17">
        <f t="shared" si="185"/>
        <v>0.67837704550525346</v>
      </c>
      <c r="AT670" s="17">
        <f t="shared" si="186"/>
        <v>361</v>
      </c>
    </row>
    <row r="671" spans="6:46" x14ac:dyDescent="0.3">
      <c r="F671" s="1">
        <v>669</v>
      </c>
      <c r="G671" s="1" t="s">
        <v>138</v>
      </c>
      <c r="H671" s="1">
        <v>3</v>
      </c>
      <c r="I671" s="1">
        <v>43</v>
      </c>
      <c r="J671" s="1">
        <v>2</v>
      </c>
      <c r="K671" s="1">
        <v>3</v>
      </c>
      <c r="M671" s="1" t="s">
        <v>138</v>
      </c>
      <c r="N671" s="1">
        <f t="shared" si="170"/>
        <v>0.42857142857142855</v>
      </c>
      <c r="O671" s="1">
        <f t="shared" si="171"/>
        <v>0.40952380952380951</v>
      </c>
      <c r="P671" s="1">
        <f t="shared" si="172"/>
        <v>0.5</v>
      </c>
      <c r="Q671" s="1">
        <f t="shared" si="173"/>
        <v>1</v>
      </c>
      <c r="S671" s="1" t="s">
        <v>138</v>
      </c>
      <c r="T671" s="1">
        <f t="shared" si="174"/>
        <v>4.2874646285627281E-2</v>
      </c>
      <c r="U671" s="1">
        <f t="shared" si="175"/>
        <v>3.1191850860950845E-2</v>
      </c>
      <c r="V671" s="1">
        <f t="shared" si="176"/>
        <v>3.1574382095289864E-2</v>
      </c>
      <c r="W671" s="1">
        <f t="shared" si="177"/>
        <v>4.0360367639778717E-2</v>
      </c>
      <c r="Y671" s="1" t="s">
        <v>138</v>
      </c>
      <c r="Z671" s="1">
        <f t="shared" si="178"/>
        <v>1.2862393885688184E-2</v>
      </c>
      <c r="AA671" s="1">
        <f t="shared" si="179"/>
        <v>6.2383701721901693E-3</v>
      </c>
      <c r="AB671" s="1">
        <f t="shared" si="180"/>
        <v>9.4723146285869593E-3</v>
      </c>
      <c r="AC671" s="1">
        <f t="shared" si="181"/>
        <v>8.0720735279557441E-3</v>
      </c>
      <c r="AK671" s="17" t="s">
        <v>1260</v>
      </c>
      <c r="AL671" s="17">
        <f t="shared" si="182"/>
        <v>2.0182320213554348E-2</v>
      </c>
      <c r="AM671" s="17">
        <f t="shared" si="183"/>
        <v>1.7129134483087973E-2</v>
      </c>
      <c r="AO671" s="17" t="s">
        <v>1972</v>
      </c>
      <c r="AP671" s="17">
        <f t="shared" si="184"/>
        <v>0.86584892001023117</v>
      </c>
      <c r="AR671" s="1" t="s">
        <v>138</v>
      </c>
      <c r="AS671" s="17">
        <f t="shared" si="185"/>
        <v>0.86584892001023117</v>
      </c>
      <c r="AT671" s="17">
        <f t="shared" si="186"/>
        <v>222</v>
      </c>
    </row>
    <row r="672" spans="6:46" x14ac:dyDescent="0.3">
      <c r="F672" s="1">
        <v>670</v>
      </c>
      <c r="G672" s="1" t="s">
        <v>531</v>
      </c>
      <c r="H672" s="1">
        <v>1</v>
      </c>
      <c r="I672" s="1">
        <v>55</v>
      </c>
      <c r="J672" s="1">
        <v>2</v>
      </c>
      <c r="K672" s="1">
        <v>3</v>
      </c>
      <c r="M672" s="1" t="s">
        <v>531</v>
      </c>
      <c r="N672" s="1">
        <f t="shared" si="170"/>
        <v>0.14285714285714285</v>
      </c>
      <c r="O672" s="1">
        <f t="shared" si="171"/>
        <v>0.52380952380952384</v>
      </c>
      <c r="P672" s="1">
        <f t="shared" si="172"/>
        <v>0.5</v>
      </c>
      <c r="Q672" s="1">
        <f t="shared" si="173"/>
        <v>1</v>
      </c>
      <c r="S672" s="1" t="s">
        <v>531</v>
      </c>
      <c r="T672" s="1">
        <f t="shared" si="174"/>
        <v>1.4291548761875762E-2</v>
      </c>
      <c r="U672" s="1">
        <f t="shared" si="175"/>
        <v>3.9896553426797592E-2</v>
      </c>
      <c r="V672" s="1">
        <f t="shared" si="176"/>
        <v>3.1574382095289864E-2</v>
      </c>
      <c r="W672" s="1">
        <f t="shared" si="177"/>
        <v>4.0360367639778717E-2</v>
      </c>
      <c r="Y672" s="1" t="s">
        <v>531</v>
      </c>
      <c r="Z672" s="1">
        <f t="shared" si="178"/>
        <v>4.2874646285627283E-3</v>
      </c>
      <c r="AA672" s="1">
        <f t="shared" si="179"/>
        <v>7.979310685359519E-3</v>
      </c>
      <c r="AB672" s="1">
        <f t="shared" si="180"/>
        <v>9.4723146285869593E-3</v>
      </c>
      <c r="AC672" s="1">
        <f t="shared" si="181"/>
        <v>8.0720735279557441E-3</v>
      </c>
      <c r="AK672" s="17" t="s">
        <v>1261</v>
      </c>
      <c r="AL672" s="17">
        <f t="shared" si="182"/>
        <v>2.7325536626062706E-2</v>
      </c>
      <c r="AM672" s="17">
        <f t="shared" si="183"/>
        <v>1.2648610873415147E-2</v>
      </c>
      <c r="AO672" s="17" t="s">
        <v>1973</v>
      </c>
      <c r="AP672" s="17">
        <f t="shared" si="184"/>
        <v>0.47553470334089415</v>
      </c>
      <c r="AR672" s="1" t="s">
        <v>531</v>
      </c>
      <c r="AS672" s="17">
        <f t="shared" si="185"/>
        <v>0.47553470334089415</v>
      </c>
      <c r="AT672" s="17">
        <f t="shared" si="186"/>
        <v>555</v>
      </c>
    </row>
    <row r="673" spans="6:46" x14ac:dyDescent="0.3">
      <c r="F673" s="1">
        <v>671</v>
      </c>
      <c r="G673" s="1" t="s">
        <v>532</v>
      </c>
      <c r="H673" s="1">
        <v>3</v>
      </c>
      <c r="I673" s="1">
        <v>54</v>
      </c>
      <c r="J673" s="1">
        <v>4</v>
      </c>
      <c r="K673" s="1">
        <v>3</v>
      </c>
      <c r="M673" s="1" t="s">
        <v>532</v>
      </c>
      <c r="N673" s="1">
        <f t="shared" si="170"/>
        <v>0.42857142857142855</v>
      </c>
      <c r="O673" s="1">
        <f t="shared" si="171"/>
        <v>0.51428571428571423</v>
      </c>
      <c r="P673" s="1">
        <f t="shared" si="172"/>
        <v>0.25</v>
      </c>
      <c r="Q673" s="1">
        <f t="shared" si="173"/>
        <v>1</v>
      </c>
      <c r="S673" s="1" t="s">
        <v>532</v>
      </c>
      <c r="T673" s="1">
        <f t="shared" si="174"/>
        <v>4.2874646285627281E-2</v>
      </c>
      <c r="U673" s="1">
        <f t="shared" si="175"/>
        <v>3.9171161546310361E-2</v>
      </c>
      <c r="V673" s="1">
        <f t="shared" si="176"/>
        <v>1.5787191047644932E-2</v>
      </c>
      <c r="W673" s="1">
        <f t="shared" si="177"/>
        <v>4.0360367639778717E-2</v>
      </c>
      <c r="Y673" s="1" t="s">
        <v>532</v>
      </c>
      <c r="Z673" s="1">
        <f t="shared" si="178"/>
        <v>1.2862393885688184E-2</v>
      </c>
      <c r="AA673" s="1">
        <f t="shared" si="179"/>
        <v>7.8342323092620725E-3</v>
      </c>
      <c r="AB673" s="1">
        <f t="shared" si="180"/>
        <v>4.7361573142934797E-3</v>
      </c>
      <c r="AC673" s="1">
        <f t="shared" si="181"/>
        <v>8.0720735279557441E-3</v>
      </c>
      <c r="AK673" s="17" t="s">
        <v>1262</v>
      </c>
      <c r="AL673" s="17">
        <f t="shared" si="182"/>
        <v>1.8701873002110035E-2</v>
      </c>
      <c r="AM673" s="17">
        <f t="shared" si="183"/>
        <v>2.0440988437363947E-2</v>
      </c>
      <c r="AO673" s="17" t="s">
        <v>1974</v>
      </c>
      <c r="AP673" s="17">
        <f t="shared" si="184"/>
        <v>1.1134324997719611</v>
      </c>
      <c r="AR673" s="1" t="s">
        <v>532</v>
      </c>
      <c r="AS673" s="17">
        <f t="shared" si="185"/>
        <v>1.1134324997719611</v>
      </c>
      <c r="AT673" s="17">
        <f t="shared" si="186"/>
        <v>102</v>
      </c>
    </row>
    <row r="674" spans="6:46" x14ac:dyDescent="0.3">
      <c r="F674" s="1">
        <v>672</v>
      </c>
      <c r="G674" s="1" t="s">
        <v>148</v>
      </c>
      <c r="H674" s="1">
        <v>2</v>
      </c>
      <c r="I674" s="1">
        <v>26</v>
      </c>
      <c r="J674" s="1">
        <v>2</v>
      </c>
      <c r="K674" s="1">
        <v>3</v>
      </c>
      <c r="M674" s="1" t="s">
        <v>148</v>
      </c>
      <c r="N674" s="1">
        <f t="shared" si="170"/>
        <v>0.2857142857142857</v>
      </c>
      <c r="O674" s="1">
        <f t="shared" si="171"/>
        <v>0.24761904761904763</v>
      </c>
      <c r="P674" s="1">
        <f t="shared" si="172"/>
        <v>0.5</v>
      </c>
      <c r="Q674" s="1">
        <f t="shared" si="173"/>
        <v>1</v>
      </c>
      <c r="S674" s="1" t="s">
        <v>148</v>
      </c>
      <c r="T674" s="1">
        <f t="shared" si="174"/>
        <v>2.8583097523751523E-2</v>
      </c>
      <c r="U674" s="1">
        <f t="shared" si="175"/>
        <v>1.8860188892667953E-2</v>
      </c>
      <c r="V674" s="1">
        <f t="shared" si="176"/>
        <v>3.1574382095289864E-2</v>
      </c>
      <c r="W674" s="1">
        <f t="shared" si="177"/>
        <v>4.0360367639778717E-2</v>
      </c>
      <c r="Y674" s="1" t="s">
        <v>148</v>
      </c>
      <c r="Z674" s="1">
        <f t="shared" si="178"/>
        <v>8.5749292571254566E-3</v>
      </c>
      <c r="AA674" s="1">
        <f t="shared" si="179"/>
        <v>3.7720377785335907E-3</v>
      </c>
      <c r="AB674" s="1">
        <f t="shared" si="180"/>
        <v>9.4723146285869593E-3</v>
      </c>
      <c r="AC674" s="1">
        <f t="shared" si="181"/>
        <v>8.0720735279557441E-3</v>
      </c>
      <c r="AK674" s="17" t="s">
        <v>1263</v>
      </c>
      <c r="AL674" s="17">
        <f t="shared" si="182"/>
        <v>2.4964347517489268E-2</v>
      </c>
      <c r="AM674" s="17">
        <f t="shared" si="183"/>
        <v>1.3876245744765595E-2</v>
      </c>
      <c r="AO674" s="17" t="s">
        <v>1975</v>
      </c>
      <c r="AP674" s="17">
        <f t="shared" si="184"/>
        <v>0.56971876215919692</v>
      </c>
      <c r="AR674" s="1" t="s">
        <v>148</v>
      </c>
      <c r="AS674" s="17">
        <f t="shared" si="185"/>
        <v>0.56971876215919692</v>
      </c>
      <c r="AT674" s="17">
        <f t="shared" si="186"/>
        <v>492</v>
      </c>
    </row>
    <row r="675" spans="6:46" x14ac:dyDescent="0.3">
      <c r="F675" s="1">
        <v>673</v>
      </c>
      <c r="G675" s="1" t="s">
        <v>150</v>
      </c>
      <c r="H675" s="1">
        <v>2</v>
      </c>
      <c r="I675" s="1">
        <v>49</v>
      </c>
      <c r="J675" s="1">
        <v>2</v>
      </c>
      <c r="K675" s="1">
        <v>2</v>
      </c>
      <c r="M675" s="1" t="s">
        <v>150</v>
      </c>
      <c r="N675" s="1">
        <f t="shared" si="170"/>
        <v>0.2857142857142857</v>
      </c>
      <c r="O675" s="1">
        <f t="shared" si="171"/>
        <v>0.46666666666666667</v>
      </c>
      <c r="P675" s="1">
        <f t="shared" si="172"/>
        <v>0.5</v>
      </c>
      <c r="Q675" s="1">
        <f t="shared" si="173"/>
        <v>0.66666666666666663</v>
      </c>
      <c r="S675" s="1" t="s">
        <v>150</v>
      </c>
      <c r="T675" s="1">
        <f t="shared" si="174"/>
        <v>2.8583097523751523E-2</v>
      </c>
      <c r="U675" s="1">
        <f t="shared" si="175"/>
        <v>3.5544202143874222E-2</v>
      </c>
      <c r="V675" s="1">
        <f t="shared" si="176"/>
        <v>3.1574382095289864E-2</v>
      </c>
      <c r="W675" s="1">
        <f t="shared" si="177"/>
        <v>2.6906911759852478E-2</v>
      </c>
      <c r="Y675" s="1" t="s">
        <v>150</v>
      </c>
      <c r="Z675" s="1">
        <f t="shared" si="178"/>
        <v>8.5749292571254566E-3</v>
      </c>
      <c r="AA675" s="1">
        <f t="shared" si="179"/>
        <v>7.1088404287748446E-3</v>
      </c>
      <c r="AB675" s="1">
        <f t="shared" si="180"/>
        <v>9.4723146285869593E-3</v>
      </c>
      <c r="AC675" s="1">
        <f t="shared" si="181"/>
        <v>5.3813823519704958E-3</v>
      </c>
      <c r="AK675" s="17" t="s">
        <v>1264</v>
      </c>
      <c r="AL675" s="17">
        <f t="shared" si="182"/>
        <v>2.3771942456352179E-2</v>
      </c>
      <c r="AM675" s="17">
        <f t="shared" si="183"/>
        <v>1.3632232911780996E-2</v>
      </c>
      <c r="AO675" s="17" t="s">
        <v>1976</v>
      </c>
      <c r="AP675" s="17">
        <f t="shared" si="184"/>
        <v>0.58709117244990361</v>
      </c>
      <c r="AR675" s="1" t="s">
        <v>150</v>
      </c>
      <c r="AS675" s="17">
        <f t="shared" si="185"/>
        <v>0.58709117244990361</v>
      </c>
      <c r="AT675" s="17">
        <f t="shared" si="186"/>
        <v>458</v>
      </c>
    </row>
    <row r="676" spans="6:46" x14ac:dyDescent="0.3">
      <c r="F676" s="1">
        <v>674</v>
      </c>
      <c r="G676" s="1" t="s">
        <v>533</v>
      </c>
      <c r="H676" s="1">
        <v>2</v>
      </c>
      <c r="I676" s="1">
        <v>51</v>
      </c>
      <c r="J676" s="1">
        <v>5</v>
      </c>
      <c r="K676" s="1">
        <v>3</v>
      </c>
      <c r="M676" s="1" t="s">
        <v>533</v>
      </c>
      <c r="N676" s="1">
        <f t="shared" si="170"/>
        <v>0.2857142857142857</v>
      </c>
      <c r="O676" s="1">
        <f t="shared" si="171"/>
        <v>0.48571428571428571</v>
      </c>
      <c r="P676" s="1">
        <f t="shared" si="172"/>
        <v>0.2</v>
      </c>
      <c r="Q676" s="1">
        <f t="shared" si="173"/>
        <v>1</v>
      </c>
      <c r="S676" s="1" t="s">
        <v>533</v>
      </c>
      <c r="T676" s="1">
        <f t="shared" si="174"/>
        <v>2.8583097523751523E-2</v>
      </c>
      <c r="U676" s="1">
        <f t="shared" si="175"/>
        <v>3.6994985904848676E-2</v>
      </c>
      <c r="V676" s="1">
        <f t="shared" si="176"/>
        <v>1.2629752838115946E-2</v>
      </c>
      <c r="W676" s="1">
        <f t="shared" si="177"/>
        <v>4.0360367639778717E-2</v>
      </c>
      <c r="Y676" s="1" t="s">
        <v>533</v>
      </c>
      <c r="Z676" s="1">
        <f t="shared" si="178"/>
        <v>8.5749292571254566E-3</v>
      </c>
      <c r="AA676" s="1">
        <f t="shared" si="179"/>
        <v>7.3989971809697358E-3</v>
      </c>
      <c r="AB676" s="1">
        <f t="shared" si="180"/>
        <v>3.7889258514347836E-3</v>
      </c>
      <c r="AC676" s="1">
        <f t="shared" si="181"/>
        <v>8.0720735279557441E-3</v>
      </c>
      <c r="AK676" s="17" t="s">
        <v>1265</v>
      </c>
      <c r="AL676" s="17">
        <f t="shared" si="182"/>
        <v>2.2823979044086489E-2</v>
      </c>
      <c r="AM676" s="17">
        <f t="shared" si="183"/>
        <v>1.8705217956977938E-2</v>
      </c>
      <c r="AO676" s="17" t="s">
        <v>1977</v>
      </c>
      <c r="AP676" s="17">
        <f t="shared" si="184"/>
        <v>0.83824759139007621</v>
      </c>
      <c r="AR676" s="1" t="s">
        <v>533</v>
      </c>
      <c r="AS676" s="17">
        <f t="shared" si="185"/>
        <v>0.83824759139007621</v>
      </c>
      <c r="AT676" s="17">
        <f t="shared" si="186"/>
        <v>282</v>
      </c>
    </row>
    <row r="677" spans="6:46" x14ac:dyDescent="0.3">
      <c r="F677" s="1">
        <v>675</v>
      </c>
      <c r="G677" s="1" t="s">
        <v>534</v>
      </c>
      <c r="H677" s="1">
        <v>0</v>
      </c>
      <c r="I677" s="1">
        <v>42</v>
      </c>
      <c r="J677" s="1">
        <v>1</v>
      </c>
      <c r="K677" s="1">
        <v>2</v>
      </c>
      <c r="M677" s="1" t="s">
        <v>534</v>
      </c>
      <c r="N677" s="1">
        <f t="shared" si="170"/>
        <v>0</v>
      </c>
      <c r="O677" s="1">
        <f t="shared" si="171"/>
        <v>0.4</v>
      </c>
      <c r="P677" s="1">
        <f t="shared" si="172"/>
        <v>1</v>
      </c>
      <c r="Q677" s="1">
        <f t="shared" si="173"/>
        <v>0.66666666666666663</v>
      </c>
      <c r="S677" s="1" t="s">
        <v>534</v>
      </c>
      <c r="T677" s="1">
        <f t="shared" si="174"/>
        <v>0</v>
      </c>
      <c r="U677" s="1">
        <f t="shared" si="175"/>
        <v>3.0466458980463618E-2</v>
      </c>
      <c r="V677" s="1">
        <f t="shared" si="176"/>
        <v>6.3148764190579729E-2</v>
      </c>
      <c r="W677" s="1">
        <f t="shared" si="177"/>
        <v>2.6906911759852478E-2</v>
      </c>
      <c r="Y677" s="1" t="s">
        <v>534</v>
      </c>
      <c r="Z677" s="1">
        <f t="shared" si="178"/>
        <v>0</v>
      </c>
      <c r="AA677" s="1">
        <f t="shared" si="179"/>
        <v>6.0932917960927237E-3</v>
      </c>
      <c r="AB677" s="1">
        <f t="shared" si="180"/>
        <v>1.8944629257173919E-2</v>
      </c>
      <c r="AC677" s="1">
        <f t="shared" si="181"/>
        <v>5.3813823519704958E-3</v>
      </c>
      <c r="AK677" s="17" t="s">
        <v>1266</v>
      </c>
      <c r="AL677" s="17">
        <f t="shared" si="182"/>
        <v>3.4945799746144778E-2</v>
      </c>
      <c r="AM677" s="17">
        <f t="shared" si="183"/>
        <v>3.9571344542425708E-3</v>
      </c>
      <c r="AO677" s="17" t="s">
        <v>1978</v>
      </c>
      <c r="AP677" s="17">
        <f t="shared" si="184"/>
        <v>0.11719347424294986</v>
      </c>
      <c r="AR677" s="1" t="s">
        <v>534</v>
      </c>
      <c r="AS677" s="17">
        <f t="shared" si="185"/>
        <v>0.11719347424294986</v>
      </c>
      <c r="AT677" s="17">
        <f t="shared" si="186"/>
        <v>704</v>
      </c>
    </row>
    <row r="678" spans="6:46" x14ac:dyDescent="0.3">
      <c r="F678" s="1">
        <v>676</v>
      </c>
      <c r="G678" s="1" t="s">
        <v>154</v>
      </c>
      <c r="H678" s="1">
        <v>3</v>
      </c>
      <c r="I678" s="1">
        <v>37</v>
      </c>
      <c r="J678" s="1">
        <v>2</v>
      </c>
      <c r="K678" s="1">
        <v>3</v>
      </c>
      <c r="M678" s="1" t="s">
        <v>154</v>
      </c>
      <c r="N678" s="1">
        <f t="shared" si="170"/>
        <v>0.42857142857142855</v>
      </c>
      <c r="O678" s="1">
        <f t="shared" si="171"/>
        <v>0.35238095238095241</v>
      </c>
      <c r="P678" s="1">
        <f t="shared" si="172"/>
        <v>0.5</v>
      </c>
      <c r="Q678" s="1">
        <f t="shared" si="173"/>
        <v>1</v>
      </c>
      <c r="S678" s="1" t="s">
        <v>154</v>
      </c>
      <c r="T678" s="1">
        <f t="shared" si="174"/>
        <v>4.2874646285627281E-2</v>
      </c>
      <c r="U678" s="1">
        <f t="shared" si="175"/>
        <v>2.6839499578027472E-2</v>
      </c>
      <c r="V678" s="1">
        <f t="shared" si="176"/>
        <v>3.1574382095289864E-2</v>
      </c>
      <c r="W678" s="1">
        <f t="shared" si="177"/>
        <v>4.0360367639778717E-2</v>
      </c>
      <c r="Y678" s="1" t="s">
        <v>154</v>
      </c>
      <c r="Z678" s="1">
        <f t="shared" si="178"/>
        <v>1.2862393885688184E-2</v>
      </c>
      <c r="AA678" s="1">
        <f t="shared" si="179"/>
        <v>5.3678999156054948E-3</v>
      </c>
      <c r="AB678" s="1">
        <f t="shared" si="180"/>
        <v>9.4723146285869593E-3</v>
      </c>
      <c r="AC678" s="1">
        <f t="shared" si="181"/>
        <v>8.0720735279557441E-3</v>
      </c>
      <c r="AK678" s="17" t="s">
        <v>1267</v>
      </c>
      <c r="AL678" s="17">
        <f t="shared" si="182"/>
        <v>2.0585025690221536E-2</v>
      </c>
      <c r="AM678" s="17">
        <f t="shared" si="183"/>
        <v>1.6995909429451603E-2</v>
      </c>
      <c r="AO678" s="17" t="s">
        <v>1979</v>
      </c>
      <c r="AP678" s="17">
        <f t="shared" si="184"/>
        <v>0.84264022414726791</v>
      </c>
      <c r="AR678" s="1" t="s">
        <v>154</v>
      </c>
      <c r="AS678" s="17">
        <f t="shared" si="185"/>
        <v>0.84264022414726791</v>
      </c>
      <c r="AT678" s="17">
        <f t="shared" si="186"/>
        <v>269</v>
      </c>
    </row>
    <row r="679" spans="6:46" x14ac:dyDescent="0.3">
      <c r="F679" s="1">
        <v>677</v>
      </c>
      <c r="G679" s="1" t="s">
        <v>411</v>
      </c>
      <c r="H679" s="1">
        <v>3</v>
      </c>
      <c r="I679" s="1">
        <v>36</v>
      </c>
      <c r="J679" s="1">
        <v>4</v>
      </c>
      <c r="K679" s="1">
        <v>3</v>
      </c>
      <c r="M679" s="1" t="s">
        <v>411</v>
      </c>
      <c r="N679" s="1">
        <f t="shared" si="170"/>
        <v>0.42857142857142855</v>
      </c>
      <c r="O679" s="1">
        <f t="shared" si="171"/>
        <v>0.34285714285714286</v>
      </c>
      <c r="P679" s="1">
        <f t="shared" si="172"/>
        <v>0.25</v>
      </c>
      <c r="Q679" s="1">
        <f t="shared" si="173"/>
        <v>1</v>
      </c>
      <c r="S679" s="1" t="s">
        <v>411</v>
      </c>
      <c r="T679" s="1">
        <f t="shared" si="174"/>
        <v>4.2874646285627281E-2</v>
      </c>
      <c r="U679" s="1">
        <f t="shared" si="175"/>
        <v>2.6114107697540242E-2</v>
      </c>
      <c r="V679" s="1">
        <f t="shared" si="176"/>
        <v>1.5787191047644932E-2</v>
      </c>
      <c r="W679" s="1">
        <f t="shared" si="177"/>
        <v>4.0360367639778717E-2</v>
      </c>
      <c r="Y679" s="1" t="s">
        <v>411</v>
      </c>
      <c r="Z679" s="1">
        <f t="shared" si="178"/>
        <v>1.2862393885688184E-2</v>
      </c>
      <c r="AA679" s="1">
        <f t="shared" si="179"/>
        <v>5.2228215395080484E-3</v>
      </c>
      <c r="AB679" s="1">
        <f t="shared" si="180"/>
        <v>4.7361573142934797E-3</v>
      </c>
      <c r="AC679" s="1">
        <f t="shared" si="181"/>
        <v>8.0720735279557441E-3</v>
      </c>
      <c r="AK679" s="17" t="s">
        <v>1268</v>
      </c>
      <c r="AL679" s="17">
        <f t="shared" si="182"/>
        <v>1.9880220367062523E-2</v>
      </c>
      <c r="AM679" s="17">
        <f t="shared" si="183"/>
        <v>2.0010159508151829E-2</v>
      </c>
      <c r="AO679" s="17" t="s">
        <v>1980</v>
      </c>
      <c r="AP679" s="17">
        <f t="shared" si="184"/>
        <v>1.0265462611554248</v>
      </c>
      <c r="AR679" s="1" t="s">
        <v>411</v>
      </c>
      <c r="AS679" s="17">
        <f t="shared" si="185"/>
        <v>1.0265462611554248</v>
      </c>
      <c r="AT679" s="17">
        <f t="shared" si="186"/>
        <v>128</v>
      </c>
    </row>
    <row r="680" spans="6:46" x14ac:dyDescent="0.3">
      <c r="F680" s="1">
        <v>678</v>
      </c>
      <c r="G680" s="1" t="s">
        <v>157</v>
      </c>
      <c r="H680" s="1">
        <v>3</v>
      </c>
      <c r="I680" s="1">
        <v>45</v>
      </c>
      <c r="J680" s="1">
        <v>2</v>
      </c>
      <c r="K680" s="1">
        <v>3</v>
      </c>
      <c r="M680" s="1" t="s">
        <v>157</v>
      </c>
      <c r="N680" s="1">
        <f t="shared" si="170"/>
        <v>0.42857142857142855</v>
      </c>
      <c r="O680" s="1">
        <f t="shared" si="171"/>
        <v>0.42857142857142855</v>
      </c>
      <c r="P680" s="1">
        <f t="shared" si="172"/>
        <v>0.5</v>
      </c>
      <c r="Q680" s="1">
        <f t="shared" si="173"/>
        <v>1</v>
      </c>
      <c r="S680" s="1" t="s">
        <v>157</v>
      </c>
      <c r="T680" s="1">
        <f t="shared" si="174"/>
        <v>4.2874646285627281E-2</v>
      </c>
      <c r="U680" s="1">
        <f t="shared" si="175"/>
        <v>3.26426346219253E-2</v>
      </c>
      <c r="V680" s="1">
        <f t="shared" si="176"/>
        <v>3.1574382095289864E-2</v>
      </c>
      <c r="W680" s="1">
        <f t="shared" si="177"/>
        <v>4.0360367639778717E-2</v>
      </c>
      <c r="Y680" s="1" t="s">
        <v>157</v>
      </c>
      <c r="Z680" s="1">
        <f t="shared" si="178"/>
        <v>1.2862393885688184E-2</v>
      </c>
      <c r="AA680" s="1">
        <f t="shared" si="179"/>
        <v>6.5285269243850605E-3</v>
      </c>
      <c r="AB680" s="1">
        <f t="shared" si="180"/>
        <v>9.4723146285869593E-3</v>
      </c>
      <c r="AC680" s="1">
        <f t="shared" si="181"/>
        <v>8.0720735279557441E-3</v>
      </c>
      <c r="AK680" s="17" t="s">
        <v>1269</v>
      </c>
      <c r="AL680" s="17">
        <f t="shared" si="182"/>
        <v>2.0054685283268418E-2</v>
      </c>
      <c r="AM680" s="17">
        <f t="shared" si="183"/>
        <v>1.7183115225077431E-2</v>
      </c>
      <c r="AO680" s="17" t="s">
        <v>1981</v>
      </c>
      <c r="AP680" s="17">
        <f t="shared" si="184"/>
        <v>0.87399612337600907</v>
      </c>
      <c r="AR680" s="1" t="s">
        <v>157</v>
      </c>
      <c r="AS680" s="17">
        <f t="shared" si="185"/>
        <v>0.87399612337600907</v>
      </c>
      <c r="AT680" s="17">
        <f t="shared" si="186"/>
        <v>210</v>
      </c>
    </row>
    <row r="681" spans="6:46" x14ac:dyDescent="0.3">
      <c r="F681" s="1">
        <v>679</v>
      </c>
      <c r="G681" s="1" t="s">
        <v>535</v>
      </c>
      <c r="H681" s="1">
        <v>4</v>
      </c>
      <c r="I681" s="1">
        <v>57</v>
      </c>
      <c r="J681" s="1">
        <v>2</v>
      </c>
      <c r="K681" s="1">
        <v>3</v>
      </c>
      <c r="M681" s="1" t="s">
        <v>535</v>
      </c>
      <c r="N681" s="1">
        <f t="shared" si="170"/>
        <v>0.5714285714285714</v>
      </c>
      <c r="O681" s="1">
        <f t="shared" si="171"/>
        <v>0.54285714285714282</v>
      </c>
      <c r="P681" s="1">
        <f t="shared" si="172"/>
        <v>0.5</v>
      </c>
      <c r="Q681" s="1">
        <f t="shared" si="173"/>
        <v>1</v>
      </c>
      <c r="S681" s="1" t="s">
        <v>535</v>
      </c>
      <c r="T681" s="1">
        <f t="shared" si="174"/>
        <v>5.7166195047503046E-2</v>
      </c>
      <c r="U681" s="1">
        <f t="shared" si="175"/>
        <v>4.1347337187772046E-2</v>
      </c>
      <c r="V681" s="1">
        <f t="shared" si="176"/>
        <v>3.1574382095289864E-2</v>
      </c>
      <c r="W681" s="1">
        <f t="shared" si="177"/>
        <v>4.0360367639778717E-2</v>
      </c>
      <c r="Y681" s="1" t="s">
        <v>535</v>
      </c>
      <c r="Z681" s="1">
        <f t="shared" si="178"/>
        <v>1.7149858514250913E-2</v>
      </c>
      <c r="AA681" s="1">
        <f t="shared" si="179"/>
        <v>8.2694674375544102E-3</v>
      </c>
      <c r="AB681" s="1">
        <f t="shared" si="180"/>
        <v>9.4723146285869593E-3</v>
      </c>
      <c r="AC681" s="1">
        <f t="shared" si="181"/>
        <v>8.0720735279557441E-3</v>
      </c>
      <c r="AK681" s="17" t="s">
        <v>1270</v>
      </c>
      <c r="AL681" s="17">
        <f t="shared" si="182"/>
        <v>1.5691910858437793E-2</v>
      </c>
      <c r="AM681" s="17">
        <f t="shared" si="183"/>
        <v>2.0942424480786117E-2</v>
      </c>
      <c r="AO681" s="17" t="s">
        <v>1982</v>
      </c>
      <c r="AP681" s="17">
        <f t="shared" si="184"/>
        <v>1.3555424403561656</v>
      </c>
      <c r="AR681" s="1" t="s">
        <v>535</v>
      </c>
      <c r="AS681" s="17">
        <f t="shared" si="185"/>
        <v>1.3555424403561656</v>
      </c>
      <c r="AT681" s="17">
        <f t="shared" si="186"/>
        <v>49</v>
      </c>
    </row>
    <row r="682" spans="6:46" x14ac:dyDescent="0.3">
      <c r="F682" s="1">
        <v>680</v>
      </c>
      <c r="G682" s="1" t="s">
        <v>536</v>
      </c>
      <c r="H682" s="1">
        <v>1</v>
      </c>
      <c r="I682" s="1">
        <v>46</v>
      </c>
      <c r="J682" s="1">
        <v>1</v>
      </c>
      <c r="K682" s="1">
        <v>2</v>
      </c>
      <c r="M682" s="1" t="s">
        <v>536</v>
      </c>
      <c r="N682" s="1">
        <f t="shared" si="170"/>
        <v>0.14285714285714285</v>
      </c>
      <c r="O682" s="1">
        <f t="shared" si="171"/>
        <v>0.43809523809523809</v>
      </c>
      <c r="P682" s="1">
        <f t="shared" si="172"/>
        <v>1</v>
      </c>
      <c r="Q682" s="1">
        <f t="shared" si="173"/>
        <v>0.66666666666666663</v>
      </c>
      <c r="S682" s="1" t="s">
        <v>536</v>
      </c>
      <c r="T682" s="1">
        <f t="shared" si="174"/>
        <v>1.4291548761875762E-2</v>
      </c>
      <c r="U682" s="1">
        <f t="shared" si="175"/>
        <v>3.336802650241253E-2</v>
      </c>
      <c r="V682" s="1">
        <f t="shared" si="176"/>
        <v>6.3148764190579729E-2</v>
      </c>
      <c r="W682" s="1">
        <f t="shared" si="177"/>
        <v>2.6906911759852478E-2</v>
      </c>
      <c r="Y682" s="1" t="s">
        <v>536</v>
      </c>
      <c r="Z682" s="1">
        <f t="shared" si="178"/>
        <v>4.2874646285627283E-3</v>
      </c>
      <c r="AA682" s="1">
        <f t="shared" si="179"/>
        <v>6.6736053004825061E-3</v>
      </c>
      <c r="AB682" s="1">
        <f t="shared" si="180"/>
        <v>1.8944629257173919E-2</v>
      </c>
      <c r="AC682" s="1">
        <f t="shared" si="181"/>
        <v>5.3813823519704958E-3</v>
      </c>
      <c r="AK682" s="17" t="s">
        <v>1271</v>
      </c>
      <c r="AL682" s="17">
        <f t="shared" si="182"/>
        <v>3.1176385885463929E-2</v>
      </c>
      <c r="AM682" s="17">
        <f t="shared" si="183"/>
        <v>6.1437502738375394E-3</v>
      </c>
      <c r="AO682" s="17" t="s">
        <v>1983</v>
      </c>
      <c r="AP682" s="17">
        <f t="shared" si="184"/>
        <v>0.20320797370270133</v>
      </c>
      <c r="AR682" s="1" t="s">
        <v>536</v>
      </c>
      <c r="AS682" s="17">
        <f t="shared" si="185"/>
        <v>0.20320797370270133</v>
      </c>
      <c r="AT682" s="17">
        <f t="shared" si="186"/>
        <v>684</v>
      </c>
    </row>
    <row r="683" spans="6:46" x14ac:dyDescent="0.3">
      <c r="F683" s="1">
        <v>681</v>
      </c>
      <c r="G683" s="1" t="s">
        <v>537</v>
      </c>
      <c r="H683" s="1">
        <v>3</v>
      </c>
      <c r="I683" s="1">
        <v>46</v>
      </c>
      <c r="J683" s="1">
        <v>2</v>
      </c>
      <c r="K683" s="1">
        <v>3</v>
      </c>
      <c r="M683" s="1" t="s">
        <v>537</v>
      </c>
      <c r="N683" s="1">
        <f t="shared" si="170"/>
        <v>0.42857142857142855</v>
      </c>
      <c r="O683" s="1">
        <f t="shared" si="171"/>
        <v>0.43809523809523809</v>
      </c>
      <c r="P683" s="1">
        <f t="shared" si="172"/>
        <v>0.5</v>
      </c>
      <c r="Q683" s="1">
        <f t="shared" si="173"/>
        <v>1</v>
      </c>
      <c r="S683" s="1" t="s">
        <v>537</v>
      </c>
      <c r="T683" s="1">
        <f t="shared" si="174"/>
        <v>4.2874646285627281E-2</v>
      </c>
      <c r="U683" s="1">
        <f t="shared" si="175"/>
        <v>3.336802650241253E-2</v>
      </c>
      <c r="V683" s="1">
        <f t="shared" si="176"/>
        <v>3.1574382095289864E-2</v>
      </c>
      <c r="W683" s="1">
        <f t="shared" si="177"/>
        <v>4.0360367639778717E-2</v>
      </c>
      <c r="Y683" s="1" t="s">
        <v>537</v>
      </c>
      <c r="Z683" s="1">
        <f t="shared" si="178"/>
        <v>1.2862393885688184E-2</v>
      </c>
      <c r="AA683" s="1">
        <f t="shared" si="179"/>
        <v>6.6736053004825061E-3</v>
      </c>
      <c r="AB683" s="1">
        <f t="shared" si="180"/>
        <v>9.4723146285869593E-3</v>
      </c>
      <c r="AC683" s="1">
        <f t="shared" si="181"/>
        <v>8.0720735279557441E-3</v>
      </c>
      <c r="AK683" s="17" t="s">
        <v>1272</v>
      </c>
      <c r="AL683" s="17">
        <f t="shared" si="182"/>
        <v>1.9992141489115801E-2</v>
      </c>
      <c r="AM683" s="17">
        <f t="shared" si="183"/>
        <v>1.7211876492503896E-2</v>
      </c>
      <c r="AO683" s="17" t="s">
        <v>1984</v>
      </c>
      <c r="AP683" s="17">
        <f t="shared" si="184"/>
        <v>0.87814398333430732</v>
      </c>
      <c r="AR683" s="1" t="s">
        <v>537</v>
      </c>
      <c r="AS683" s="17">
        <f t="shared" si="185"/>
        <v>0.87814398333430732</v>
      </c>
      <c r="AT683" s="17">
        <f t="shared" si="186"/>
        <v>203</v>
      </c>
    </row>
    <row r="684" spans="6:46" x14ac:dyDescent="0.3">
      <c r="F684" s="1">
        <v>682</v>
      </c>
      <c r="G684" s="1" t="s">
        <v>16</v>
      </c>
      <c r="H684" s="1">
        <v>2</v>
      </c>
      <c r="I684" s="1">
        <v>38</v>
      </c>
      <c r="J684" s="1">
        <v>2</v>
      </c>
      <c r="K684" s="1">
        <v>3</v>
      </c>
      <c r="M684" s="1" t="s">
        <v>16</v>
      </c>
      <c r="N684" s="1">
        <f t="shared" si="170"/>
        <v>0.2857142857142857</v>
      </c>
      <c r="O684" s="1">
        <f t="shared" si="171"/>
        <v>0.3619047619047619</v>
      </c>
      <c r="P684" s="1">
        <f t="shared" si="172"/>
        <v>0.5</v>
      </c>
      <c r="Q684" s="1">
        <f t="shared" si="173"/>
        <v>1</v>
      </c>
      <c r="S684" s="1" t="s">
        <v>16</v>
      </c>
      <c r="T684" s="1">
        <f t="shared" si="174"/>
        <v>2.8583097523751523E-2</v>
      </c>
      <c r="U684" s="1">
        <f t="shared" si="175"/>
        <v>2.75648914585147E-2</v>
      </c>
      <c r="V684" s="1">
        <f t="shared" si="176"/>
        <v>3.1574382095289864E-2</v>
      </c>
      <c r="W684" s="1">
        <f t="shared" si="177"/>
        <v>4.0360367639778717E-2</v>
      </c>
      <c r="Y684" s="1" t="s">
        <v>16</v>
      </c>
      <c r="Z684" s="1">
        <f t="shared" si="178"/>
        <v>8.5749292571254566E-3</v>
      </c>
      <c r="AA684" s="1">
        <f t="shared" si="179"/>
        <v>5.5129782917029404E-3</v>
      </c>
      <c r="AB684" s="1">
        <f t="shared" si="180"/>
        <v>9.4723146285869593E-3</v>
      </c>
      <c r="AC684" s="1">
        <f t="shared" si="181"/>
        <v>8.0720735279557441E-3</v>
      </c>
      <c r="AK684" s="17" t="s">
        <v>1273</v>
      </c>
      <c r="AL684" s="17">
        <f t="shared" si="182"/>
        <v>2.4214520744466009E-2</v>
      </c>
      <c r="AM684" s="17">
        <f t="shared" si="183"/>
        <v>1.40570854881011E-2</v>
      </c>
      <c r="AO684" s="17" t="s">
        <v>1985</v>
      </c>
      <c r="AP684" s="17">
        <f t="shared" si="184"/>
        <v>0.59458005500892919</v>
      </c>
      <c r="AR684" s="1" t="s">
        <v>16</v>
      </c>
      <c r="AS684" s="17">
        <f t="shared" si="185"/>
        <v>0.59458005500892919</v>
      </c>
      <c r="AT684" s="17">
        <f t="shared" si="186"/>
        <v>443</v>
      </c>
    </row>
    <row r="685" spans="6:46" x14ac:dyDescent="0.3">
      <c r="F685" s="1">
        <v>683</v>
      </c>
      <c r="G685" s="1" t="s">
        <v>538</v>
      </c>
      <c r="H685" s="1">
        <v>2</v>
      </c>
      <c r="I685" s="1">
        <v>54</v>
      </c>
      <c r="J685" s="1">
        <v>2</v>
      </c>
      <c r="K685" s="1">
        <v>3</v>
      </c>
      <c r="M685" s="1" t="s">
        <v>538</v>
      </c>
      <c r="N685" s="1">
        <f t="shared" si="170"/>
        <v>0.2857142857142857</v>
      </c>
      <c r="O685" s="1">
        <f t="shared" si="171"/>
        <v>0.51428571428571423</v>
      </c>
      <c r="P685" s="1">
        <f t="shared" si="172"/>
        <v>0.5</v>
      </c>
      <c r="Q685" s="1">
        <f t="shared" si="173"/>
        <v>1</v>
      </c>
      <c r="S685" s="1" t="s">
        <v>538</v>
      </c>
      <c r="T685" s="1">
        <f t="shared" si="174"/>
        <v>2.8583097523751523E-2</v>
      </c>
      <c r="U685" s="1">
        <f t="shared" si="175"/>
        <v>3.9171161546310361E-2</v>
      </c>
      <c r="V685" s="1">
        <f t="shared" si="176"/>
        <v>3.1574382095289864E-2</v>
      </c>
      <c r="W685" s="1">
        <f t="shared" si="177"/>
        <v>4.0360367639778717E-2</v>
      </c>
      <c r="Y685" s="1" t="s">
        <v>538</v>
      </c>
      <c r="Z685" s="1">
        <f t="shared" si="178"/>
        <v>8.5749292571254566E-3</v>
      </c>
      <c r="AA685" s="1">
        <f t="shared" si="179"/>
        <v>7.8342323092620725E-3</v>
      </c>
      <c r="AB685" s="1">
        <f t="shared" si="180"/>
        <v>9.4723146285869593E-3</v>
      </c>
      <c r="AC685" s="1">
        <f t="shared" si="181"/>
        <v>8.0720735279557441E-3</v>
      </c>
      <c r="AK685" s="17" t="s">
        <v>1274</v>
      </c>
      <c r="AL685" s="17">
        <f t="shared" si="182"/>
        <v>2.3379582776552509E-2</v>
      </c>
      <c r="AM685" s="17">
        <f t="shared" si="183"/>
        <v>1.4620749401514472E-2</v>
      </c>
      <c r="AO685" s="17" t="s">
        <v>1986</v>
      </c>
      <c r="AP685" s="17">
        <f t="shared" si="184"/>
        <v>0.63998474931761595</v>
      </c>
      <c r="AR685" s="1" t="s">
        <v>538</v>
      </c>
      <c r="AS685" s="17">
        <f t="shared" si="185"/>
        <v>0.63998474931761595</v>
      </c>
      <c r="AT685" s="17">
        <f t="shared" si="186"/>
        <v>393</v>
      </c>
    </row>
    <row r="686" spans="6:46" x14ac:dyDescent="0.3">
      <c r="F686" s="1">
        <v>684</v>
      </c>
      <c r="G686" s="1" t="s">
        <v>539</v>
      </c>
      <c r="H686" s="1">
        <v>1</v>
      </c>
      <c r="I686" s="1">
        <v>66</v>
      </c>
      <c r="J686" s="1">
        <v>2</v>
      </c>
      <c r="K686" s="1">
        <v>3</v>
      </c>
      <c r="M686" s="1" t="s">
        <v>539</v>
      </c>
      <c r="N686" s="1">
        <f t="shared" si="170"/>
        <v>0.14285714285714285</v>
      </c>
      <c r="O686" s="1">
        <f t="shared" si="171"/>
        <v>0.62857142857142856</v>
      </c>
      <c r="P686" s="1">
        <f t="shared" si="172"/>
        <v>0.5</v>
      </c>
      <c r="Q686" s="1">
        <f t="shared" si="173"/>
        <v>1</v>
      </c>
      <c r="S686" s="1" t="s">
        <v>539</v>
      </c>
      <c r="T686" s="1">
        <f t="shared" si="174"/>
        <v>1.4291548761875762E-2</v>
      </c>
      <c r="U686" s="1">
        <f t="shared" si="175"/>
        <v>4.7875864112157107E-2</v>
      </c>
      <c r="V686" s="1">
        <f t="shared" si="176"/>
        <v>3.1574382095289864E-2</v>
      </c>
      <c r="W686" s="1">
        <f t="shared" si="177"/>
        <v>4.0360367639778717E-2</v>
      </c>
      <c r="Y686" s="1" t="s">
        <v>539</v>
      </c>
      <c r="Z686" s="1">
        <f t="shared" si="178"/>
        <v>4.2874646285627283E-3</v>
      </c>
      <c r="AA686" s="1">
        <f t="shared" si="179"/>
        <v>9.5751728224314214E-3</v>
      </c>
      <c r="AB686" s="1">
        <f t="shared" si="180"/>
        <v>9.4723146285869593E-3</v>
      </c>
      <c r="AC686" s="1">
        <f t="shared" si="181"/>
        <v>8.0720735279557441E-3</v>
      </c>
      <c r="AK686" s="17" t="s">
        <v>1275</v>
      </c>
      <c r="AL686" s="17">
        <f t="shared" si="182"/>
        <v>2.6945857179363489E-2</v>
      </c>
      <c r="AM686" s="17">
        <f t="shared" si="183"/>
        <v>1.3334721172595015E-2</v>
      </c>
      <c r="AO686" s="17" t="s">
        <v>1987</v>
      </c>
      <c r="AP686" s="17">
        <f t="shared" si="184"/>
        <v>0.50820564265908696</v>
      </c>
      <c r="AR686" s="1" t="s">
        <v>539</v>
      </c>
      <c r="AS686" s="17">
        <f t="shared" si="185"/>
        <v>0.50820564265908696</v>
      </c>
      <c r="AT686" s="17">
        <f t="shared" si="186"/>
        <v>528</v>
      </c>
    </row>
    <row r="687" spans="6:46" x14ac:dyDescent="0.3">
      <c r="F687" s="1">
        <v>685</v>
      </c>
      <c r="G687" s="1" t="s">
        <v>540</v>
      </c>
      <c r="H687" s="1">
        <v>3</v>
      </c>
      <c r="I687" s="1">
        <v>55</v>
      </c>
      <c r="J687" s="1">
        <v>5</v>
      </c>
      <c r="K687" s="1">
        <v>2</v>
      </c>
      <c r="M687" s="1" t="s">
        <v>540</v>
      </c>
      <c r="N687" s="1">
        <f t="shared" si="170"/>
        <v>0.42857142857142855</v>
      </c>
      <c r="O687" s="1">
        <f t="shared" si="171"/>
        <v>0.52380952380952384</v>
      </c>
      <c r="P687" s="1">
        <f t="shared" si="172"/>
        <v>0.2</v>
      </c>
      <c r="Q687" s="1">
        <f t="shared" si="173"/>
        <v>0.66666666666666663</v>
      </c>
      <c r="S687" s="1" t="s">
        <v>540</v>
      </c>
      <c r="T687" s="1">
        <f t="shared" si="174"/>
        <v>4.2874646285627281E-2</v>
      </c>
      <c r="U687" s="1">
        <f t="shared" si="175"/>
        <v>3.9896553426797592E-2</v>
      </c>
      <c r="V687" s="1">
        <f t="shared" si="176"/>
        <v>1.2629752838115946E-2</v>
      </c>
      <c r="W687" s="1">
        <f t="shared" si="177"/>
        <v>2.6906911759852478E-2</v>
      </c>
      <c r="Y687" s="1" t="s">
        <v>540</v>
      </c>
      <c r="Z687" s="1">
        <f t="shared" si="178"/>
        <v>1.2862393885688184E-2</v>
      </c>
      <c r="AA687" s="1">
        <f t="shared" si="179"/>
        <v>7.979310685359519E-3</v>
      </c>
      <c r="AB687" s="1">
        <f t="shared" si="180"/>
        <v>3.7889258514347836E-3</v>
      </c>
      <c r="AC687" s="1">
        <f t="shared" si="181"/>
        <v>5.3813823519704958E-3</v>
      </c>
      <c r="AK687" s="17" t="s">
        <v>1276</v>
      </c>
      <c r="AL687" s="17">
        <f t="shared" si="182"/>
        <v>1.8814271287802494E-2</v>
      </c>
      <c r="AM687" s="17">
        <f t="shared" si="183"/>
        <v>2.0622738053971006E-2</v>
      </c>
      <c r="AO687" s="17" t="s">
        <v>1988</v>
      </c>
      <c r="AP687" s="17">
        <f t="shared" si="184"/>
        <v>1.1167448114792098</v>
      </c>
      <c r="AR687" s="1" t="s">
        <v>540</v>
      </c>
      <c r="AS687" s="17">
        <f t="shared" si="185"/>
        <v>1.1167448114792098</v>
      </c>
      <c r="AT687" s="17">
        <f t="shared" si="186"/>
        <v>101</v>
      </c>
    </row>
    <row r="688" spans="6:46" x14ac:dyDescent="0.3">
      <c r="F688" s="1">
        <v>686</v>
      </c>
      <c r="G688" s="1" t="s">
        <v>541</v>
      </c>
      <c r="H688" s="1">
        <v>2</v>
      </c>
      <c r="I688" s="1">
        <v>73</v>
      </c>
      <c r="J688" s="1">
        <v>2</v>
      </c>
      <c r="K688" s="1">
        <v>3</v>
      </c>
      <c r="M688" s="1" t="s">
        <v>541</v>
      </c>
      <c r="N688" s="1">
        <f t="shared" si="170"/>
        <v>0.2857142857142857</v>
      </c>
      <c r="O688" s="1">
        <f t="shared" si="171"/>
        <v>0.69523809523809521</v>
      </c>
      <c r="P688" s="1">
        <f t="shared" si="172"/>
        <v>0.5</v>
      </c>
      <c r="Q688" s="1">
        <f t="shared" si="173"/>
        <v>1</v>
      </c>
      <c r="S688" s="1" t="s">
        <v>541</v>
      </c>
      <c r="T688" s="1">
        <f t="shared" si="174"/>
        <v>2.8583097523751523E-2</v>
      </c>
      <c r="U688" s="1">
        <f t="shared" si="175"/>
        <v>5.2953607275567714E-2</v>
      </c>
      <c r="V688" s="1">
        <f t="shared" si="176"/>
        <v>3.1574382095289864E-2</v>
      </c>
      <c r="W688" s="1">
        <f t="shared" si="177"/>
        <v>4.0360367639778717E-2</v>
      </c>
      <c r="Y688" s="1" t="s">
        <v>541</v>
      </c>
      <c r="Z688" s="1">
        <f t="shared" si="178"/>
        <v>8.5749292571254566E-3</v>
      </c>
      <c r="AA688" s="1">
        <f t="shared" si="179"/>
        <v>1.0590721455113543E-2</v>
      </c>
      <c r="AB688" s="1">
        <f t="shared" si="180"/>
        <v>9.4723146285869593E-3</v>
      </c>
      <c r="AC688" s="1">
        <f t="shared" si="181"/>
        <v>8.0720735279557441E-3</v>
      </c>
      <c r="AK688" s="17" t="s">
        <v>1277</v>
      </c>
      <c r="AL688" s="17">
        <f t="shared" si="182"/>
        <v>2.2658610115755342E-2</v>
      </c>
      <c r="AM688" s="17">
        <f t="shared" si="183"/>
        <v>1.571491621007717E-2</v>
      </c>
      <c r="AO688" s="17" t="s">
        <v>1989</v>
      </c>
      <c r="AP688" s="17">
        <f t="shared" si="184"/>
        <v>0.70926655639431013</v>
      </c>
      <c r="AR688" s="1" t="s">
        <v>541</v>
      </c>
      <c r="AS688" s="17">
        <f t="shared" si="185"/>
        <v>0.70926655639431013</v>
      </c>
      <c r="AT688" s="17">
        <f t="shared" si="186"/>
        <v>340</v>
      </c>
    </row>
    <row r="689" spans="6:46" x14ac:dyDescent="0.3">
      <c r="F689" s="1">
        <v>687</v>
      </c>
      <c r="G689" s="1" t="s">
        <v>340</v>
      </c>
      <c r="H689" s="1">
        <v>1</v>
      </c>
      <c r="I689" s="1">
        <v>71</v>
      </c>
      <c r="J689" s="1">
        <v>2</v>
      </c>
      <c r="K689" s="1">
        <v>3</v>
      </c>
      <c r="M689" s="1" t="s">
        <v>340</v>
      </c>
      <c r="N689" s="1">
        <f t="shared" si="170"/>
        <v>0.14285714285714285</v>
      </c>
      <c r="O689" s="1">
        <f t="shared" si="171"/>
        <v>0.67619047619047623</v>
      </c>
      <c r="P689" s="1">
        <f t="shared" si="172"/>
        <v>0.5</v>
      </c>
      <c r="Q689" s="1">
        <f t="shared" si="173"/>
        <v>1</v>
      </c>
      <c r="S689" s="1" t="s">
        <v>340</v>
      </c>
      <c r="T689" s="1">
        <f t="shared" si="174"/>
        <v>1.4291548761875762E-2</v>
      </c>
      <c r="U689" s="1">
        <f t="shared" si="175"/>
        <v>5.150282351459326E-2</v>
      </c>
      <c r="V689" s="1">
        <f t="shared" si="176"/>
        <v>3.1574382095289864E-2</v>
      </c>
      <c r="W689" s="1">
        <f t="shared" si="177"/>
        <v>4.0360367639778717E-2</v>
      </c>
      <c r="Y689" s="1" t="s">
        <v>340</v>
      </c>
      <c r="Z689" s="1">
        <f t="shared" si="178"/>
        <v>4.2874646285627283E-3</v>
      </c>
      <c r="AA689" s="1">
        <f t="shared" si="179"/>
        <v>1.0300564702918652E-2</v>
      </c>
      <c r="AB689" s="1">
        <f t="shared" si="180"/>
        <v>9.4723146285869593E-3</v>
      </c>
      <c r="AC689" s="1">
        <f t="shared" si="181"/>
        <v>8.0720735279557441E-3</v>
      </c>
      <c r="AK689" s="17" t="s">
        <v>1278</v>
      </c>
      <c r="AL689" s="17">
        <f t="shared" si="182"/>
        <v>2.6802925134742545E-2</v>
      </c>
      <c r="AM689" s="17">
        <f t="shared" si="183"/>
        <v>1.3696787419829597E-2</v>
      </c>
      <c r="AO689" s="17" t="s">
        <v>1990</v>
      </c>
      <c r="AP689" s="17">
        <f t="shared" si="184"/>
        <v>0.52471516884550162</v>
      </c>
      <c r="AR689" s="1" t="s">
        <v>340</v>
      </c>
      <c r="AS689" s="17">
        <f t="shared" si="185"/>
        <v>0.52471516884550162</v>
      </c>
      <c r="AT689" s="17">
        <f t="shared" si="186"/>
        <v>519</v>
      </c>
    </row>
    <row r="690" spans="6:46" x14ac:dyDescent="0.3">
      <c r="F690" s="1">
        <v>688</v>
      </c>
      <c r="G690" s="1" t="s">
        <v>542</v>
      </c>
      <c r="H690" s="1">
        <v>1</v>
      </c>
      <c r="I690" s="1">
        <v>57</v>
      </c>
      <c r="J690" s="1">
        <v>2</v>
      </c>
      <c r="K690" s="1">
        <v>2</v>
      </c>
      <c r="M690" s="1" t="s">
        <v>542</v>
      </c>
      <c r="N690" s="1">
        <f t="shared" si="170"/>
        <v>0.14285714285714285</v>
      </c>
      <c r="O690" s="1">
        <f t="shared" si="171"/>
        <v>0.54285714285714282</v>
      </c>
      <c r="P690" s="1">
        <f t="shared" si="172"/>
        <v>0.5</v>
      </c>
      <c r="Q690" s="1">
        <f t="shared" si="173"/>
        <v>0.66666666666666663</v>
      </c>
      <c r="S690" s="1" t="s">
        <v>542</v>
      </c>
      <c r="T690" s="1">
        <f t="shared" si="174"/>
        <v>1.4291548761875762E-2</v>
      </c>
      <c r="U690" s="1">
        <f t="shared" si="175"/>
        <v>4.1347337187772046E-2</v>
      </c>
      <c r="V690" s="1">
        <f t="shared" si="176"/>
        <v>3.1574382095289864E-2</v>
      </c>
      <c r="W690" s="1">
        <f t="shared" si="177"/>
        <v>2.6906911759852478E-2</v>
      </c>
      <c r="Y690" s="1" t="s">
        <v>542</v>
      </c>
      <c r="Z690" s="1">
        <f t="shared" si="178"/>
        <v>4.2874646285627283E-3</v>
      </c>
      <c r="AA690" s="1">
        <f t="shared" si="179"/>
        <v>8.2694674375544102E-3</v>
      </c>
      <c r="AB690" s="1">
        <f t="shared" si="180"/>
        <v>9.4723146285869593E-3</v>
      </c>
      <c r="AC690" s="1">
        <f t="shared" si="181"/>
        <v>5.3813823519704958E-3</v>
      </c>
      <c r="AK690" s="17" t="s">
        <v>1279</v>
      </c>
      <c r="AL690" s="17">
        <f t="shared" si="182"/>
        <v>2.7382465462508106E-2</v>
      </c>
      <c r="AM690" s="17">
        <f t="shared" si="183"/>
        <v>1.1879831312026573E-2</v>
      </c>
      <c r="AO690" s="17" t="s">
        <v>1991</v>
      </c>
      <c r="AP690" s="17">
        <f t="shared" si="184"/>
        <v>0.44572795679555405</v>
      </c>
      <c r="AR690" s="1" t="s">
        <v>542</v>
      </c>
      <c r="AS690" s="17">
        <f t="shared" si="185"/>
        <v>0.44572795679555405</v>
      </c>
      <c r="AT690" s="17">
        <f t="shared" si="186"/>
        <v>570</v>
      </c>
    </row>
    <row r="691" spans="6:46" x14ac:dyDescent="0.3">
      <c r="F691" s="1">
        <v>689</v>
      </c>
      <c r="G691" s="1" t="s">
        <v>543</v>
      </c>
      <c r="H691" s="1">
        <v>3</v>
      </c>
      <c r="I691" s="1">
        <v>36</v>
      </c>
      <c r="J691" s="1">
        <v>2</v>
      </c>
      <c r="K691" s="1">
        <v>3</v>
      </c>
      <c r="M691" s="1" t="s">
        <v>543</v>
      </c>
      <c r="N691" s="1">
        <f t="shared" si="170"/>
        <v>0.42857142857142855</v>
      </c>
      <c r="O691" s="1">
        <f t="shared" si="171"/>
        <v>0.34285714285714286</v>
      </c>
      <c r="P691" s="1">
        <f t="shared" si="172"/>
        <v>0.5</v>
      </c>
      <c r="Q691" s="1">
        <f t="shared" si="173"/>
        <v>1</v>
      </c>
      <c r="S691" s="1" t="s">
        <v>543</v>
      </c>
      <c r="T691" s="1">
        <f t="shared" si="174"/>
        <v>4.2874646285627281E-2</v>
      </c>
      <c r="U691" s="1">
        <f t="shared" si="175"/>
        <v>2.6114107697540242E-2</v>
      </c>
      <c r="V691" s="1">
        <f t="shared" si="176"/>
        <v>3.1574382095289864E-2</v>
      </c>
      <c r="W691" s="1">
        <f t="shared" si="177"/>
        <v>4.0360367639778717E-2</v>
      </c>
      <c r="Y691" s="1" t="s">
        <v>543</v>
      </c>
      <c r="Z691" s="1">
        <f t="shared" si="178"/>
        <v>1.2862393885688184E-2</v>
      </c>
      <c r="AA691" s="1">
        <f t="shared" si="179"/>
        <v>5.2228215395080484E-3</v>
      </c>
      <c r="AB691" s="1">
        <f t="shared" si="180"/>
        <v>9.4723146285869593E-3</v>
      </c>
      <c r="AC691" s="1">
        <f t="shared" si="181"/>
        <v>8.0720735279557441E-3</v>
      </c>
      <c r="AK691" s="17" t="s">
        <v>1280</v>
      </c>
      <c r="AL691" s="17">
        <f t="shared" si="182"/>
        <v>2.0654946680904247E-2</v>
      </c>
      <c r="AM691" s="17">
        <f t="shared" si="183"/>
        <v>1.697794313257648E-2</v>
      </c>
      <c r="AO691" s="17" t="s">
        <v>1992</v>
      </c>
      <c r="AP691" s="17">
        <f t="shared" si="184"/>
        <v>0.83895746188257159</v>
      </c>
      <c r="AR691" s="1" t="s">
        <v>543</v>
      </c>
      <c r="AS691" s="17">
        <f t="shared" si="185"/>
        <v>0.83895746188257159</v>
      </c>
      <c r="AT691" s="17">
        <f t="shared" si="186"/>
        <v>276</v>
      </c>
    </row>
    <row r="692" spans="6:46" x14ac:dyDescent="0.3">
      <c r="F692" s="1">
        <v>690</v>
      </c>
      <c r="G692" s="1" t="s">
        <v>544</v>
      </c>
      <c r="H692" s="1">
        <v>1</v>
      </c>
      <c r="I692" s="1">
        <v>73</v>
      </c>
      <c r="J692" s="1">
        <v>2</v>
      </c>
      <c r="K692" s="1">
        <v>3</v>
      </c>
      <c r="M692" s="1" t="s">
        <v>544</v>
      </c>
      <c r="N692" s="1">
        <f t="shared" si="170"/>
        <v>0.14285714285714285</v>
      </c>
      <c r="O692" s="1">
        <f t="shared" si="171"/>
        <v>0.69523809523809521</v>
      </c>
      <c r="P692" s="1">
        <f t="shared" si="172"/>
        <v>0.5</v>
      </c>
      <c r="Q692" s="1">
        <f t="shared" si="173"/>
        <v>1</v>
      </c>
      <c r="S692" s="1" t="s">
        <v>544</v>
      </c>
      <c r="T692" s="1">
        <f t="shared" si="174"/>
        <v>1.4291548761875762E-2</v>
      </c>
      <c r="U692" s="1">
        <f t="shared" si="175"/>
        <v>5.2953607275567714E-2</v>
      </c>
      <c r="V692" s="1">
        <f t="shared" si="176"/>
        <v>3.1574382095289864E-2</v>
      </c>
      <c r="W692" s="1">
        <f t="shared" si="177"/>
        <v>4.0360367639778717E-2</v>
      </c>
      <c r="Y692" s="1" t="s">
        <v>544</v>
      </c>
      <c r="Z692" s="1">
        <f t="shared" si="178"/>
        <v>4.2874646285627283E-3</v>
      </c>
      <c r="AA692" s="1">
        <f t="shared" si="179"/>
        <v>1.0590721455113543E-2</v>
      </c>
      <c r="AB692" s="1">
        <f t="shared" si="180"/>
        <v>9.4723146285869593E-3</v>
      </c>
      <c r="AC692" s="1">
        <f t="shared" si="181"/>
        <v>8.0720735279557441E-3</v>
      </c>
      <c r="AK692" s="17" t="s">
        <v>1281</v>
      </c>
      <c r="AL692" s="17">
        <f t="shared" si="182"/>
        <v>2.6751046610006723E-2</v>
      </c>
      <c r="AM692" s="17">
        <f t="shared" si="183"/>
        <v>1.3849604061712978E-2</v>
      </c>
      <c r="AO692" s="17" t="s">
        <v>1993</v>
      </c>
      <c r="AP692" s="17">
        <f t="shared" si="184"/>
        <v>0.53157155579022131</v>
      </c>
      <c r="AR692" s="1" t="s">
        <v>544</v>
      </c>
      <c r="AS692" s="17">
        <f t="shared" si="185"/>
        <v>0.53157155579022131</v>
      </c>
      <c r="AT692" s="17">
        <f t="shared" si="186"/>
        <v>518</v>
      </c>
    </row>
    <row r="693" spans="6:46" x14ac:dyDescent="0.3">
      <c r="F693" s="1">
        <v>691</v>
      </c>
      <c r="G693" s="1" t="s">
        <v>545</v>
      </c>
      <c r="H693" s="1">
        <v>4</v>
      </c>
      <c r="I693" s="1">
        <v>47</v>
      </c>
      <c r="J693" s="1">
        <v>5</v>
      </c>
      <c r="K693" s="1">
        <v>3</v>
      </c>
      <c r="M693" s="1" t="s">
        <v>545</v>
      </c>
      <c r="N693" s="1">
        <f t="shared" si="170"/>
        <v>0.5714285714285714</v>
      </c>
      <c r="O693" s="1">
        <f t="shared" si="171"/>
        <v>0.44761904761904764</v>
      </c>
      <c r="P693" s="1">
        <f t="shared" si="172"/>
        <v>0.2</v>
      </c>
      <c r="Q693" s="1">
        <f t="shared" si="173"/>
        <v>1</v>
      </c>
      <c r="S693" s="1" t="s">
        <v>545</v>
      </c>
      <c r="T693" s="1">
        <f t="shared" si="174"/>
        <v>5.7166195047503046E-2</v>
      </c>
      <c r="U693" s="1">
        <f t="shared" si="175"/>
        <v>3.4093418382899761E-2</v>
      </c>
      <c r="V693" s="1">
        <f t="shared" si="176"/>
        <v>1.2629752838115946E-2</v>
      </c>
      <c r="W693" s="1">
        <f t="shared" si="177"/>
        <v>4.0360367639778717E-2</v>
      </c>
      <c r="Y693" s="1" t="s">
        <v>545</v>
      </c>
      <c r="Z693" s="1">
        <f t="shared" si="178"/>
        <v>1.7149858514250913E-2</v>
      </c>
      <c r="AA693" s="1">
        <f t="shared" si="179"/>
        <v>6.8186836765799525E-3</v>
      </c>
      <c r="AB693" s="1">
        <f t="shared" si="180"/>
        <v>3.7889258514347836E-3</v>
      </c>
      <c r="AC693" s="1">
        <f t="shared" si="181"/>
        <v>8.0720735279557441E-3</v>
      </c>
      <c r="AK693" s="17" t="s">
        <v>1282</v>
      </c>
      <c r="AL693" s="17">
        <f t="shared" si="182"/>
        <v>1.5370288146961814E-2</v>
      </c>
      <c r="AM693" s="17">
        <f t="shared" si="183"/>
        <v>2.3789222419124522E-2</v>
      </c>
      <c r="AO693" s="17" t="s">
        <v>1994</v>
      </c>
      <c r="AP693" s="17">
        <f t="shared" si="184"/>
        <v>1.5715300449506038</v>
      </c>
      <c r="AR693" s="1" t="s">
        <v>545</v>
      </c>
      <c r="AS693" s="17">
        <f t="shared" si="185"/>
        <v>1.5715300449506038</v>
      </c>
      <c r="AT693" s="17">
        <f t="shared" si="186"/>
        <v>33</v>
      </c>
    </row>
    <row r="694" spans="6:46" x14ac:dyDescent="0.3">
      <c r="F694" s="1">
        <v>692</v>
      </c>
      <c r="G694" s="1" t="s">
        <v>546</v>
      </c>
      <c r="H694" s="1">
        <v>2</v>
      </c>
      <c r="I694" s="1">
        <v>35</v>
      </c>
      <c r="J694" s="1">
        <v>3</v>
      </c>
      <c r="K694" s="1">
        <v>3</v>
      </c>
      <c r="M694" s="1" t="s">
        <v>546</v>
      </c>
      <c r="N694" s="1">
        <f t="shared" si="170"/>
        <v>0.2857142857142857</v>
      </c>
      <c r="O694" s="1">
        <f t="shared" si="171"/>
        <v>0.33333333333333331</v>
      </c>
      <c r="P694" s="1">
        <f t="shared" si="172"/>
        <v>0.33333333333333331</v>
      </c>
      <c r="Q694" s="1">
        <f t="shared" si="173"/>
        <v>1</v>
      </c>
      <c r="S694" s="1" t="s">
        <v>546</v>
      </c>
      <c r="T694" s="1">
        <f t="shared" si="174"/>
        <v>2.8583097523751523E-2</v>
      </c>
      <c r="U694" s="1">
        <f t="shared" si="175"/>
        <v>2.5388715817053011E-2</v>
      </c>
      <c r="V694" s="1">
        <f t="shared" si="176"/>
        <v>2.1049588063526574E-2</v>
      </c>
      <c r="W694" s="1">
        <f t="shared" si="177"/>
        <v>4.0360367639778717E-2</v>
      </c>
      <c r="Y694" s="1" t="s">
        <v>546</v>
      </c>
      <c r="Z694" s="1">
        <f t="shared" si="178"/>
        <v>8.5749292571254566E-3</v>
      </c>
      <c r="AA694" s="1">
        <f t="shared" si="179"/>
        <v>5.0777431634106028E-3</v>
      </c>
      <c r="AB694" s="1">
        <f t="shared" si="180"/>
        <v>6.314876419057972E-3</v>
      </c>
      <c r="AC694" s="1">
        <f t="shared" si="181"/>
        <v>8.0720735279557441E-3</v>
      </c>
      <c r="AK694" s="17" t="s">
        <v>1283</v>
      </c>
      <c r="AL694" s="17">
        <f t="shared" si="182"/>
        <v>2.3855254187154281E-2</v>
      </c>
      <c r="AM694" s="17">
        <f t="shared" si="183"/>
        <v>1.629590168678538E-2</v>
      </c>
      <c r="AO694" s="17" t="s">
        <v>1995</v>
      </c>
      <c r="AP694" s="17">
        <f t="shared" si="184"/>
        <v>0.69941172845338906</v>
      </c>
      <c r="AR694" s="1" t="s">
        <v>546</v>
      </c>
      <c r="AS694" s="17">
        <f t="shared" si="185"/>
        <v>0.69941172845338906</v>
      </c>
      <c r="AT694" s="17">
        <f t="shared" si="186"/>
        <v>343</v>
      </c>
    </row>
    <row r="695" spans="6:46" x14ac:dyDescent="0.3">
      <c r="F695" s="1">
        <v>693</v>
      </c>
      <c r="G695" s="1" t="s">
        <v>547</v>
      </c>
      <c r="H695" s="1">
        <v>1</v>
      </c>
      <c r="I695" s="1">
        <v>83</v>
      </c>
      <c r="J695" s="1">
        <v>2</v>
      </c>
      <c r="K695" s="1">
        <v>3</v>
      </c>
      <c r="M695" s="1" t="s">
        <v>547</v>
      </c>
      <c r="N695" s="1">
        <f t="shared" si="170"/>
        <v>0.14285714285714285</v>
      </c>
      <c r="O695" s="1">
        <f t="shared" si="171"/>
        <v>0.79047619047619044</v>
      </c>
      <c r="P695" s="1">
        <f t="shared" si="172"/>
        <v>0.5</v>
      </c>
      <c r="Q695" s="1">
        <f t="shared" si="173"/>
        <v>1</v>
      </c>
      <c r="S695" s="1" t="s">
        <v>547</v>
      </c>
      <c r="T695" s="1">
        <f t="shared" si="174"/>
        <v>1.4291548761875762E-2</v>
      </c>
      <c r="U695" s="1">
        <f t="shared" si="175"/>
        <v>6.0207526080439999E-2</v>
      </c>
      <c r="V695" s="1">
        <f t="shared" si="176"/>
        <v>3.1574382095289864E-2</v>
      </c>
      <c r="W695" s="1">
        <f t="shared" si="177"/>
        <v>4.0360367639778717E-2</v>
      </c>
      <c r="Y695" s="1" t="s">
        <v>547</v>
      </c>
      <c r="Z695" s="1">
        <f t="shared" si="178"/>
        <v>4.2874646285627283E-3</v>
      </c>
      <c r="AA695" s="1">
        <f t="shared" si="179"/>
        <v>1.2041505216088001E-2</v>
      </c>
      <c r="AB695" s="1">
        <f t="shared" si="180"/>
        <v>9.4723146285869593E-3</v>
      </c>
      <c r="AC695" s="1">
        <f t="shared" si="181"/>
        <v>8.0720735279557441E-3</v>
      </c>
      <c r="AK695" s="17" t="s">
        <v>1284</v>
      </c>
      <c r="AL695" s="17">
        <f t="shared" si="182"/>
        <v>2.6537760224193248E-2</v>
      </c>
      <c r="AM695" s="17">
        <f t="shared" si="183"/>
        <v>1.4676000684880647E-2</v>
      </c>
      <c r="AO695" s="17" t="s">
        <v>1996</v>
      </c>
      <c r="AP695" s="17">
        <f t="shared" si="184"/>
        <v>0.56769933652394722</v>
      </c>
      <c r="AR695" s="1" t="s">
        <v>547</v>
      </c>
      <c r="AS695" s="17">
        <f t="shared" si="185"/>
        <v>0.56769933652394722</v>
      </c>
      <c r="AT695" s="17">
        <f t="shared" si="186"/>
        <v>499</v>
      </c>
    </row>
    <row r="696" spans="6:46" x14ac:dyDescent="0.3">
      <c r="F696" s="1">
        <v>694</v>
      </c>
      <c r="G696" s="1" t="s">
        <v>548</v>
      </c>
      <c r="H696" s="1">
        <v>0</v>
      </c>
      <c r="I696" s="1">
        <v>78</v>
      </c>
      <c r="J696" s="1">
        <v>1</v>
      </c>
      <c r="K696" s="1">
        <v>2</v>
      </c>
      <c r="M696" s="1" t="s">
        <v>548</v>
      </c>
      <c r="N696" s="1">
        <f t="shared" si="170"/>
        <v>0</v>
      </c>
      <c r="O696" s="1">
        <f t="shared" si="171"/>
        <v>0.74285714285714288</v>
      </c>
      <c r="P696" s="1">
        <f t="shared" si="172"/>
        <v>1</v>
      </c>
      <c r="Q696" s="1">
        <f t="shared" si="173"/>
        <v>0.66666666666666663</v>
      </c>
      <c r="S696" s="1" t="s">
        <v>548</v>
      </c>
      <c r="T696" s="1">
        <f t="shared" si="174"/>
        <v>0</v>
      </c>
      <c r="U696" s="1">
        <f t="shared" si="175"/>
        <v>5.658056667800386E-2</v>
      </c>
      <c r="V696" s="1">
        <f t="shared" si="176"/>
        <v>6.3148764190579729E-2</v>
      </c>
      <c r="W696" s="1">
        <f t="shared" si="177"/>
        <v>2.6906911759852478E-2</v>
      </c>
      <c r="Y696" s="1" t="s">
        <v>548</v>
      </c>
      <c r="Z696" s="1">
        <f t="shared" si="178"/>
        <v>0</v>
      </c>
      <c r="AA696" s="1">
        <f t="shared" si="179"/>
        <v>1.1316113335600772E-2</v>
      </c>
      <c r="AB696" s="1">
        <f t="shared" si="180"/>
        <v>1.8944629257173919E-2</v>
      </c>
      <c r="AC696" s="1">
        <f t="shared" si="181"/>
        <v>5.3813823519704958E-3</v>
      </c>
      <c r="AK696" s="17" t="s">
        <v>1285</v>
      </c>
      <c r="AL696" s="17">
        <f t="shared" si="182"/>
        <v>3.3956063638380989E-2</v>
      </c>
      <c r="AM696" s="17">
        <f t="shared" si="183"/>
        <v>8.5583594588242457E-3</v>
      </c>
      <c r="AO696" s="17" t="s">
        <v>1997</v>
      </c>
      <c r="AP696" s="17">
        <f t="shared" si="184"/>
        <v>0.26060051457926109</v>
      </c>
      <c r="AR696" s="1" t="s">
        <v>548</v>
      </c>
      <c r="AS696" s="17">
        <f t="shared" si="185"/>
        <v>0.26060051457926109</v>
      </c>
      <c r="AT696" s="17">
        <f t="shared" si="186"/>
        <v>657</v>
      </c>
    </row>
    <row r="697" spans="6:46" x14ac:dyDescent="0.3">
      <c r="F697" s="1">
        <v>695</v>
      </c>
      <c r="G697" s="1" t="s">
        <v>549</v>
      </c>
      <c r="H697" s="1">
        <v>2</v>
      </c>
      <c r="I697" s="1">
        <v>50</v>
      </c>
      <c r="J697" s="1">
        <v>2</v>
      </c>
      <c r="K697" s="1">
        <v>3</v>
      </c>
      <c r="M697" s="1" t="s">
        <v>549</v>
      </c>
      <c r="N697" s="1">
        <f t="shared" si="170"/>
        <v>0.2857142857142857</v>
      </c>
      <c r="O697" s="1">
        <f t="shared" si="171"/>
        <v>0.47619047619047616</v>
      </c>
      <c r="P697" s="1">
        <f t="shared" si="172"/>
        <v>0.5</v>
      </c>
      <c r="Q697" s="1">
        <f t="shared" si="173"/>
        <v>1</v>
      </c>
      <c r="S697" s="1" t="s">
        <v>549</v>
      </c>
      <c r="T697" s="1">
        <f t="shared" si="174"/>
        <v>2.8583097523751523E-2</v>
      </c>
      <c r="U697" s="1">
        <f t="shared" si="175"/>
        <v>3.6269594024361446E-2</v>
      </c>
      <c r="V697" s="1">
        <f t="shared" si="176"/>
        <v>3.1574382095289864E-2</v>
      </c>
      <c r="W697" s="1">
        <f t="shared" si="177"/>
        <v>4.0360367639778717E-2</v>
      </c>
      <c r="Y697" s="1" t="s">
        <v>549</v>
      </c>
      <c r="Z697" s="1">
        <f t="shared" si="178"/>
        <v>8.5749292571254566E-3</v>
      </c>
      <c r="AA697" s="1">
        <f t="shared" si="179"/>
        <v>7.2539188048722893E-3</v>
      </c>
      <c r="AB697" s="1">
        <f t="shared" si="180"/>
        <v>9.4723146285869593E-3</v>
      </c>
      <c r="AC697" s="1">
        <f t="shared" si="181"/>
        <v>8.0720735279557441E-3</v>
      </c>
      <c r="AK697" s="17" t="s">
        <v>1286</v>
      </c>
      <c r="AL697" s="17">
        <f t="shared" si="182"/>
        <v>2.356966547355234E-2</v>
      </c>
      <c r="AM697" s="17">
        <f t="shared" si="183"/>
        <v>1.4446967038490416E-2</v>
      </c>
      <c r="AO697" s="17" t="s">
        <v>1998</v>
      </c>
      <c r="AP697" s="17">
        <f t="shared" si="184"/>
        <v>0.62739444627621843</v>
      </c>
      <c r="AR697" s="1" t="s">
        <v>549</v>
      </c>
      <c r="AS697" s="17">
        <f t="shared" si="185"/>
        <v>0.62739444627621843</v>
      </c>
      <c r="AT697" s="17">
        <f t="shared" si="186"/>
        <v>402</v>
      </c>
    </row>
    <row r="698" spans="6:46" x14ac:dyDescent="0.3">
      <c r="F698" s="1">
        <v>696</v>
      </c>
      <c r="G698" s="1" t="s">
        <v>550</v>
      </c>
      <c r="H698" s="1">
        <v>1</v>
      </c>
      <c r="I698" s="1">
        <v>70</v>
      </c>
      <c r="J698" s="1">
        <v>2</v>
      </c>
      <c r="K698" s="1">
        <v>3</v>
      </c>
      <c r="M698" s="1" t="s">
        <v>550</v>
      </c>
      <c r="N698" s="1">
        <f t="shared" si="170"/>
        <v>0.14285714285714285</v>
      </c>
      <c r="O698" s="1">
        <f t="shared" si="171"/>
        <v>0.66666666666666663</v>
      </c>
      <c r="P698" s="1">
        <f t="shared" si="172"/>
        <v>0.5</v>
      </c>
      <c r="Q698" s="1">
        <f t="shared" si="173"/>
        <v>1</v>
      </c>
      <c r="S698" s="1" t="s">
        <v>550</v>
      </c>
      <c r="T698" s="1">
        <f t="shared" si="174"/>
        <v>1.4291548761875762E-2</v>
      </c>
      <c r="U698" s="1">
        <f t="shared" si="175"/>
        <v>5.0777431634106023E-2</v>
      </c>
      <c r="V698" s="1">
        <f t="shared" si="176"/>
        <v>3.1574382095289864E-2</v>
      </c>
      <c r="W698" s="1">
        <f t="shared" si="177"/>
        <v>4.0360367639778717E-2</v>
      </c>
      <c r="Y698" s="1" t="s">
        <v>550</v>
      </c>
      <c r="Z698" s="1">
        <f t="shared" si="178"/>
        <v>4.2874646285627283E-3</v>
      </c>
      <c r="AA698" s="1">
        <f t="shared" si="179"/>
        <v>1.0155486326821206E-2</v>
      </c>
      <c r="AB698" s="1">
        <f t="shared" si="180"/>
        <v>9.4723146285869593E-3</v>
      </c>
      <c r="AC698" s="1">
        <f t="shared" si="181"/>
        <v>8.0720735279557441E-3</v>
      </c>
      <c r="AK698" s="17" t="s">
        <v>1287</v>
      </c>
      <c r="AL698" s="17">
        <f t="shared" si="182"/>
        <v>2.6830003531646763E-2</v>
      </c>
      <c r="AM698" s="17">
        <f t="shared" si="183"/>
        <v>1.3622054004757442E-2</v>
      </c>
      <c r="AO698" s="17" t="s">
        <v>1999</v>
      </c>
      <c r="AP698" s="17">
        <f t="shared" si="184"/>
        <v>0.52133924415308663</v>
      </c>
      <c r="AR698" s="1" t="s">
        <v>550</v>
      </c>
      <c r="AS698" s="17">
        <f t="shared" si="185"/>
        <v>0.52133924415308663</v>
      </c>
      <c r="AT698" s="17">
        <f t="shared" si="186"/>
        <v>521</v>
      </c>
    </row>
    <row r="699" spans="6:46" x14ac:dyDescent="0.3">
      <c r="F699" s="1">
        <v>697</v>
      </c>
      <c r="G699" s="1" t="s">
        <v>551</v>
      </c>
      <c r="H699" s="1">
        <v>2</v>
      </c>
      <c r="I699" s="1">
        <v>68</v>
      </c>
      <c r="J699" s="1">
        <v>1</v>
      </c>
      <c r="K699" s="1">
        <v>2</v>
      </c>
      <c r="M699" s="1" t="s">
        <v>551</v>
      </c>
      <c r="N699" s="1">
        <f t="shared" si="170"/>
        <v>0.2857142857142857</v>
      </c>
      <c r="O699" s="1">
        <f t="shared" si="171"/>
        <v>0.64761904761904765</v>
      </c>
      <c r="P699" s="1">
        <f t="shared" si="172"/>
        <v>1</v>
      </c>
      <c r="Q699" s="1">
        <f t="shared" si="173"/>
        <v>0.66666666666666663</v>
      </c>
      <c r="S699" s="1" t="s">
        <v>551</v>
      </c>
      <c r="T699" s="1">
        <f t="shared" si="174"/>
        <v>2.8583097523751523E-2</v>
      </c>
      <c r="U699" s="1">
        <f t="shared" si="175"/>
        <v>4.9326647873131568E-2</v>
      </c>
      <c r="V699" s="1">
        <f t="shared" si="176"/>
        <v>6.3148764190579729E-2</v>
      </c>
      <c r="W699" s="1">
        <f t="shared" si="177"/>
        <v>2.6906911759852478E-2</v>
      </c>
      <c r="Y699" s="1" t="s">
        <v>551</v>
      </c>
      <c r="Z699" s="1">
        <f t="shared" si="178"/>
        <v>8.5749292571254566E-3</v>
      </c>
      <c r="AA699" s="1">
        <f t="shared" si="179"/>
        <v>9.8653295746263144E-3</v>
      </c>
      <c r="AB699" s="1">
        <f t="shared" si="180"/>
        <v>1.8944629257173919E-2</v>
      </c>
      <c r="AC699" s="1">
        <f t="shared" si="181"/>
        <v>5.3813823519704958E-3</v>
      </c>
      <c r="AK699" s="17" t="s">
        <v>1288</v>
      </c>
      <c r="AL699" s="17">
        <f t="shared" si="182"/>
        <v>2.693154911550074E-2</v>
      </c>
      <c r="AM699" s="17">
        <f t="shared" si="183"/>
        <v>1.1194026910627793E-2</v>
      </c>
      <c r="AO699" s="17" t="s">
        <v>2000</v>
      </c>
      <c r="AP699" s="17">
        <f t="shared" si="184"/>
        <v>0.42684137280299433</v>
      </c>
      <c r="AR699" s="1" t="s">
        <v>551</v>
      </c>
      <c r="AS699" s="17">
        <f t="shared" si="185"/>
        <v>0.42684137280299433</v>
      </c>
      <c r="AT699" s="17">
        <f t="shared" si="186"/>
        <v>581</v>
      </c>
    </row>
    <row r="700" spans="6:46" x14ac:dyDescent="0.3">
      <c r="F700" s="1">
        <v>698</v>
      </c>
      <c r="G700" s="1" t="s">
        <v>552</v>
      </c>
      <c r="H700" s="1">
        <v>2</v>
      </c>
      <c r="I700" s="1">
        <v>38</v>
      </c>
      <c r="J700" s="1">
        <v>5</v>
      </c>
      <c r="K700" s="1">
        <v>3</v>
      </c>
      <c r="M700" s="1" t="s">
        <v>552</v>
      </c>
      <c r="N700" s="1">
        <f t="shared" si="170"/>
        <v>0.2857142857142857</v>
      </c>
      <c r="O700" s="1">
        <f t="shared" si="171"/>
        <v>0.3619047619047619</v>
      </c>
      <c r="P700" s="1">
        <f t="shared" si="172"/>
        <v>0.2</v>
      </c>
      <c r="Q700" s="1">
        <f t="shared" si="173"/>
        <v>1</v>
      </c>
      <c r="S700" s="1" t="s">
        <v>552</v>
      </c>
      <c r="T700" s="1">
        <f t="shared" si="174"/>
        <v>2.8583097523751523E-2</v>
      </c>
      <c r="U700" s="1">
        <f t="shared" si="175"/>
        <v>2.75648914585147E-2</v>
      </c>
      <c r="V700" s="1">
        <f t="shared" si="176"/>
        <v>1.2629752838115946E-2</v>
      </c>
      <c r="W700" s="1">
        <f t="shared" si="177"/>
        <v>4.0360367639778717E-2</v>
      </c>
      <c r="Y700" s="1" t="s">
        <v>552</v>
      </c>
      <c r="Z700" s="1">
        <f t="shared" si="178"/>
        <v>8.5749292571254566E-3</v>
      </c>
      <c r="AA700" s="1">
        <f t="shared" si="179"/>
        <v>5.5129782917029404E-3</v>
      </c>
      <c r="AB700" s="1">
        <f t="shared" si="180"/>
        <v>3.7889258514347836E-3</v>
      </c>
      <c r="AC700" s="1">
        <f t="shared" si="181"/>
        <v>8.0720735279557441E-3</v>
      </c>
      <c r="AK700" s="17" t="s">
        <v>1289</v>
      </c>
      <c r="AL700" s="17">
        <f t="shared" si="182"/>
        <v>2.3538099050091438E-2</v>
      </c>
      <c r="AM700" s="17">
        <f t="shared" si="183"/>
        <v>1.8373139462802019E-2</v>
      </c>
      <c r="AO700" s="17" t="s">
        <v>2001</v>
      </c>
      <c r="AP700" s="17">
        <f t="shared" si="184"/>
        <v>0.79894337258579695</v>
      </c>
      <c r="AR700" s="1" t="s">
        <v>552</v>
      </c>
      <c r="AS700" s="17">
        <f t="shared" si="185"/>
        <v>0.79894337258579695</v>
      </c>
      <c r="AT700" s="17">
        <f t="shared" si="186"/>
        <v>309</v>
      </c>
    </row>
    <row r="701" spans="6:46" x14ac:dyDescent="0.3">
      <c r="F701" s="1">
        <v>699</v>
      </c>
      <c r="G701" s="1" t="s">
        <v>553</v>
      </c>
      <c r="H701" s="1">
        <v>3</v>
      </c>
      <c r="I701" s="1">
        <v>37</v>
      </c>
      <c r="J701" s="1">
        <v>2</v>
      </c>
      <c r="K701" s="1">
        <v>3</v>
      </c>
      <c r="M701" s="1" t="s">
        <v>553</v>
      </c>
      <c r="N701" s="1">
        <f t="shared" si="170"/>
        <v>0.42857142857142855</v>
      </c>
      <c r="O701" s="1">
        <f t="shared" si="171"/>
        <v>0.35238095238095241</v>
      </c>
      <c r="P701" s="1">
        <f t="shared" si="172"/>
        <v>0.5</v>
      </c>
      <c r="Q701" s="1">
        <f t="shared" si="173"/>
        <v>1</v>
      </c>
      <c r="S701" s="1" t="s">
        <v>553</v>
      </c>
      <c r="T701" s="1">
        <f t="shared" si="174"/>
        <v>4.2874646285627281E-2</v>
      </c>
      <c r="U701" s="1">
        <f t="shared" si="175"/>
        <v>2.6839499578027472E-2</v>
      </c>
      <c r="V701" s="1">
        <f t="shared" si="176"/>
        <v>3.1574382095289864E-2</v>
      </c>
      <c r="W701" s="1">
        <f t="shared" si="177"/>
        <v>4.0360367639778717E-2</v>
      </c>
      <c r="Y701" s="1" t="s">
        <v>553</v>
      </c>
      <c r="Z701" s="1">
        <f t="shared" si="178"/>
        <v>1.2862393885688184E-2</v>
      </c>
      <c r="AA701" s="1">
        <f t="shared" si="179"/>
        <v>5.3678999156054948E-3</v>
      </c>
      <c r="AB701" s="1">
        <f t="shared" si="180"/>
        <v>9.4723146285869593E-3</v>
      </c>
      <c r="AC701" s="1">
        <f t="shared" si="181"/>
        <v>8.0720735279557441E-3</v>
      </c>
      <c r="AK701" s="17" t="s">
        <v>1290</v>
      </c>
      <c r="AL701" s="17">
        <f t="shared" si="182"/>
        <v>2.0585025690221536E-2</v>
      </c>
      <c r="AM701" s="17">
        <f t="shared" si="183"/>
        <v>1.6995909429451603E-2</v>
      </c>
      <c r="AO701" s="17" t="s">
        <v>2002</v>
      </c>
      <c r="AP701" s="17">
        <f t="shared" si="184"/>
        <v>0.84264022414726791</v>
      </c>
      <c r="AR701" s="1" t="s">
        <v>553</v>
      </c>
      <c r="AS701" s="17">
        <f t="shared" si="185"/>
        <v>0.84264022414726791</v>
      </c>
      <c r="AT701" s="17">
        <f t="shared" si="186"/>
        <v>269</v>
      </c>
    </row>
    <row r="702" spans="6:46" x14ac:dyDescent="0.3">
      <c r="F702" s="1">
        <v>700</v>
      </c>
      <c r="G702" s="1" t="s">
        <v>554</v>
      </c>
      <c r="H702" s="1">
        <v>3</v>
      </c>
      <c r="I702" s="1">
        <v>45</v>
      </c>
      <c r="J702" s="1">
        <v>5</v>
      </c>
      <c r="K702" s="1">
        <v>3</v>
      </c>
      <c r="M702" s="1" t="s">
        <v>554</v>
      </c>
      <c r="N702" s="1">
        <f t="shared" si="170"/>
        <v>0.42857142857142855</v>
      </c>
      <c r="O702" s="1">
        <f t="shared" si="171"/>
        <v>0.42857142857142855</v>
      </c>
      <c r="P702" s="1">
        <f t="shared" si="172"/>
        <v>0.2</v>
      </c>
      <c r="Q702" s="1">
        <f t="shared" si="173"/>
        <v>1</v>
      </c>
      <c r="S702" s="1" t="s">
        <v>554</v>
      </c>
      <c r="T702" s="1">
        <f t="shared" si="174"/>
        <v>4.2874646285627281E-2</v>
      </c>
      <c r="U702" s="1">
        <f t="shared" si="175"/>
        <v>3.26426346219253E-2</v>
      </c>
      <c r="V702" s="1">
        <f t="shared" si="176"/>
        <v>1.2629752838115946E-2</v>
      </c>
      <c r="W702" s="1">
        <f t="shared" si="177"/>
        <v>4.0360367639778717E-2</v>
      </c>
      <c r="Y702" s="1" t="s">
        <v>554</v>
      </c>
      <c r="Z702" s="1">
        <f t="shared" si="178"/>
        <v>1.2862393885688184E-2</v>
      </c>
      <c r="AA702" s="1">
        <f t="shared" si="179"/>
        <v>6.5285269243850605E-3</v>
      </c>
      <c r="AB702" s="1">
        <f t="shared" si="180"/>
        <v>3.7889258514347836E-3</v>
      </c>
      <c r="AC702" s="1">
        <f t="shared" si="181"/>
        <v>8.0720735279557441E-3</v>
      </c>
      <c r="AK702" s="17" t="s">
        <v>1291</v>
      </c>
      <c r="AL702" s="17">
        <f t="shared" si="182"/>
        <v>1.9232511375758592E-2</v>
      </c>
      <c r="AM702" s="17">
        <f t="shared" si="183"/>
        <v>2.0862167915585334E-2</v>
      </c>
      <c r="AO702" s="17" t="s">
        <v>2003</v>
      </c>
      <c r="AP702" s="17">
        <f t="shared" si="184"/>
        <v>1.1055966317610519</v>
      </c>
      <c r="AR702" s="1" t="s">
        <v>554</v>
      </c>
      <c r="AS702" s="17">
        <f t="shared" si="185"/>
        <v>1.1055966317610519</v>
      </c>
      <c r="AT702" s="17">
        <f t="shared" si="186"/>
        <v>104</v>
      </c>
    </row>
    <row r="703" spans="6:46" x14ac:dyDescent="0.3">
      <c r="F703" s="1">
        <v>701</v>
      </c>
      <c r="G703" s="1" t="s">
        <v>555</v>
      </c>
      <c r="H703" s="1">
        <v>2</v>
      </c>
      <c r="I703" s="1">
        <v>26</v>
      </c>
      <c r="J703" s="1">
        <v>2</v>
      </c>
      <c r="K703" s="1">
        <v>3</v>
      </c>
      <c r="M703" s="1" t="s">
        <v>555</v>
      </c>
      <c r="N703" s="1">
        <f t="shared" si="170"/>
        <v>0.2857142857142857</v>
      </c>
      <c r="O703" s="1">
        <f t="shared" si="171"/>
        <v>0.24761904761904763</v>
      </c>
      <c r="P703" s="1">
        <f t="shared" si="172"/>
        <v>0.5</v>
      </c>
      <c r="Q703" s="1">
        <f t="shared" si="173"/>
        <v>1</v>
      </c>
      <c r="S703" s="1" t="s">
        <v>555</v>
      </c>
      <c r="T703" s="1">
        <f t="shared" si="174"/>
        <v>2.8583097523751523E-2</v>
      </c>
      <c r="U703" s="1">
        <f t="shared" si="175"/>
        <v>1.8860188892667953E-2</v>
      </c>
      <c r="V703" s="1">
        <f t="shared" si="176"/>
        <v>3.1574382095289864E-2</v>
      </c>
      <c r="W703" s="1">
        <f t="shared" si="177"/>
        <v>4.0360367639778717E-2</v>
      </c>
      <c r="Y703" s="1" t="s">
        <v>555</v>
      </c>
      <c r="Z703" s="1">
        <f t="shared" si="178"/>
        <v>8.5749292571254566E-3</v>
      </c>
      <c r="AA703" s="1">
        <f t="shared" si="179"/>
        <v>3.7720377785335907E-3</v>
      </c>
      <c r="AB703" s="1">
        <f t="shared" si="180"/>
        <v>9.4723146285869593E-3</v>
      </c>
      <c r="AC703" s="1">
        <f t="shared" si="181"/>
        <v>8.0720735279557441E-3</v>
      </c>
      <c r="AK703" s="17" t="s">
        <v>1292</v>
      </c>
      <c r="AL703" s="17">
        <f t="shared" si="182"/>
        <v>2.4964347517489268E-2</v>
      </c>
      <c r="AM703" s="17">
        <f t="shared" si="183"/>
        <v>1.3876245744765595E-2</v>
      </c>
      <c r="AO703" s="17" t="s">
        <v>2004</v>
      </c>
      <c r="AP703" s="17">
        <f t="shared" si="184"/>
        <v>0.56971876215919692</v>
      </c>
      <c r="AR703" s="1" t="s">
        <v>555</v>
      </c>
      <c r="AS703" s="17">
        <f t="shared" si="185"/>
        <v>0.56971876215919692</v>
      </c>
      <c r="AT703" s="17">
        <f t="shared" si="186"/>
        <v>492</v>
      </c>
    </row>
    <row r="704" spans="6:46" x14ac:dyDescent="0.3">
      <c r="F704" s="1">
        <v>702</v>
      </c>
      <c r="G704" s="1" t="s">
        <v>556</v>
      </c>
      <c r="H704" s="1">
        <v>3</v>
      </c>
      <c r="I704" s="1">
        <v>52</v>
      </c>
      <c r="J704" s="1">
        <v>1</v>
      </c>
      <c r="K704" s="1">
        <v>2</v>
      </c>
      <c r="M704" s="1" t="s">
        <v>556</v>
      </c>
      <c r="N704" s="1">
        <f t="shared" si="170"/>
        <v>0.42857142857142855</v>
      </c>
      <c r="O704" s="1">
        <f t="shared" si="171"/>
        <v>0.49523809523809526</v>
      </c>
      <c r="P704" s="1">
        <f t="shared" si="172"/>
        <v>1</v>
      </c>
      <c r="Q704" s="1">
        <f t="shared" si="173"/>
        <v>0.66666666666666663</v>
      </c>
      <c r="S704" s="1" t="s">
        <v>556</v>
      </c>
      <c r="T704" s="1">
        <f t="shared" si="174"/>
        <v>4.2874646285627281E-2</v>
      </c>
      <c r="U704" s="1">
        <f t="shared" si="175"/>
        <v>3.7720377785335907E-2</v>
      </c>
      <c r="V704" s="1">
        <f t="shared" si="176"/>
        <v>6.3148764190579729E-2</v>
      </c>
      <c r="W704" s="1">
        <f t="shared" si="177"/>
        <v>2.6906911759852478E-2</v>
      </c>
      <c r="Y704" s="1" t="s">
        <v>556</v>
      </c>
      <c r="Z704" s="1">
        <f t="shared" si="178"/>
        <v>1.2862393885688184E-2</v>
      </c>
      <c r="AA704" s="1">
        <f t="shared" si="179"/>
        <v>7.5440755570671814E-3</v>
      </c>
      <c r="AB704" s="1">
        <f t="shared" si="180"/>
        <v>1.8944629257173919E-2</v>
      </c>
      <c r="AC704" s="1">
        <f t="shared" si="181"/>
        <v>5.3813823519704958E-3</v>
      </c>
      <c r="AK704" s="17" t="s">
        <v>1293</v>
      </c>
      <c r="AL704" s="17">
        <f t="shared" si="182"/>
        <v>2.429353617722178E-2</v>
      </c>
      <c r="AM704" s="17">
        <f t="shared" si="183"/>
        <v>1.3842830532989934E-2</v>
      </c>
      <c r="AO704" s="17" t="s">
        <v>2005</v>
      </c>
      <c r="AP704" s="17">
        <f t="shared" si="184"/>
        <v>0.58365820990000505</v>
      </c>
      <c r="AR704" s="1" t="s">
        <v>556</v>
      </c>
      <c r="AS704" s="17">
        <f t="shared" si="185"/>
        <v>0.58365820990000505</v>
      </c>
      <c r="AT704" s="17">
        <f t="shared" si="186"/>
        <v>462</v>
      </c>
    </row>
    <row r="705" spans="6:46" x14ac:dyDescent="0.3">
      <c r="F705" s="1">
        <v>703</v>
      </c>
      <c r="G705" s="1" t="s">
        <v>495</v>
      </c>
      <c r="H705" s="1">
        <v>4</v>
      </c>
      <c r="I705" s="1">
        <v>36</v>
      </c>
      <c r="J705" s="1">
        <v>2</v>
      </c>
      <c r="K705" s="1">
        <v>3</v>
      </c>
      <c r="M705" s="1" t="s">
        <v>495</v>
      </c>
      <c r="N705" s="1">
        <f t="shared" si="170"/>
        <v>0.5714285714285714</v>
      </c>
      <c r="O705" s="1">
        <f t="shared" si="171"/>
        <v>0.34285714285714286</v>
      </c>
      <c r="P705" s="1">
        <f t="shared" si="172"/>
        <v>0.5</v>
      </c>
      <c r="Q705" s="1">
        <f t="shared" si="173"/>
        <v>1</v>
      </c>
      <c r="S705" s="1" t="s">
        <v>495</v>
      </c>
      <c r="T705" s="1">
        <f t="shared" si="174"/>
        <v>5.7166195047503046E-2</v>
      </c>
      <c r="U705" s="1">
        <f t="shared" si="175"/>
        <v>2.6114107697540242E-2</v>
      </c>
      <c r="V705" s="1">
        <f t="shared" si="176"/>
        <v>3.1574382095289864E-2</v>
      </c>
      <c r="W705" s="1">
        <f t="shared" si="177"/>
        <v>4.0360367639778717E-2</v>
      </c>
      <c r="Y705" s="1" t="s">
        <v>495</v>
      </c>
      <c r="Z705" s="1">
        <f t="shared" si="178"/>
        <v>1.7149858514250913E-2</v>
      </c>
      <c r="AA705" s="1">
        <f t="shared" si="179"/>
        <v>5.2228215395080484E-3</v>
      </c>
      <c r="AB705" s="1">
        <f t="shared" si="180"/>
        <v>9.4723146285869593E-3</v>
      </c>
      <c r="AC705" s="1">
        <f t="shared" si="181"/>
        <v>8.0720735279557441E-3</v>
      </c>
      <c r="AK705" s="17" t="s">
        <v>1294</v>
      </c>
      <c r="AL705" s="17">
        <f t="shared" si="182"/>
        <v>1.7261238420309293E-2</v>
      </c>
      <c r="AM705" s="17">
        <f t="shared" si="183"/>
        <v>2.0418790943668448E-2</v>
      </c>
      <c r="AO705" s="17" t="s">
        <v>2006</v>
      </c>
      <c r="AP705" s="17">
        <f t="shared" si="184"/>
        <v>1.2033461363909121</v>
      </c>
      <c r="AR705" s="1" t="s">
        <v>495</v>
      </c>
      <c r="AS705" s="17">
        <f t="shared" si="185"/>
        <v>1.2033461363909121</v>
      </c>
      <c r="AT705" s="17">
        <f t="shared" si="186"/>
        <v>85</v>
      </c>
    </row>
    <row r="706" spans="6:46" x14ac:dyDescent="0.3">
      <c r="F706" s="1">
        <v>704</v>
      </c>
      <c r="G706" s="1" t="s">
        <v>557</v>
      </c>
      <c r="H706" s="1">
        <v>4</v>
      </c>
      <c r="I706" s="1">
        <v>46</v>
      </c>
      <c r="J706" s="1">
        <v>2</v>
      </c>
      <c r="K706" s="1">
        <v>3</v>
      </c>
      <c r="M706" s="1" t="s">
        <v>557</v>
      </c>
      <c r="N706" s="1">
        <f t="shared" si="170"/>
        <v>0.5714285714285714</v>
      </c>
      <c r="O706" s="1">
        <f t="shared" si="171"/>
        <v>0.43809523809523809</v>
      </c>
      <c r="P706" s="1">
        <f t="shared" si="172"/>
        <v>0.5</v>
      </c>
      <c r="Q706" s="1">
        <f t="shared" si="173"/>
        <v>1</v>
      </c>
      <c r="S706" s="1" t="s">
        <v>557</v>
      </c>
      <c r="T706" s="1">
        <f t="shared" si="174"/>
        <v>5.7166195047503046E-2</v>
      </c>
      <c r="U706" s="1">
        <f t="shared" si="175"/>
        <v>3.336802650241253E-2</v>
      </c>
      <c r="V706" s="1">
        <f t="shared" si="176"/>
        <v>3.1574382095289864E-2</v>
      </c>
      <c r="W706" s="1">
        <f t="shared" si="177"/>
        <v>4.0360367639778717E-2</v>
      </c>
      <c r="Y706" s="1" t="s">
        <v>557</v>
      </c>
      <c r="Z706" s="1">
        <f t="shared" si="178"/>
        <v>1.7149858514250913E-2</v>
      </c>
      <c r="AA706" s="1">
        <f t="shared" si="179"/>
        <v>6.6736053004825061E-3</v>
      </c>
      <c r="AB706" s="1">
        <f t="shared" si="180"/>
        <v>9.4723146285869593E-3</v>
      </c>
      <c r="AC706" s="1">
        <f t="shared" si="181"/>
        <v>8.0720735279557441E-3</v>
      </c>
      <c r="AK706" s="17" t="s">
        <v>1295</v>
      </c>
      <c r="AL706" s="17">
        <f t="shared" si="182"/>
        <v>1.646235860174931E-2</v>
      </c>
      <c r="AM706" s="17">
        <f t="shared" si="183"/>
        <v>2.0613712983871779E-2</v>
      </c>
      <c r="AO706" s="17" t="s">
        <v>2007</v>
      </c>
      <c r="AP706" s="17">
        <f t="shared" si="184"/>
        <v>1.2727862286330778</v>
      </c>
      <c r="AR706" s="1" t="s">
        <v>557</v>
      </c>
      <c r="AS706" s="17">
        <f t="shared" si="185"/>
        <v>1.2727862286330778</v>
      </c>
      <c r="AT706" s="17">
        <f t="shared" si="186"/>
        <v>72</v>
      </c>
    </row>
    <row r="707" spans="6:46" x14ac:dyDescent="0.3">
      <c r="F707" s="1">
        <v>705</v>
      </c>
      <c r="G707" s="1" t="s">
        <v>558</v>
      </c>
      <c r="H707" s="1">
        <v>2</v>
      </c>
      <c r="I707" s="1">
        <v>41</v>
      </c>
      <c r="J707" s="1">
        <v>1</v>
      </c>
      <c r="K707" s="1">
        <v>2</v>
      </c>
      <c r="M707" s="1" t="s">
        <v>558</v>
      </c>
      <c r="N707" s="1">
        <f t="shared" si="170"/>
        <v>0.2857142857142857</v>
      </c>
      <c r="O707" s="1">
        <f t="shared" si="171"/>
        <v>0.39047619047619048</v>
      </c>
      <c r="P707" s="1">
        <f t="shared" si="172"/>
        <v>1</v>
      </c>
      <c r="Q707" s="1">
        <f t="shared" si="173"/>
        <v>0.66666666666666663</v>
      </c>
      <c r="S707" s="1" t="s">
        <v>558</v>
      </c>
      <c r="T707" s="1">
        <f t="shared" si="174"/>
        <v>2.8583097523751523E-2</v>
      </c>
      <c r="U707" s="1">
        <f t="shared" si="175"/>
        <v>2.9741067099976388E-2</v>
      </c>
      <c r="V707" s="1">
        <f t="shared" si="176"/>
        <v>6.3148764190579729E-2</v>
      </c>
      <c r="W707" s="1">
        <f t="shared" si="177"/>
        <v>2.6906911759852478E-2</v>
      </c>
      <c r="Y707" s="1" t="s">
        <v>558</v>
      </c>
      <c r="Z707" s="1">
        <f t="shared" si="178"/>
        <v>8.5749292571254566E-3</v>
      </c>
      <c r="AA707" s="1">
        <f t="shared" si="179"/>
        <v>5.9482134199952781E-3</v>
      </c>
      <c r="AB707" s="1">
        <f t="shared" si="180"/>
        <v>1.8944629257173919E-2</v>
      </c>
      <c r="AC707" s="1">
        <f t="shared" si="181"/>
        <v>5.3813823519704958E-3</v>
      </c>
      <c r="AK707" s="17" t="s">
        <v>1296</v>
      </c>
      <c r="AL707" s="17">
        <f t="shared" si="182"/>
        <v>2.7976874587437781E-2</v>
      </c>
      <c r="AM707" s="17">
        <f t="shared" si="183"/>
        <v>9.4003969693001784E-3</v>
      </c>
      <c r="AO707" s="17" t="s">
        <v>2008</v>
      </c>
      <c r="AP707" s="17">
        <f t="shared" si="184"/>
        <v>0.34540637004254543</v>
      </c>
      <c r="AR707" s="1" t="s">
        <v>558</v>
      </c>
      <c r="AS707" s="17">
        <f t="shared" si="185"/>
        <v>0.34540637004254543</v>
      </c>
      <c r="AT707" s="17">
        <f t="shared" si="186"/>
        <v>631</v>
      </c>
    </row>
    <row r="708" spans="6:46" x14ac:dyDescent="0.3">
      <c r="F708" s="1">
        <v>706</v>
      </c>
      <c r="G708" s="1" t="s">
        <v>559</v>
      </c>
      <c r="H708" s="1">
        <v>4</v>
      </c>
      <c r="I708" s="1">
        <v>35</v>
      </c>
      <c r="J708" s="1">
        <v>3</v>
      </c>
      <c r="K708" s="1">
        <v>3</v>
      </c>
      <c r="M708" s="1" t="s">
        <v>559</v>
      </c>
      <c r="N708" s="1">
        <f t="shared" ref="N708:N712" si="187">H708/MAX($H$3:$H$712)</f>
        <v>0.5714285714285714</v>
      </c>
      <c r="O708" s="1">
        <f t="shared" ref="O708:O712" si="188">I708/MAX($I$3:$I$712)</f>
        <v>0.33333333333333331</v>
      </c>
      <c r="P708" s="1">
        <f t="shared" ref="P708:P712" si="189">MIN($J$3:$J$712)/J708</f>
        <v>0.33333333333333331</v>
      </c>
      <c r="Q708" s="1">
        <f t="shared" ref="Q708:Q712" si="190">K708/MAX($K$3:$K$712)</f>
        <v>1</v>
      </c>
      <c r="S708" s="1" t="s">
        <v>559</v>
      </c>
      <c r="T708" s="1">
        <f t="shared" ref="T708:T712" si="191">N708/SQRT(SUMSQ($N$3:$N$712))</f>
        <v>5.7166195047503046E-2</v>
      </c>
      <c r="U708" s="1">
        <f t="shared" ref="U708:U712" si="192">O708/SQRT(SUMSQ($O$3:$O$712))</f>
        <v>2.5388715817053011E-2</v>
      </c>
      <c r="V708" s="1">
        <f t="shared" ref="V708:V712" si="193">P708/SQRT(SUMSQ($P$3:$P$712))</f>
        <v>2.1049588063526574E-2</v>
      </c>
      <c r="W708" s="1">
        <f t="shared" ref="W708:W712" si="194">Q708/SQRT(SUMSQ($Q$3:$Q$712))</f>
        <v>4.0360367639778717E-2</v>
      </c>
      <c r="Y708" s="1" t="s">
        <v>559</v>
      </c>
      <c r="Z708" s="1">
        <f t="shared" ref="Z708:Z712" si="195">T708*$D$3</f>
        <v>1.7149858514250913E-2</v>
      </c>
      <c r="AA708" s="1">
        <f t="shared" ref="AA708:AA712" si="196">U708*$D$4</f>
        <v>5.0777431634106028E-3</v>
      </c>
      <c r="AB708" s="1">
        <f t="shared" ref="AB708:AB712" si="197">V708*$D$5</f>
        <v>6.314876419057972E-3</v>
      </c>
      <c r="AC708" s="1">
        <f t="shared" ref="AC708:AC712" si="198">W708*$D$6</f>
        <v>8.0720735279557441E-3</v>
      </c>
      <c r="AK708" s="17" t="s">
        <v>1297</v>
      </c>
      <c r="AL708" s="17">
        <f t="shared" ref="AL708:AL712" si="199">SQRT( ($AF$3-Z708)^2 + ($AG$3-AA708)^2 + ($AH$3-AB708)^2 + ($AI$3-AC708)^2 )</f>
        <v>1.6581782331067947E-2</v>
      </c>
      <c r="AM708" s="17">
        <f t="shared" ref="AM708:AM712" si="200">SQRT( (Z708-$AF$4)^2 + (AA708-$AG$4)^2 + (AB708-$AH$4)^2 + (AC708-$AI$4)^2 )</f>
        <v>2.2048688103365535E-2</v>
      </c>
      <c r="AO708" s="17" t="s">
        <v>2009</v>
      </c>
      <c r="AP708" s="17">
        <f t="shared" ref="AP708:AP712" si="201">AM708/AL708+AM708</f>
        <v>1.351742183238366</v>
      </c>
      <c r="AR708" s="1" t="s">
        <v>559</v>
      </c>
      <c r="AS708" s="17">
        <f t="shared" ref="AS708:AS712" si="202">AP708</f>
        <v>1.351742183238366</v>
      </c>
      <c r="AT708" s="17">
        <f t="shared" ref="AT708:AT712" si="203">RANK(AS708,$AS$3:$AS$712,0)</f>
        <v>51</v>
      </c>
    </row>
    <row r="709" spans="6:46" x14ac:dyDescent="0.3">
      <c r="F709" s="1">
        <v>707</v>
      </c>
      <c r="G709" s="1" t="s">
        <v>560</v>
      </c>
      <c r="H709" s="1">
        <v>1</v>
      </c>
      <c r="I709" s="1">
        <v>34</v>
      </c>
      <c r="J709" s="1">
        <v>3</v>
      </c>
      <c r="K709" s="1">
        <v>3</v>
      </c>
      <c r="M709" s="1" t="s">
        <v>560</v>
      </c>
      <c r="N709" s="1">
        <f t="shared" si="187"/>
        <v>0.14285714285714285</v>
      </c>
      <c r="O709" s="1">
        <f t="shared" si="188"/>
        <v>0.32380952380952382</v>
      </c>
      <c r="P709" s="1">
        <f t="shared" si="189"/>
        <v>0.33333333333333331</v>
      </c>
      <c r="Q709" s="1">
        <f t="shared" si="190"/>
        <v>1</v>
      </c>
      <c r="S709" s="1" t="s">
        <v>560</v>
      </c>
      <c r="T709" s="1">
        <f t="shared" si="191"/>
        <v>1.4291548761875762E-2</v>
      </c>
      <c r="U709" s="1">
        <f>O709/SQRT(SUMSQ($O$3:$O$712))</f>
        <v>2.4663323936565784E-2</v>
      </c>
      <c r="V709" s="1">
        <f t="shared" si="193"/>
        <v>2.1049588063526574E-2</v>
      </c>
      <c r="W709" s="1">
        <f t="shared" si="194"/>
        <v>4.0360367639778717E-2</v>
      </c>
      <c r="Y709" s="1" t="s">
        <v>560</v>
      </c>
      <c r="Z709" s="1">
        <f t="shared" si="195"/>
        <v>4.2874646285627283E-3</v>
      </c>
      <c r="AA709" s="1">
        <f t="shared" si="196"/>
        <v>4.9326647873131572E-3</v>
      </c>
      <c r="AB709" s="1">
        <f t="shared" si="197"/>
        <v>6.314876419057972E-3</v>
      </c>
      <c r="AC709" s="1">
        <f t="shared" si="198"/>
        <v>8.0720735279557441E-3</v>
      </c>
      <c r="AK709" s="17" t="s">
        <v>1298</v>
      </c>
      <c r="AL709" s="17">
        <f t="shared" si="199"/>
        <v>2.7825290031757887E-2</v>
      </c>
      <c r="AM709" s="17">
        <f t="shared" si="200"/>
        <v>1.448734480785103E-2</v>
      </c>
      <c r="AO709" s="17" t="s">
        <v>2010</v>
      </c>
      <c r="AP709" s="17">
        <f t="shared" si="201"/>
        <v>0.53514121009788629</v>
      </c>
      <c r="AR709" s="1" t="s">
        <v>560</v>
      </c>
      <c r="AS709" s="17">
        <f t="shared" si="202"/>
        <v>0.53514121009788629</v>
      </c>
      <c r="AT709" s="17">
        <f t="shared" si="203"/>
        <v>516</v>
      </c>
    </row>
    <row r="710" spans="6:46" x14ac:dyDescent="0.3">
      <c r="F710" s="1">
        <v>708</v>
      </c>
      <c r="G710" s="1" t="s">
        <v>561</v>
      </c>
      <c r="H710" s="1">
        <v>3</v>
      </c>
      <c r="I710" s="1">
        <v>26</v>
      </c>
      <c r="J710" s="1">
        <v>2</v>
      </c>
      <c r="K710" s="1">
        <v>3</v>
      </c>
      <c r="M710" s="1" t="s">
        <v>561</v>
      </c>
      <c r="N710" s="1">
        <f t="shared" si="187"/>
        <v>0.42857142857142855</v>
      </c>
      <c r="O710" s="1">
        <f t="shared" si="188"/>
        <v>0.24761904761904763</v>
      </c>
      <c r="P710" s="1">
        <f t="shared" si="189"/>
        <v>0.5</v>
      </c>
      <c r="Q710" s="1">
        <f t="shared" si="190"/>
        <v>1</v>
      </c>
      <c r="S710" s="1" t="s">
        <v>561</v>
      </c>
      <c r="T710" s="1">
        <f t="shared" si="191"/>
        <v>4.2874646285627281E-2</v>
      </c>
      <c r="U710" s="1">
        <f t="shared" si="192"/>
        <v>1.8860188892667953E-2</v>
      </c>
      <c r="V710" s="1">
        <f t="shared" si="193"/>
        <v>3.1574382095289864E-2</v>
      </c>
      <c r="W710" s="1">
        <f t="shared" si="194"/>
        <v>4.0360367639778717E-2</v>
      </c>
      <c r="Y710" s="1" t="s">
        <v>561</v>
      </c>
      <c r="Z710" s="1">
        <f t="shared" si="195"/>
        <v>1.2862393885688184E-2</v>
      </c>
      <c r="AA710" s="1">
        <f t="shared" si="196"/>
        <v>3.7720377785335907E-3</v>
      </c>
      <c r="AB710" s="1">
        <f t="shared" si="197"/>
        <v>9.4723146285869593E-3</v>
      </c>
      <c r="AC710" s="1">
        <f t="shared" si="198"/>
        <v>8.0720735279557441E-3</v>
      </c>
      <c r="AK710" s="17" t="s">
        <v>1299</v>
      </c>
      <c r="AL710" s="17">
        <f t="shared" si="199"/>
        <v>2.1395734867103396E-2</v>
      </c>
      <c r="AM710" s="17">
        <f t="shared" si="200"/>
        <v>1.6866000138592668E-2</v>
      </c>
      <c r="AO710" s="17" t="s">
        <v>2011</v>
      </c>
      <c r="AP710" s="17">
        <f t="shared" si="201"/>
        <v>0.80515395768496623</v>
      </c>
      <c r="AR710" s="1" t="s">
        <v>561</v>
      </c>
      <c r="AS710" s="17">
        <f t="shared" si="202"/>
        <v>0.80515395768496623</v>
      </c>
      <c r="AT710" s="17">
        <f t="shared" si="203"/>
        <v>305</v>
      </c>
    </row>
    <row r="711" spans="6:46" x14ac:dyDescent="0.3">
      <c r="F711" s="1">
        <v>709</v>
      </c>
      <c r="G711" s="1" t="s">
        <v>562</v>
      </c>
      <c r="H711" s="1">
        <v>1</v>
      </c>
      <c r="I711" s="1">
        <v>105</v>
      </c>
      <c r="J711" s="1">
        <v>2</v>
      </c>
      <c r="K711" s="1">
        <v>3</v>
      </c>
      <c r="M711" s="1" t="s">
        <v>562</v>
      </c>
      <c r="N711" s="1">
        <f t="shared" si="187"/>
        <v>0.14285714285714285</v>
      </c>
      <c r="O711" s="1">
        <f t="shared" si="188"/>
        <v>1</v>
      </c>
      <c r="P711" s="1">
        <f t="shared" si="189"/>
        <v>0.5</v>
      </c>
      <c r="Q711" s="1">
        <f t="shared" si="190"/>
        <v>1</v>
      </c>
      <c r="S711" s="1" t="s">
        <v>562</v>
      </c>
      <c r="T711" s="1">
        <f t="shared" si="191"/>
        <v>1.4291548761875762E-2</v>
      </c>
      <c r="U711" s="1">
        <f t="shared" si="192"/>
        <v>7.6166147451159044E-2</v>
      </c>
      <c r="V711" s="1">
        <f t="shared" si="193"/>
        <v>3.1574382095289864E-2</v>
      </c>
      <c r="W711" s="1">
        <f t="shared" si="194"/>
        <v>4.0360367639778717E-2</v>
      </c>
      <c r="Y711" s="1" t="s">
        <v>562</v>
      </c>
      <c r="Z711" s="1">
        <f t="shared" si="195"/>
        <v>4.2874646285627283E-3</v>
      </c>
      <c r="AA711" s="1">
        <f t="shared" si="196"/>
        <v>1.5233229490231809E-2</v>
      </c>
      <c r="AB711" s="1">
        <f t="shared" si="197"/>
        <v>9.4723146285869593E-3</v>
      </c>
      <c r="AC711" s="1">
        <f t="shared" si="198"/>
        <v>8.0720735279557441E-3</v>
      </c>
      <c r="AK711" s="17" t="s">
        <v>1300</v>
      </c>
      <c r="AL711" s="17">
        <f t="shared" si="199"/>
        <v>2.6345125049515604E-2</v>
      </c>
      <c r="AM711" s="17">
        <f t="shared" si="200"/>
        <v>1.6794767674823401E-2</v>
      </c>
      <c r="AO711" s="17" t="s">
        <v>2012</v>
      </c>
      <c r="AP711" s="17">
        <f t="shared" si="201"/>
        <v>0.65428529555266313</v>
      </c>
      <c r="AR711" s="1" t="s">
        <v>562</v>
      </c>
      <c r="AS711" s="17">
        <f t="shared" si="202"/>
        <v>0.65428529555266313</v>
      </c>
      <c r="AT711" s="17">
        <f t="shared" si="203"/>
        <v>381</v>
      </c>
    </row>
    <row r="712" spans="6:46" x14ac:dyDescent="0.3">
      <c r="F712" s="1">
        <v>710</v>
      </c>
      <c r="G712" s="1" t="s">
        <v>563</v>
      </c>
      <c r="H712" s="1">
        <v>3</v>
      </c>
      <c r="I712" s="1">
        <v>26</v>
      </c>
      <c r="J712" s="1">
        <v>2</v>
      </c>
      <c r="K712" s="1">
        <v>3</v>
      </c>
      <c r="M712" s="1" t="s">
        <v>563</v>
      </c>
      <c r="N712" s="1">
        <f t="shared" si="187"/>
        <v>0.42857142857142855</v>
      </c>
      <c r="O712" s="1">
        <f t="shared" si="188"/>
        <v>0.24761904761904763</v>
      </c>
      <c r="P712" s="1">
        <f t="shared" si="189"/>
        <v>0.5</v>
      </c>
      <c r="Q712" s="1">
        <f t="shared" si="190"/>
        <v>1</v>
      </c>
      <c r="S712" s="1" t="s">
        <v>563</v>
      </c>
      <c r="T712" s="1">
        <f t="shared" si="191"/>
        <v>4.2874646285627281E-2</v>
      </c>
      <c r="U712" s="1">
        <f t="shared" si="192"/>
        <v>1.8860188892667953E-2</v>
      </c>
      <c r="V712" s="1">
        <f>P712/SQRT(SUMSQ($P$3:$P$712))</f>
        <v>3.1574382095289864E-2</v>
      </c>
      <c r="W712" s="1">
        <f>Q712/SQRT(SUMSQ($Q$3:$Q$712))</f>
        <v>4.0360367639778717E-2</v>
      </c>
      <c r="Y712" s="1" t="s">
        <v>563</v>
      </c>
      <c r="Z712" s="1">
        <f t="shared" si="195"/>
        <v>1.2862393885688184E-2</v>
      </c>
      <c r="AA712" s="1">
        <f t="shared" si="196"/>
        <v>3.7720377785335907E-3</v>
      </c>
      <c r="AB712" s="1">
        <f t="shared" si="197"/>
        <v>9.4723146285869593E-3</v>
      </c>
      <c r="AC712" s="1">
        <f t="shared" si="198"/>
        <v>8.0720735279557441E-3</v>
      </c>
      <c r="AK712" s="17" t="s">
        <v>1301</v>
      </c>
      <c r="AL712" s="17">
        <f t="shared" si="199"/>
        <v>2.1395734867103396E-2</v>
      </c>
      <c r="AM712" s="17">
        <f t="shared" si="200"/>
        <v>1.6866000138592668E-2</v>
      </c>
      <c r="AO712" s="17" t="s">
        <v>2013</v>
      </c>
      <c r="AP712" s="17">
        <f t="shared" si="201"/>
        <v>0.80515395768496623</v>
      </c>
      <c r="AR712" s="1" t="s">
        <v>563</v>
      </c>
      <c r="AS712" s="17">
        <f t="shared" si="202"/>
        <v>0.80515395768496623</v>
      </c>
      <c r="AT712" s="17">
        <f t="shared" si="203"/>
        <v>305</v>
      </c>
    </row>
  </sheetData>
  <mergeCells count="1">
    <mergeCell ref="A7:C7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INDONESIA</cp:lastModifiedBy>
  <dcterms:created xsi:type="dcterms:W3CDTF">2025-11-06T12:45:33Z</dcterms:created>
  <dcterms:modified xsi:type="dcterms:W3CDTF">2025-11-22T05:03:57Z</dcterms:modified>
</cp:coreProperties>
</file>